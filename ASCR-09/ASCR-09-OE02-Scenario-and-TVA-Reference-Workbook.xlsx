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5af3f4bd344851" /></Relationships>
</file>

<file path=xl/workbook.xml><?xml version="1.0" encoding="utf-8"?>
<x:workbook xmlns:x="http://schemas.openxmlformats.org/spreadsheetml/2006/main">
  <x:sheets>
    <x:sheet xmlns:r="http://schemas.openxmlformats.org/officeDocument/2006/relationships" name="Read Me" sheetId="6" r:id="R39e059a345ed4782"/>
    <x:sheet xmlns:r="http://schemas.openxmlformats.org/officeDocument/2006/relationships" name="README" sheetId="1" r:id="R8e4b0e221cab4894" state="hidden"/>
    <x:sheet xmlns:r="http://schemas.openxmlformats.org/officeDocument/2006/relationships" name="1 - Scenario Index" sheetId="2" r:id="R51cf9f27a3bd4a6a"/>
    <x:sheet xmlns:r="http://schemas.openxmlformats.org/officeDocument/2006/relationships" name="2 - TVA Tracking" sheetId="3" r:id="R5112bdc0c8ab4441"/>
    <x:sheet xmlns:r="http://schemas.openxmlformats.org/officeDocument/2006/relationships" name="3 - Exercise Frequency" sheetId="4" r:id="R4385c61bc8124d17"/>
    <x:sheet xmlns:r="http://schemas.openxmlformats.org/officeDocument/2006/relationships" name="4 - DP Outcome Tracker" sheetId="5" r:id="R760d1fb6433548ef"/>
  </x:sheets>
</x:workbook>
</file>

<file path=xl/sharedStrings.xml><?xml version="1.0" encoding="utf-8"?>
<x:sst xmlns:x="http://schemas.openxmlformats.org/spreadsheetml/2006/main">
  <x:si>
    <x:t xml:space="preserve">ASCR-09-OE02: Scenario and TVA Reference Workbook</x:t>
  </x:si>
  <x:si>
    <x:t xml:space="preserve">Artifact</x:t>
  </x:si>
  <x:si>
    <x:t xml:space="preserve">Parent Document</x:t>
  </x:si>
  <x:si>
    <x:t xml:space="preserve">ASCR-09: Adversarial Scenario and Tabletop Exercise Scripts</x:t>
  </x:si>
  <x:si>
    <x:t xml:space="preserve">Artifact Type</x:t>
  </x:si>
  <x:si>
    <x:t xml:space="preserve">Operational Extension — Reference and Tracking Workbook</x:t>
  </x:si>
  <x:si>
    <x:t xml:space="preserve">Version</x:t>
  </x:si>
  <x:si>
    <x:t xml:space="preserve">1.0 — June 2026</x:t>
  </x:si>
  <x:si>
    <x:t xml:space="preserve">Governing Precedence</x:t>
  </x:si>
  <x:si>
    <x:t xml:space="preserve">In any case of inconsistency between this workbook and ASCR-09, ASCR-09 takes precedence.</x:t>
  </x:si>
  <x:si>
    <x:t xml:space="preserve">Sheet 1 — Scenario Index</x:t>
  </x:si>
  <x:si>
    <x:t xml:space="preserve">All 8 scenario headers consolidated for planning and scheduling. Filter by adversary class, exercise type, or injection layer. Use to scope annual exercise programs and identify prerequisites before scheduling.</x:t>
  </x:si>
  <x:si>
    <x:t xml:space="preserve">Sheet 2 — TVA Tracking Log</x:t>
  </x:si>
  <x:si>
    <x:t xml:space="preserve">Working log for all TVA execution results across quarters. TVA-01 through TVA-05 results must be documented before any exercise proceeds. Supports trend analysis and audit evidence production.</x:t>
  </x:si>
  <x:si>
    <x:t xml:space="preserve">Sheet 3 — Exercise Frequency</x:t>
  </x:si>
  <x:si>
    <x:t xml:space="preserve">Sheet 4 — DP Outcome Tracker</x:t>
  </x:si>
  <x:si>
    <x:t xml:space="preserve">Update Cadence</x:t>
  </x:si>
  <x:si>
    <x:t xml:space="preserve">Retention</x:t>
  </x:si>
  <x:si>
    <x:t xml:space="preserve">Retain this workbook in conjunction with the corresponding ASCR-09-OE01 Exercise Record(s). Minimum 36 months per ASCR-09 Section 7.1.</x:t>
  </x:si>
  <x:si>
    <x:t xml:space="preserve">ASCR-09-OE02  |  Sheet 1: Scenario Index</x:t>
  </x:si>
  <x:si>
    <x:t xml:space="preserve">Scenario ID</x:t>
  </x:si>
  <x:si>
    <x:t xml:space="preserve">Scenario Title</x:t>
  </x:si>
  <x:si>
    <x:t xml:space="preserve">Adversary Class</x:t>
  </x:si>
  <x:si>
    <x:t xml:space="preserve">Exercise Type</x:t>
  </x:si>
  <x:si>
    <x:t xml:space="preserve">Duration (min)</x:t>
  </x:si>
  <x:si>
    <x:t xml:space="preserve">Injection Layer</x:t>
  </x:si>
  <x:si>
    <x:t xml:space="preserve">Primary MITRE Technique(s)</x:t>
  </x:si>
  <x:si>
    <x:t xml:space="preserve">Prerequisites (Summary)</x:t>
  </x:si>
  <x:si>
    <x:t xml:space="preserve">ASCR-09-NS-01</x:t>
  </x:si>
  <x:si>
    <x:t xml:space="preserve">Pre-Positioned Context Poisoning via Trusted Data Integration</x:t>
  </x:si>
  <x:si>
    <x:t xml:space="preserve">Nation-State / APT</x:t>
  </x:si>
  <x:si>
    <x:t xml:space="preserve">PURPLE</x:t>
  </x:si>
  <x:si>
    <x:t xml:space="preserve">Context / MCP — EP-05 to EP-09</x:t>
  </x:si>
  <x:si>
    <x:t xml:space="preserve">ASCR-09-NS-02</x:t>
  </x:si>
  <x:si>
    <x:t xml:space="preserve">Long-Dwell OT Reconnaissance and Pre-Positioned MCP Tool Registration</x:t>
  </x:si>
  <x:si>
    <x:t xml:space="preserve">TABLETOP (upgradable to PURPLE)</x:t>
  </x:si>
  <x:si>
    <x:t xml:space="preserve">120</x:t>
  </x:si>
  <x:si>
    <x:t xml:space="preserve">Orchestration Zone — EP-08</x:t>
  </x:si>
  <x:si>
    <x:t xml:space="preserve">ASCR-09-FM-01</x:t>
  </x:si>
  <x:si>
    <x:t xml:space="preserve">Cargo Diversion via Demand Context Manipulation</x:t>
  </x:si>
  <x:si>
    <x:t xml:space="preserve">Financially Motivated</x:t>
  </x:si>
  <x:si>
    <x:t xml:space="preserve">Intelligence Layer — EP-02 to EP-04</x:t>
  </x:si>
  <x:si>
    <x:t xml:space="preserve">ASCR-09-FM-02</x:t>
  </x:si>
  <x:si>
    <x:t xml:space="preserve">Ransomware Targeting Orchestration Infrastructure with Agentic Execution Authority Seizure</x:t>
  </x:si>
  <x:si>
    <x:t xml:space="preserve">TABLETOP</x:t>
  </x:si>
  <x:si>
    <x:t xml:space="preserve">Orchestration Zone — EP-04 to EP-12</x:t>
  </x:si>
  <x:si>
    <x:t xml:space="preserve">ASCR-09-IT-01</x:t>
  </x:si>
  <x:si>
    <x:t xml:space="preserve">ML Engineer System-Prompt Manipulation for Competitive Intelligence Exfiltration</x:t>
  </x:si>
  <x:si>
    <x:t xml:space="preserve">Insider Threat</x:t>
  </x:si>
  <x:si>
    <x:t xml:space="preserve">Intelligence Layer — AI-BOM Dimension 2</x:t>
  </x:si>
  <x:si>
    <x:t xml:space="preserve">ASCR-09-SC-01</x:t>
  </x:si>
  <x:si>
    <x:t xml:space="preserve">Trojanized Model Artifact with Trigger-Conditional Behavioral Anomaly</x:t>
  </x:si>
  <x:si>
    <x:t xml:space="preserve">Supply Chain / Third-Party</x:t>
  </x:si>
  <x:si>
    <x:t xml:space="preserve">AI Services Zone — EP-16 and EP-03</x:t>
  </x:si>
  <x:si>
    <x:t xml:space="preserve">ATLAS AML.T0010; ATT&amp;CK T1195.002</x:t>
  </x:si>
  <x:si>
    <x:t xml:space="preserve">ASCR-09-KQ-01</x:t>
  </x:si>
  <x:si>
    <x:t xml:space="preserve">Kinetic Quarantine Suppression via Translation Layer Compromise</x:t>
  </x:si>
  <x:si>
    <x:t xml:space="preserve">Physical Systems Zone — EP-14 to EP-16</x:t>
  </x:si>
  <x:si>
    <x:t xml:space="preserve">ASCR-09-KQ-02</x:t>
  </x:si>
  <x:si>
    <x:t xml:space="preserve">120 (60 TT + 60 Tech)</x:t>
  </x:si>
  <x:si>
    <x:t xml:space="preserve">Identity Infrastructure — SPIRE Agent to SPIRE Server path</x:t>
  </x:si>
  <x:si>
    <x:t xml:space="preserve">ASCR-09-OE02  |  Sheet 2: TVA Tracking Log</x:t>
  </x:si>
  <x:si>
    <x:t xml:space="preserve">TVA ID</x:t>
  </x:si>
  <x:si>
    <x:t xml:space="preserve">TVA Title</x:t>
  </x:si>
  <x:si>
    <x:t xml:space="preserve">Type</x:t>
  </x:si>
  <x:si>
    <x:t xml:space="preserve">Run Date</x:t>
  </x:si>
  <x:si>
    <x:t xml:space="preserve">Result
(PASS / FAIL / N/A)</x:t>
  </x:si>
  <x:si>
    <x:t xml:space="preserve">Failure Action Taken</x:t>
  </x:si>
  <x:si>
    <x:t xml:space="preserve">Remediation Owner</x:t>
  </x:si>
  <x:si>
    <x:t xml:space="preserve">TVA-01</x:t>
  </x:si>
  <x:si>
    <x:t xml:space="preserve">Decision Event Schema Completeness Validation</x:t>
  </x:si>
  <x:si>
    <x:t xml:space="preserve">Prerequisite Gate</x:t>
  </x:si>
  <x:si>
    <x:t xml:space="preserve">TVA-02</x:t>
  </x:si>
  <x:si>
    <x:t xml:space="preserve">Divergence Score Pipeline Validation</x:t>
  </x:si>
  <x:si>
    <x:t xml:space="preserve">TVA-03</x:t>
  </x:si>
  <x:si>
    <x:t xml:space="preserve">ASCR-06 Circuit-Breaker Path Validation</x:t>
  </x:si>
  <x:si>
    <x:t xml:space="preserve">TVA-04</x:t>
  </x:si>
  <x:si>
    <x:t xml:space="preserve">TVA-05</x:t>
  </x:si>
  <x:si>
    <x:t xml:space="preserve">Human Authority Layer Override Validation</x:t>
  </x:si>
  <x:si>
    <x:t xml:space="preserve">ASCR-09-OE02  |  Sheet 3: Exercise Frequency and Trigger Matrix</x:t>
  </x:si>
  <x:si>
    <x:t xml:space="preserve">Minimum Frequency</x:t>
  </x:si>
  <x:si>
    <x:t xml:space="preserve">Trigger Condition</x:t>
  </x:si>
  <x:si>
    <x:t xml:space="preserve">Last Run Date</x:t>
  </x:si>
  <x:si>
    <x:t xml:space="preserve">Next Due Date</x:t>
  </x:si>
  <x:si>
    <x:t xml:space="preserve">Full purple team — all four adversary classes</x:t>
  </x:si>
  <x:si>
    <x:t xml:space="preserve">Annual</x:t>
  </x:si>
  <x:si>
    <x:t xml:space="preserve">Calendar</x:t>
  </x:si>
  <x:si>
    <x:t xml:space="preserve">Single-scenario tabletop — one adversary class</x:t>
  </x:si>
  <x:si>
    <x:t xml:space="preserve">Quarterly</x:t>
  </x:si>
  <x:si>
    <x:t xml:space="preserve">TVA validation only — no scenario</x:t>
  </x:si>
  <x:si>
    <x:t xml:space="preserve">As needed</x:t>
  </x:si>
  <x:si>
    <x:t xml:space="preserve">Any material change to agent config, MCP gateway, ASCR-07 infrastructure, or divergence_score pipeline</x:t>
  </x:si>
  <x:si>
    <x:t xml:space="preserve">Post-incident scenario — adversary class matching the incident</x:t>
  </x:si>
  <x:si>
    <x:t xml:space="preserve">Within 60 days of incident closure</x:t>
  </x:si>
  <x:si>
    <x:t xml:space="preserve">Confirmed or suspected convergence-domain incident</x:t>
  </x:si>
  <x:si>
    <x:t xml:space="preserve">New deployment readiness (ASCR-14 first, then ASCR-09-NS-01)</x:t>
  </x:si>
  <x:si>
    <x:t xml:space="preserve">Before first autonomous production cycle</x:t>
  </x:si>
  <x:si>
    <x:t xml:space="preserve">New agentic deployment entering production</x:t>
  </x:si>
  <x:si>
    <x:t xml:space="preserve">Scheduling Notes</x:t>
  </x:si>
  <x:si>
    <x:t xml:space="preserve">• Full purple team exercises should be scheduled at least 4 weeks in advance to allow TVA prerequisite gate validation.</x:t>
  </x:si>
  <x:si>
    <x:t xml:space="preserve">• For new deployments, ASCR-14 is the recommended first exercise before ASCR-09. ASCR-09-NS-01 is the recommended first ASCR-09 scenario.</x:t>
  </x:si>
  <x:si>
    <x:t xml:space="preserve">• When a post-incident replay is triggered, use the adversary class from ASCR-15 that matches the confirmed incident pattern.</x:t>
  </x:si>
  <x:si>
    <x:t xml:space="preserve">ASCR-09-OE02  |  Sheet 4: Decision Point Outcome Tracker</x:t>
  </x:si>
  <x:si>
    <x:t xml:space="preserve">Exercise Date</x:t>
  </x:si>
  <x:si>
    <x:t xml:space="preserve">Exercise ID</x:t>
  </x:si>
  <x:si>
    <x:t xml:space="preserve">DP Reference</x:t>
  </x:si>
  <x:si>
    <x:t xml:space="preserve">Outcome
(CORRECT / DEGRADED / N/A)</x:t>
  </x:si>
  <x:si>
    <x:t xml:space="preserve">Degraded Path Taken (brief description)</x:t>
  </x:si>
  <x:si>
    <x:t xml:space="preserve">Gap Finding Raised? (Y/N)</x:t>
  </x:si>
  <x:si>
    <x:t xml:space="preserve">Finding Severity</x:t>
  </x:si>
</x:sst>
</file>

<file path=xl/styles.xml><?xml version="1.0" encoding="utf-8"?>
<x:styleSheet xmlns:x="http://schemas.openxmlformats.org/spreadsheetml/2006/main">
  <x:numFmts count="1">
    <x:numFmt numFmtId="200" formatCode="yyyy-mm-dd"/>
  </x:numFmts>
  <x:fonts count="18">
    <x:font>
      <x:sz val="11"/>
      <x:color theme="1"/>
      <x:name val="Calibri"/>
    </x:font>
    <x:font>
      <x:b/>
      <x:sz val="12"/>
      <x:color rgb="FFFFFFFF"/>
      <x:name val="Arial"/>
    </x:font>
    <x:font/>
    <x:font>
      <x:b/>
      <x:sz val="10"/>
      <x:color rgb="FF1F4E79"/>
      <x:name val="Arial"/>
    </x:font>
    <x:font>
      <x:sz val="10"/>
      <x:color rgb="FF404040"/>
      <x:name val="Arial"/>
    </x:font>
    <x:font>
      <x:i/>
      <x:sz val="9"/>
      <x:color rgb="FF808080"/>
      <x:name val="Arial"/>
    </x:font>
    <x:font>
      <x:b/>
      <x:sz val="10"/>
      <x:color rgb="FFFFFFFF"/>
      <x:name val="Arial"/>
    </x:font>
    <x:font>
      <x:color theme="1"/>
      <x:name val="Calibri"/>
    </x:font>
    <x:font>
      <x:i/>
      <x:sz val="10"/>
      <x:color rgb="FFBF8F00"/>
      <x:name val="Arial"/>
    </x:font>
    <x:font>
      <x:sz val="11"/>
      <x:color theme="1"/>
      <x:name val="Calibri"/>
    </x:font>
    <x:font>
      <x:sz val="9"/>
      <x:color rgb="FF404040"/>
      <x:name val="Arial"/>
    </x:font>
    <x:font>
      <x:i/>
      <x:sz val="10"/>
      <x:color rgb="FF808080"/>
      <x:name val="Arial"/>
    </x:font>
    <x:font>
      <x:b/>
      <x:sz val="10"/>
      <x:color rgb="FF404040"/>
      <x:name val="Arial"/>
    </x:font>
    <x:font>
      <x:b/>
      <x:sz val="11"/>
      <x:color rgb="FFFFFFFF"/>
      <x:name val="Calibri"/>
    </x:font>
    <x:font>
      <x:i/>
      <x:sz val="10"/>
      <x:color rgb="FF7F7F7F"/>
      <x:name val="Arial"/>
    </x:font>
    <x:font>
      <x:sz val="11"/>
      <x:color rgb="FF000000"/>
      <x:name val="Calibri"/>
    </x:font>
    <x:font>
      <x:b/>
      <x:sz val="14"/>
      <x:color rgb="FFFFFFFF"/>
      <x:name val="Calibri"/>
    </x:font>
    <x:font>
      <x:b/>
      <x:sz val="11"/>
      <x:color rgb="FF000000"/>
      <x:name val="Calibri"/>
    </x:font>
  </x:fonts>
  <x:fills count="20">
    <x:fill>
      <x:patternFill patternType="none"/>
    </x:fill>
    <x:fill>
      <x:patternFill patternType="lightGray"/>
    </x:fill>
    <x:fill>
      <x:patternFill patternType="solid">
        <x:fgColor rgb="FF1F4E79"/>
      </x:patternFill>
    </x:fill>
    <x:fill>
      <x:patternFill patternType="solid">
        <x:fgColor rgb="FFEBF3FA"/>
      </x:patternFill>
    </x:fill>
    <x:fill>
      <x:patternFill patternType="solid">
        <x:fgColor rgb="FFFFFFFF"/>
      </x:patternFill>
    </x:fill>
    <x:fill>
      <x:patternFill patternType="solid">
        <x:fgColor rgb="FFF2F2F2"/>
      </x:patternFill>
    </x:fill>
    <x:fill>
      <x:patternFill patternType="solid">
        <x:fgColor rgb="FF2E75B6"/>
      </x:patternFill>
    </x:fill>
    <x:fill>
      <x:patternFill patternType="solid">
        <x:fgColor rgb="FFFFF2CC"/>
      </x:patternFill>
    </x:fill>
    <x:fill>
      <x:patternFill patternType="solid">
        <x:fgColor rgb="FF2E75B6"/>
      </x:patternFill>
    </x:fill>
    <x:fill>
      <x:patternFill patternType="solid">
        <x:fgColor rgb="FFEBF3FA"/>
      </x:patternFill>
    </x:fill>
    <x:fill>
      <x:patternFill patternType="solid">
        <x:fgColor rgb="FFFFFFFF"/>
      </x:patternFill>
    </x:fill>
    <x:fill>
      <x:patternFill patternType="solid">
        <x:fgColor rgb="FFFFF2CC"/>
      </x:patternFill>
    </x:fill>
    <x:fill>
      <x:patternFill patternType="solid">
        <x:fgColor rgb="FFF2F2F2"/>
      </x:patternFill>
    </x:fill>
    <x:fill>
      <x:patternFill patternType="solid">
        <x:fgColor rgb="FF2E75B6"/>
      </x:patternFill>
    </x:fill>
    <x:fill>
      <x:patternFill patternType="solid">
        <x:fgColor rgb="FF2F75B5"/>
      </x:patternFill>
    </x:fill>
    <x:fill>
      <x:patternFill patternType="solid">
        <x:fgColor rgb="FFDDEBF7"/>
      </x:patternFill>
    </x:fill>
    <x:fill>
      <x:patternFill patternType="solid">
        <x:fgColor rgb="FFFFFFFF"/>
      </x:patternFill>
    </x:fill>
    <x:fill>
      <x:patternFill patternType="solid">
        <x:fgColor rgb="FFF2F2F2"/>
      </x:patternFill>
    </x:fill>
    <x:fill>
      <x:patternFill patternType="solid">
        <x:fgColor rgb="FF1F3864"/>
      </x:patternFill>
    </x:fill>
    <x:fill>
      <x:patternFill patternType="solid">
        <x:fgColor rgb="FFD9E2F3"/>
      </x:patternFill>
    </x:fill>
  </x:fills>
  <x:borders count="15">
    <x:border/>
    <x:border/>
    <x:border/>
    <x:border>
      <x:left style="thin">
        <x:color rgb="FFAAAAAA"/>
      </x:left>
      <x:right style="thin">
        <x:color rgb="FFAAAAAA"/>
      </x:right>
      <x:top style="thin">
        <x:color rgb="FFAAAAAA"/>
      </x:top>
      <x:bottom style="thin">
        <x:color rgb="FFAAAAAA"/>
      </x:bottom>
    </x:border>
    <x:border/>
    <x:border>
      <x:left style="thin">
        <x:color rgb="FFAAAAAA"/>
      </x:left>
      <x:top style="thin">
        <x:color rgb="FFAAAAAA"/>
      </x:top>
      <x:bottom style="thin">
        <x:color rgb="FFAAAAAA"/>
      </x:bottom>
    </x:border>
    <x:border>
      <x:top style="thin">
        <x:color rgb="FFAAAAAA"/>
      </x:top>
      <x:bottom style="thin">
        <x:color rgb="FFAAAAAA"/>
      </x:bottom>
    </x:border>
    <x:border>
      <x:top style="thin">
        <x:color rgb="FFAAAAAA"/>
      </x:top>
      <x:bottom style="thin">
        <x:color rgb="FFAAAAAA"/>
      </x:bottom>
    </x:border>
    <x:border>
      <x:right style="thin">
        <x:color rgb="FFAAAAAA"/>
      </x:right>
      <x:top style="thin">
        <x:color rgb="FFAAAAAA"/>
      </x:top>
      <x:bottom style="thin">
        <x:color rgb="FFAAAAAA"/>
      </x:bottom>
    </x:border>
    <x:border>
      <x:left style="thin">
        <x:color rgb="FFAAAAAA"/>
      </x:left>
      <x:top style="thin">
        <x:color rgb="FFAAAAAA"/>
      </x:top>
    </x:border>
    <x:border>
      <x:right style="thin">
        <x:color rgb="FFAAAAAA"/>
      </x:right>
      <x:top style="thin">
        <x:color rgb="FFAAAAAA"/>
      </x:top>
    </x:border>
    <x:border>
      <x:left style="thin">
        <x:color rgb="FFAAAAAA"/>
      </x:left>
    </x:border>
    <x:border>
      <x:right style="thin">
        <x:color rgb="FFAAAAAA"/>
      </x:right>
    </x:border>
    <x:border>
      <x:left style="thin">
        <x:color rgb="FFAAAAAA"/>
      </x:left>
      <x:bottom style="thin">
        <x:color rgb="FFAAAAAA"/>
      </x:bottom>
    </x:border>
    <x:border>
      <x:right style="thin">
        <x:color rgb="FFAAAAAA"/>
      </x:right>
      <x:bottom style="thin">
        <x:color rgb="FFAAAAAA"/>
      </x:bottom>
    </x:border>
  </x:borders>
  <x:cellStyleXfs count="1">
    <x:xf numFmtId="0" fontId="0" fillId="0" borderId="0" applyFont="1" applyAlignment="1"/>
  </x:cellStyleXfs>
  <x:cellXfs count="351">
    <x:xf numFmtId="0" fontId="0" fillId="0" borderId="0" xfId="0" applyFont="1" applyAlignment="1">
      <x:alignment vertical="bottom" wrapText="0"/>
    </x:xf>
    <x:xf numFmtId="0" fontId="1" fillId="2" borderId="1" xfId="0" applyFont="1" applyFill="1" applyBorder="1" applyAlignment="1">
      <x:alignment horizontal="left" vertical="center" wrapText="1"/>
    </x:xf>
    <x:xf numFmtId="0" fontId="2" fillId="0" borderId="2" xfId="0" applyFont="1" applyBorder="1"/>
    <x:xf numFmtId="0" fontId="3" fillId="3" borderId="3" xfId="0" applyFont="1" applyFill="1" applyBorder="1" applyAlignment="1">
      <x:alignment vertical="top" wrapText="1"/>
    </x:xf>
    <x:xf numFmtId="0" fontId="2" fillId="0" borderId="4" xfId="0" applyFont="1" applyBorder="1"/>
    <x:xf numFmtId="0" fontId="4" fillId="3" borderId="3" xfId="0" applyFont="1" applyBorder="1" applyAlignment="1">
      <x:alignment vertical="top" wrapText="1"/>
    </x:xf>
    <x:xf numFmtId="0" fontId="3" fillId="4" borderId="3" xfId="0" applyFont="1" applyFill="1" applyBorder="1" applyAlignment="1">
      <x:alignment vertical="top" wrapText="1"/>
    </x:xf>
    <x:xf numFmtId="0" fontId="5" fillId="5" borderId="1" xfId="0" applyFont="1" applyFill="1" applyBorder="1" applyAlignment="1">
      <x:alignment horizontal="left" vertical="center" wrapText="1"/>
    </x:xf>
    <x:xf numFmtId="0" fontId="4" fillId="4" borderId="3" xfId="0" applyFont="1" applyBorder="1" applyAlignment="1">
      <x:alignment vertical="top" wrapText="1"/>
    </x:xf>
    <x:xf numFmtId="0" fontId="6" fillId="6" borderId="3" xfId="0" applyFont="1" applyFill="1" applyBorder="1" applyAlignment="1">
      <x:alignment horizontal="center" vertical="top" wrapText="1"/>
    </x:xf>
    <x:xf numFmtId="0" fontId="7" fillId="0" borderId="0" xfId="0" applyFont="1" applyAlignment="1">
      <x:alignment vertical="top"/>
    </x:xf>
    <x:xf numFmtId="0" fontId="4" fillId="3" borderId="3" xfId="0" applyFont="1" applyBorder="1" applyAlignment="1">
      <x:alignment horizontal="left" vertical="top" wrapText="1"/>
    </x:xf>
    <x:xf numFmtId="0" fontId="4" fillId="3" borderId="3" xfId="0" applyFont="1" applyBorder="1" applyAlignment="1">
      <x:alignment vertical="top" wrapText="1"/>
    </x:xf>
    <x:xf numFmtId="0" fontId="4" fillId="4" borderId="3" xfId="0" applyFont="1" applyBorder="1" applyAlignment="1">
      <x:alignment horizontal="left" vertical="top" wrapText="1"/>
    </x:xf>
    <x:xf numFmtId="0" fontId="3" fillId="7" borderId="3" xfId="0" applyFont="1" applyFill="1" applyBorder="1" applyAlignment="1">
      <x:alignment horizontal="left" vertical="top" wrapText="1"/>
    </x:xf>
    <x:xf numFmtId="0" fontId="4" fillId="7" borderId="3" xfId="0" applyFont="1" applyBorder="1" applyAlignment="1">
      <x:alignment horizontal="left" vertical="top" wrapText="1"/>
    </x:xf>
    <x:xf numFmtId="0" fontId="8" fillId="7" borderId="3" xfId="0" applyFont="1" applyBorder="1" applyAlignment="1">
      <x:alignment horizontal="left" vertical="top" wrapText="1"/>
    </x:xf>
    <x:xf numFmtId="0" fontId="9" fillId="7" borderId="3" xfId="0" applyFont="1" applyBorder="1" applyAlignment="1">
      <x:alignment horizontal="left" vertical="top" wrapText="1"/>
    </x:xf>
    <x:xf numFmtId="0" fontId="6" fillId="6" borderId="1" xfId="0" applyFont="1" applyBorder="1" applyAlignment="1">
      <x:alignment horizontal="left" vertical="center" wrapText="1"/>
    </x:xf>
    <x:xf numFmtId="0" fontId="10" fillId="5" borderId="5" xfId="0" applyFont="1" applyBorder="1" applyAlignment="1">
      <x:alignment vertical="top" wrapText="1"/>
    </x:xf>
    <x:xf numFmtId="0" fontId="2" fillId="0" borderId="6" xfId="0" applyFont="1" applyBorder="1"/>
    <x:xf numFmtId="0" fontId="2" fillId="0" borderId="7" xfId="0" applyFont="1" applyBorder="1"/>
    <x:xf numFmtId="0" fontId="3" fillId="5" borderId="3" xfId="0" applyFont="1" applyBorder="1" applyAlignment="1">
      <x:alignment horizontal="left" vertical="top" wrapText="1"/>
    </x:xf>
    <x:xf numFmtId="0" fontId="4" fillId="5" borderId="3" xfId="0" applyFont="1" applyBorder="1" applyAlignment="1">
      <x:alignment horizontal="left" vertical="top" wrapText="1"/>
    </x:xf>
    <x:xf numFmtId="0" fontId="11" fillId="5" borderId="3" xfId="0" applyFont="1" applyBorder="1" applyAlignment="1">
      <x:alignment horizontal="left" vertical="top" wrapText="1"/>
    </x:xf>
    <x:xf numFmtId="0" fontId="9" fillId="5" borderId="3" xfId="0" applyFont="1" applyBorder="1" applyAlignment="1">
      <x:alignment horizontal="left" vertical="top" wrapText="1"/>
    </x:xf>
    <x:xf numFmtId="0" fontId="0" fillId="0" borderId="0" xfId="0" applyNumberFormat="1" applyFont="1" applyFill="1" applyBorder="1" applyAlignment="1">
      <x:alignment vertical="bottom" wrapText="0"/>
    </x:xf>
    <x:xf numFmtId="0" fontId="1" fillId="2" borderId="0" xfId="0" applyNumberFormat="1" applyFont="1" applyFill="1" applyBorder="1" applyAlignment="1">
      <x:alignment horizontal="left" vertical="center" wrapText="1"/>
    </x:xf>
    <x:xf numFmtId="0" fontId="2" fillId="0" borderId="0" xfId="0" applyNumberFormat="1" applyFont="1" applyFill="1" applyBorder="1"/>
    <x:xf numFmtId="0" fontId="3" fillId="3" borderId="3"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5" fillId="5" borderId="0" xfId="0" applyNumberFormat="1" applyFont="1" applyFill="1" applyBorder="1" applyAlignment="1">
      <x:alignment horizontal="left" vertical="center" wrapText="1"/>
    </x:xf>
    <x:xf numFmtId="0" fontId="4" fillId="4" borderId="3" xfId="0" applyNumberFormat="1" applyFont="1" applyFill="1" applyBorder="1" applyAlignment="1">
      <x:alignment vertical="top" wrapText="1"/>
    </x:xf>
    <x:xf numFmtId="0" fontId="6" fillId="6" borderId="3" xfId="0" applyNumberFormat="1" applyFont="1" applyFill="1" applyBorder="1" applyAlignment="1">
      <x:alignment horizontal="center" vertical="top" wrapText="1"/>
    </x:xf>
    <x:xf numFmtId="0" fontId="7" fillId="0" borderId="0" xfId="0" applyNumberFormat="1" applyFont="1" applyFill="1" applyBorder="1" applyAlignment="1">
      <x:alignment vertical="top"/>
    </x:xf>
    <x:xf numFmtId="0" fontId="4" fillId="3" borderId="3" xfId="0" applyNumberFormat="1" applyFont="1" applyFill="1" applyBorder="1" applyAlignment="1">
      <x:alignment horizontal="left" vertical="top" wrapText="1"/>
    </x:xf>
    <x:xf numFmtId="0" fontId="4" fillId="4" borderId="3" xfId="0" applyNumberFormat="1" applyFont="1" applyFill="1" applyBorder="1" applyAlignment="1">
      <x:alignment horizontal="left" vertical="top" wrapText="1"/>
    </x:xf>
    <x:xf numFmtId="0" fontId="3" fillId="7" borderId="3" xfId="0" applyNumberFormat="1" applyFont="1" applyFill="1" applyBorder="1" applyAlignment="1">
      <x:alignment horizontal="left" vertical="top" wrapText="1"/>
    </x:xf>
    <x:xf numFmtId="0" fontId="4" fillId="7" borderId="3" xfId="0" applyNumberFormat="1" applyFont="1" applyFill="1" applyBorder="1" applyAlignment="1">
      <x:alignment horizontal="left" vertical="top" wrapText="1"/>
    </x:xf>
    <x:xf numFmtId="0" fontId="8" fillId="7" borderId="3" xfId="0" applyNumberFormat="1" applyFont="1" applyFill="1" applyBorder="1" applyAlignment="1">
      <x:alignment horizontal="left" vertical="top" wrapText="1"/>
    </x:xf>
    <x:xf numFmtId="0" fontId="0" fillId="7" borderId="3" xfId="0" applyNumberFormat="1" applyFont="1" applyFill="1" applyBorder="1" applyAlignment="1">
      <x:alignment horizontal="left" vertical="top" wrapText="1"/>
    </x:xf>
    <x:xf numFmtId="0" fontId="6" fillId="6" borderId="0" xfId="0" applyNumberFormat="1" applyFont="1" applyFill="1" applyBorder="1" applyAlignment="1">
      <x:alignment horizontal="left" vertical="center" wrapText="1"/>
    </x:xf>
    <x:xf numFmtId="0" fontId="10" fillId="5" borderId="5" xfId="0" applyNumberFormat="1" applyFont="1" applyFill="1" applyBorder="1" applyAlignment="1">
      <x:alignment vertical="top" wrapText="1"/>
    </x:xf>
    <x:xf numFmtId="0" fontId="2" fillId="0" borderId="6" xfId="0" applyNumberFormat="1" applyFont="1" applyFill="1" applyBorder="1"/>
    <x:xf numFmtId="0" fontId="3" fillId="5" borderId="3" xfId="0" applyNumberFormat="1" applyFont="1" applyFill="1" applyBorder="1" applyAlignment="1">
      <x:alignment horizontal="left" vertical="top" wrapText="1"/>
    </x:xf>
    <x:xf numFmtId="0" fontId="4" fillId="5" borderId="3" xfId="0" applyNumberFormat="1" applyFont="1" applyFill="1" applyBorder="1" applyAlignment="1">
      <x:alignment horizontal="left" vertical="top" wrapText="1"/>
    </x:xf>
    <x:xf numFmtId="0" fontId="11" fillId="5" borderId="3" xfId="0" applyNumberFormat="1" applyFont="1" applyFill="1" applyBorder="1" applyAlignment="1">
      <x:alignment horizontal="left" vertical="top" wrapText="1"/>
    </x:xf>
    <x:xf numFmtId="0" fontId="0" fillId="5" borderId="3" xfId="0" applyNumberFormat="1" applyFont="1" applyFill="1" applyBorder="1" applyAlignment="1">
      <x:alignment horizontal="left" vertical="top" wrapText="1"/>
    </x:xf>
    <x:xf numFmtId="0" fontId="0" fillId="8" borderId="0" xfId="0" applyNumberFormat="1" applyFont="1" applyFill="1" applyBorder="1" applyAlignment="1">
      <x:alignment vertical="bottom" wrapText="0"/>
    </x:xf>
    <x:xf numFmtId="0" fontId="6" fillId="8" borderId="0" xfId="0" applyNumberFormat="1" applyFont="1" applyFill="1" applyBorder="1" applyAlignment="1">
      <x:alignment vertical="bottom" wrapText="0"/>
    </x:xf>
    <x:xf numFmtId="0" fontId="6" fillId="8" borderId="3" xfId="0" applyNumberFormat="1" applyFont="1" applyFill="1" applyBorder="1" applyAlignment="1">
      <x:alignment vertical="bottom" wrapText="0"/>
    </x:xf>
    <x:xf numFmtId="0" fontId="6" fillId="8" borderId="3" xfId="0" applyNumberFormat="1" applyFont="1" applyFill="1" applyBorder="1" applyAlignment="1">
      <x:alignment vertical="bottom" wrapText="1"/>
    </x:xf>
    <x:xf numFmtId="0" fontId="6" fillId="8" borderId="3" xfId="0" applyNumberFormat="1" applyFont="1" applyFill="1" applyBorder="1" applyAlignment="1">
      <x:alignment horizontal="center" vertical="bottom" wrapText="1"/>
    </x:xf>
    <x:xf numFmtId="0" fontId="6" fillId="8" borderId="3" xfId="0" applyNumberFormat="1" applyFont="1" applyFill="1" applyBorder="1" applyAlignment="1">
      <x:alignment horizontal="center" vertical="center" wrapText="1"/>
    </x:xf>
    <x:xf numFmtId="0" fontId="0" fillId="9" borderId="0" xfId="0" applyNumberFormat="1" applyFont="1" applyFill="1" applyBorder="1" applyAlignment="1">
      <x:alignment vertical="bottom" wrapText="0"/>
    </x:xf>
    <x:xf numFmtId="0" fontId="4" fillId="9" borderId="0" xfId="0" applyNumberFormat="1" applyFont="1" applyFill="1" applyBorder="1" applyAlignment="1">
      <x:alignment vertical="bottom" wrapText="0"/>
    </x:xf>
    <x:xf numFmtId="0" fontId="4" fillId="9" borderId="3" xfId="0" applyNumberFormat="1" applyFont="1" applyFill="1" applyBorder="1" applyAlignment="1">
      <x:alignment vertical="bottom" wrapText="0"/>
    </x:xf>
    <x:xf numFmtId="0" fontId="4" fillId="9" borderId="3" xfId="0" applyNumberFormat="1" applyFont="1" applyFill="1" applyBorder="1" applyAlignment="1">
      <x:alignment vertical="bottom" wrapText="1"/>
    </x:xf>
    <x:xf numFmtId="0" fontId="4" fillId="9" borderId="3" xfId="0" applyNumberFormat="1" applyFont="1" applyFill="1" applyBorder="1" applyAlignment="1">
      <x:alignment horizontal="left" vertical="bottom" wrapText="1"/>
    </x:xf>
    <x:xf numFmtId="0" fontId="4" fillId="9" borderId="3" xfId="0" applyNumberFormat="1" applyFont="1" applyFill="1" applyBorder="1" applyAlignment="1">
      <x:alignment horizontal="left" vertical="top" wrapText="1"/>
    </x:xf>
    <x:xf numFmtId="0" fontId="0" fillId="10" borderId="0" xfId="0" applyNumberFormat="1" applyFont="1" applyFill="1" applyBorder="1" applyAlignment="1">
      <x:alignment vertical="bottom" wrapText="0"/>
    </x:xf>
    <x:xf numFmtId="0" fontId="4" fillId="10" borderId="0" xfId="0" applyNumberFormat="1" applyFont="1" applyFill="1" applyBorder="1" applyAlignment="1">
      <x:alignment vertical="bottom" wrapText="0"/>
    </x:xf>
    <x:xf numFmtId="0" fontId="4" fillId="10" borderId="3" xfId="0" applyNumberFormat="1" applyFont="1" applyFill="1" applyBorder="1" applyAlignment="1">
      <x:alignment vertical="bottom" wrapText="0"/>
    </x:xf>
    <x:xf numFmtId="0" fontId="4" fillId="10" borderId="3" xfId="0" applyNumberFormat="1" applyFont="1" applyFill="1" applyBorder="1" applyAlignment="1">
      <x:alignment vertical="bottom" wrapText="1"/>
    </x:xf>
    <x:xf numFmtId="0" fontId="4" fillId="10" borderId="3" xfId="0" applyNumberFormat="1" applyFont="1" applyFill="1" applyBorder="1" applyAlignment="1">
      <x:alignment horizontal="left" vertical="bottom" wrapText="1"/>
    </x:xf>
    <x:xf numFmtId="0" fontId="4" fillId="10" borderId="3" xfId="0" applyNumberFormat="1" applyFont="1" applyFill="1" applyBorder="1" applyAlignment="1">
      <x:alignment horizontal="left" vertical="top" wrapText="1"/>
    </x:xf>
    <x:xf numFmtId="0" fontId="6" fillId="8" borderId="5" xfId="0" applyNumberFormat="1" applyFont="1" applyFill="1" applyBorder="1" applyAlignment="1">
      <x:alignment vertical="bottom" wrapText="0"/>
    </x:xf>
    <x:xf numFmtId="0" fontId="6" fillId="8" borderId="8" xfId="0" applyNumberFormat="1" applyFont="1" applyFill="1" applyBorder="1" applyAlignment="1">
      <x:alignment vertical="bottom" wrapText="0"/>
    </x:xf>
    <x:xf numFmtId="0" fontId="6" fillId="8" borderId="5" xfId="0" applyNumberFormat="1" applyFont="1" applyFill="1" applyBorder="1" applyAlignment="1">
      <x:alignment vertical="bottom" wrapText="1"/>
    </x:xf>
    <x:xf numFmtId="0" fontId="6" fillId="8" borderId="8" xfId="0" applyNumberFormat="1" applyFont="1" applyFill="1" applyBorder="1" applyAlignment="1">
      <x:alignment vertical="bottom" wrapText="1"/>
    </x:xf>
    <x:xf numFmtId="0" fontId="6" fillId="8" borderId="5" xfId="0" applyNumberFormat="1" applyFont="1" applyFill="1" applyBorder="1" applyAlignment="1">
      <x:alignment horizontal="center" vertical="bottom" wrapText="1"/>
    </x:xf>
    <x:xf numFmtId="0" fontId="6" fillId="8" borderId="8" xfId="0" applyNumberFormat="1" applyFont="1" applyFill="1" applyBorder="1" applyAlignment="1">
      <x:alignment horizontal="center" vertical="bottom" wrapText="1"/>
    </x:xf>
    <x:xf numFmtId="0" fontId="6" fillId="8" borderId="5" xfId="0" applyNumberFormat="1" applyFont="1" applyFill="1" applyBorder="1" applyAlignment="1">
      <x:alignment horizontal="center" vertical="center" wrapText="1"/>
    </x:xf>
    <x:xf numFmtId="0" fontId="6" fillId="8" borderId="8" xfId="0" applyNumberFormat="1" applyFont="1" applyFill="1" applyBorder="1" applyAlignment="1">
      <x:alignment horizontal="center" vertical="center" wrapText="1"/>
    </x:xf>
    <x:xf numFmtId="0" fontId="0" fillId="11" borderId="0" xfId="0" applyNumberFormat="1" applyFont="1" applyFill="1" applyBorder="1" applyAlignment="1">
      <x:alignment vertical="bottom" wrapText="0"/>
    </x:xf>
    <x:xf numFmtId="0" fontId="4" fillId="11" borderId="0" xfId="0" applyNumberFormat="1" applyFont="1" applyFill="1" applyBorder="1" applyAlignment="1">
      <x:alignment vertical="bottom" wrapText="0"/>
    </x:xf>
    <x:xf numFmtId="0" fontId="4" fillId="11" borderId="9" xfId="0" applyNumberFormat="1" applyFont="1" applyFill="1" applyBorder="1" applyAlignment="1">
      <x:alignment vertical="bottom" wrapText="0"/>
    </x:xf>
    <x:xf numFmtId="0" fontId="4" fillId="11" borderId="10" xfId="0" applyNumberFormat="1" applyFont="1" applyFill="1" applyBorder="1" applyAlignment="1">
      <x:alignment vertical="bottom" wrapText="0"/>
    </x:xf>
    <x:xf numFmtId="0" fontId="4" fillId="11" borderId="11" xfId="0" applyNumberFormat="1" applyFont="1" applyFill="1" applyBorder="1" applyAlignment="1">
      <x:alignment vertical="bottom" wrapText="0"/>
    </x:xf>
    <x:xf numFmtId="0" fontId="4" fillId="11" borderId="12" xfId="0" applyNumberFormat="1" applyFont="1" applyFill="1" applyBorder="1" applyAlignment="1">
      <x:alignment vertical="bottom" wrapText="0"/>
    </x:xf>
    <x:xf numFmtId="0" fontId="4" fillId="11" borderId="13" xfId="0" applyNumberFormat="1" applyFont="1" applyFill="1" applyBorder="1" applyAlignment="1">
      <x:alignment vertical="bottom" wrapText="0"/>
    </x:xf>
    <x:xf numFmtId="0" fontId="4" fillId="11" borderId="14" xfId="0" applyNumberFormat="1" applyFont="1" applyFill="1" applyBorder="1" applyAlignment="1">
      <x:alignment vertical="bottom" wrapText="0"/>
    </x:xf>
    <x:xf numFmtId="0" fontId="4" fillId="11" borderId="9" xfId="0" applyNumberFormat="1" applyFont="1" applyFill="1" applyBorder="1" applyAlignment="1">
      <x:alignment vertical="bottom" wrapText="1"/>
    </x:xf>
    <x:xf numFmtId="0" fontId="4" fillId="11" borderId="10" xfId="0" applyNumberFormat="1" applyFont="1" applyFill="1" applyBorder="1" applyAlignment="1">
      <x:alignment vertical="bottom" wrapText="1"/>
    </x:xf>
    <x:xf numFmtId="0" fontId="4" fillId="11" borderId="11" xfId="0" applyNumberFormat="1" applyFont="1" applyFill="1" applyBorder="1" applyAlignment="1">
      <x:alignment vertical="bottom" wrapText="1"/>
    </x:xf>
    <x:xf numFmtId="0" fontId="4" fillId="11" borderId="12" xfId="0" applyNumberFormat="1" applyFont="1" applyFill="1" applyBorder="1" applyAlignment="1">
      <x:alignment vertical="bottom" wrapText="1"/>
    </x:xf>
    <x:xf numFmtId="0" fontId="4" fillId="11" borderId="13" xfId="0" applyNumberFormat="1" applyFont="1" applyFill="1" applyBorder="1" applyAlignment="1">
      <x:alignment vertical="bottom" wrapText="1"/>
    </x:xf>
    <x:xf numFmtId="0" fontId="4" fillId="11" borderId="14" xfId="0" applyNumberFormat="1" applyFont="1" applyFill="1" applyBorder="1" applyAlignment="1">
      <x:alignment vertical="bottom" wrapText="1"/>
    </x:xf>
    <x:xf numFmtId="0" fontId="4" fillId="11" borderId="9" xfId="0" applyNumberFormat="1" applyFont="1" applyFill="1" applyBorder="1" applyAlignment="1">
      <x:alignment horizontal="left" vertical="bottom" wrapText="1"/>
    </x:xf>
    <x:xf numFmtId="0" fontId="4" fillId="11" borderId="10" xfId="0" applyNumberFormat="1" applyFont="1" applyFill="1" applyBorder="1" applyAlignment="1">
      <x:alignment horizontal="left" vertical="bottom" wrapText="1"/>
    </x:xf>
    <x:xf numFmtId="0" fontId="4" fillId="11" borderId="11" xfId="0" applyNumberFormat="1" applyFont="1" applyFill="1" applyBorder="1" applyAlignment="1">
      <x:alignment horizontal="left" vertical="bottom" wrapText="1"/>
    </x:xf>
    <x:xf numFmtId="0" fontId="4" fillId="11" borderId="12" xfId="0" applyNumberFormat="1" applyFont="1" applyFill="1" applyBorder="1" applyAlignment="1">
      <x:alignment horizontal="left" vertical="bottom" wrapText="1"/>
    </x:xf>
    <x:xf numFmtId="0" fontId="4" fillId="11" borderId="13" xfId="0" applyNumberFormat="1" applyFont="1" applyFill="1" applyBorder="1" applyAlignment="1">
      <x:alignment horizontal="left" vertical="bottom" wrapText="1"/>
    </x:xf>
    <x:xf numFmtId="0" fontId="4" fillId="11" borderId="14" xfId="0" applyNumberFormat="1" applyFont="1" applyFill="1" applyBorder="1" applyAlignment="1">
      <x:alignment horizontal="left" vertical="bottom" wrapText="1"/>
    </x:xf>
    <x:xf numFmtId="0" fontId="4" fillId="11" borderId="9" xfId="0" applyNumberFormat="1" applyFont="1" applyFill="1" applyBorder="1" applyAlignment="1">
      <x:alignment horizontal="left" vertical="top" wrapText="1"/>
    </x:xf>
    <x:xf numFmtId="0" fontId="4" fillId="11" borderId="10" xfId="0" applyNumberFormat="1" applyFont="1" applyFill="1" applyBorder="1" applyAlignment="1">
      <x:alignment horizontal="left" vertical="top" wrapText="1"/>
    </x:xf>
    <x:xf numFmtId="0" fontId="4" fillId="11" borderId="11" xfId="0" applyNumberFormat="1" applyFont="1" applyFill="1" applyBorder="1" applyAlignment="1">
      <x:alignment horizontal="left" vertical="top" wrapText="1"/>
    </x:xf>
    <x:xf numFmtId="0" fontId="4" fillId="11" borderId="12" xfId="0" applyNumberFormat="1" applyFont="1" applyFill="1" applyBorder="1" applyAlignment="1">
      <x:alignment horizontal="left" vertical="top" wrapText="1"/>
    </x:xf>
    <x:xf numFmtId="0" fontId="4" fillId="11" borderId="13" xfId="0" applyNumberFormat="1" applyFont="1" applyFill="1" applyBorder="1" applyAlignment="1">
      <x:alignment horizontal="left" vertical="top" wrapText="1"/>
    </x:xf>
    <x:xf numFmtId="0" fontId="4" fillId="11" borderId="14" xfId="0" applyNumberFormat="1" applyFont="1" applyFill="1" applyBorder="1" applyAlignment="1">
      <x:alignment horizontal="left" vertical="top" wrapText="1"/>
    </x:xf>
    <x:xf numFmtId="0" fontId="0" fillId="12" borderId="0" xfId="0" applyNumberFormat="1" applyFont="1" applyFill="1" applyBorder="1" applyAlignment="1">
      <x:alignment vertical="bottom" wrapText="0"/>
    </x:xf>
    <x:xf numFmtId="0" fontId="4" fillId="12" borderId="0" xfId="0" applyNumberFormat="1" applyFont="1" applyFill="1" applyBorder="1" applyAlignment="1">
      <x:alignment vertical="bottom" wrapText="0"/>
    </x:xf>
    <x:xf numFmtId="0" fontId="4" fillId="12" borderId="9" xfId="0" applyNumberFormat="1" applyFont="1" applyFill="1" applyBorder="1" applyAlignment="1">
      <x:alignment vertical="bottom" wrapText="0"/>
    </x:xf>
    <x:xf numFmtId="0" fontId="4" fillId="12" borderId="10" xfId="0" applyNumberFormat="1" applyFont="1" applyFill="1" applyBorder="1" applyAlignment="1">
      <x:alignment vertical="bottom" wrapText="0"/>
    </x:xf>
    <x:xf numFmtId="0" fontId="4" fillId="12" borderId="11" xfId="0" applyNumberFormat="1" applyFont="1" applyFill="1" applyBorder="1" applyAlignment="1">
      <x:alignment vertical="bottom" wrapText="0"/>
    </x:xf>
    <x:xf numFmtId="0" fontId="4" fillId="12" borderId="12" xfId="0" applyNumberFormat="1" applyFont="1" applyFill="1" applyBorder="1" applyAlignment="1">
      <x:alignment vertical="bottom" wrapText="0"/>
    </x:xf>
    <x:xf numFmtId="0" fontId="4" fillId="12" borderId="13" xfId="0" applyNumberFormat="1" applyFont="1" applyFill="1" applyBorder="1" applyAlignment="1">
      <x:alignment vertical="bottom" wrapText="0"/>
    </x:xf>
    <x:xf numFmtId="0" fontId="4" fillId="12" borderId="14" xfId="0" applyNumberFormat="1" applyFont="1" applyFill="1" applyBorder="1" applyAlignment="1">
      <x:alignment vertical="bottom" wrapText="0"/>
    </x:xf>
    <x:xf numFmtId="0" fontId="4" fillId="12" borderId="9" xfId="0" applyNumberFormat="1" applyFont="1" applyFill="1" applyBorder="1" applyAlignment="1">
      <x:alignment vertical="bottom" wrapText="1"/>
    </x:xf>
    <x:xf numFmtId="0" fontId="4" fillId="12" borderId="10" xfId="0" applyNumberFormat="1" applyFont="1" applyFill="1" applyBorder="1" applyAlignment="1">
      <x:alignment vertical="bottom" wrapText="1"/>
    </x:xf>
    <x:xf numFmtId="0" fontId="4" fillId="12" borderId="11" xfId="0" applyNumberFormat="1" applyFont="1" applyFill="1" applyBorder="1" applyAlignment="1">
      <x:alignment vertical="bottom" wrapText="1"/>
    </x:xf>
    <x:xf numFmtId="0" fontId="4" fillId="12" borderId="12" xfId="0" applyNumberFormat="1" applyFont="1" applyFill="1" applyBorder="1" applyAlignment="1">
      <x:alignment vertical="bottom" wrapText="1"/>
    </x:xf>
    <x:xf numFmtId="0" fontId="4" fillId="12" borderId="13" xfId="0" applyNumberFormat="1" applyFont="1" applyFill="1" applyBorder="1" applyAlignment="1">
      <x:alignment vertical="bottom" wrapText="1"/>
    </x:xf>
    <x:xf numFmtId="0" fontId="4" fillId="12" borderId="14" xfId="0" applyNumberFormat="1" applyFont="1" applyFill="1" applyBorder="1" applyAlignment="1">
      <x:alignment vertical="bottom" wrapText="1"/>
    </x:xf>
    <x:xf numFmtId="0" fontId="4" fillId="12" borderId="9" xfId="0" applyNumberFormat="1" applyFont="1" applyFill="1" applyBorder="1" applyAlignment="1">
      <x:alignment horizontal="left" vertical="bottom" wrapText="1"/>
    </x:xf>
    <x:xf numFmtId="0" fontId="4" fillId="12" borderId="10" xfId="0" applyNumberFormat="1" applyFont="1" applyFill="1" applyBorder="1" applyAlignment="1">
      <x:alignment horizontal="left" vertical="bottom" wrapText="1"/>
    </x:xf>
    <x:xf numFmtId="0" fontId="4" fillId="12" borderId="11" xfId="0" applyNumberFormat="1" applyFont="1" applyFill="1" applyBorder="1" applyAlignment="1">
      <x:alignment horizontal="left" vertical="bottom" wrapText="1"/>
    </x:xf>
    <x:xf numFmtId="0" fontId="4" fillId="12" borderId="12" xfId="0" applyNumberFormat="1" applyFont="1" applyFill="1" applyBorder="1" applyAlignment="1">
      <x:alignment horizontal="left" vertical="bottom" wrapText="1"/>
    </x:xf>
    <x:xf numFmtId="0" fontId="4" fillId="12" borderId="13" xfId="0" applyNumberFormat="1" applyFont="1" applyFill="1" applyBorder="1" applyAlignment="1">
      <x:alignment horizontal="left" vertical="bottom" wrapText="1"/>
    </x:xf>
    <x:xf numFmtId="0" fontId="4" fillId="12" borderId="14" xfId="0" applyNumberFormat="1" applyFont="1" applyFill="1" applyBorder="1" applyAlignment="1">
      <x:alignment horizontal="left" vertical="bottom" wrapText="1"/>
    </x:xf>
    <x:xf numFmtId="0" fontId="4" fillId="12" borderId="9" xfId="0" applyNumberFormat="1" applyFont="1" applyFill="1" applyBorder="1" applyAlignment="1">
      <x:alignment horizontal="left" vertical="top" wrapText="1"/>
    </x:xf>
    <x:xf numFmtId="0" fontId="4" fillId="12" borderId="10" xfId="0" applyNumberFormat="1" applyFont="1" applyFill="1" applyBorder="1" applyAlignment="1">
      <x:alignment horizontal="left" vertical="top" wrapText="1"/>
    </x:xf>
    <x:xf numFmtId="0" fontId="4" fillId="12" borderId="11" xfId="0" applyNumberFormat="1" applyFont="1" applyFill="1" applyBorder="1" applyAlignment="1">
      <x:alignment horizontal="left" vertical="top" wrapText="1"/>
    </x:xf>
    <x:xf numFmtId="0" fontId="4" fillId="12" borderId="12" xfId="0" applyNumberFormat="1" applyFont="1" applyFill="1" applyBorder="1" applyAlignment="1">
      <x:alignment horizontal="left" vertical="top" wrapText="1"/>
    </x:xf>
    <x:xf numFmtId="0" fontId="4" fillId="12" borderId="13" xfId="0" applyNumberFormat="1" applyFont="1" applyFill="1" applyBorder="1" applyAlignment="1">
      <x:alignment horizontal="left" vertical="top" wrapText="1"/>
    </x:xf>
    <x:xf numFmtId="0" fontId="4" fillId="12" borderId="14" xfId="0" applyNumberFormat="1" applyFont="1" applyFill="1" applyBorder="1" applyAlignment="1">
      <x:alignment horizontal="left" vertical="top" wrapText="1"/>
    </x:xf>
    <x:xf numFmtId="0" fontId="4" fillId="9" borderId="8" xfId="0" applyNumberFormat="1" applyFont="1" applyFill="1" applyBorder="1" applyAlignment="1">
      <x:alignment vertical="bottom" wrapText="0"/>
    </x:xf>
    <x:xf numFmtId="0" fontId="4" fillId="9" borderId="8" xfId="0" applyNumberFormat="1" applyFont="1" applyFill="1" applyBorder="1" applyAlignment="1">
      <x:alignment vertical="bottom" wrapText="1"/>
    </x:xf>
    <x:xf numFmtId="0" fontId="4" fillId="9" borderId="8" xfId="0" applyNumberFormat="1" applyFont="1" applyFill="1" applyBorder="1" applyAlignment="1">
      <x:alignment horizontal="left" vertical="bottom" wrapText="1"/>
    </x:xf>
    <x:xf numFmtId="0" fontId="4" fillId="9" borderId="8" xfId="0" applyNumberFormat="1" applyFont="1" applyFill="1" applyBorder="1" applyAlignment="1">
      <x:alignment horizontal="left" vertical="top" wrapText="1"/>
    </x:xf>
    <x:xf numFmtId="0" fontId="4" fillId="10" borderId="8" xfId="0" applyNumberFormat="1" applyFont="1" applyFill="1" applyBorder="1" applyAlignment="1">
      <x:alignment vertical="bottom" wrapText="0"/>
    </x:xf>
    <x:xf numFmtId="0" fontId="4" fillId="10" borderId="8" xfId="0" applyNumberFormat="1" applyFont="1" applyFill="1" applyBorder="1" applyAlignment="1">
      <x:alignment vertical="bottom" wrapText="1"/>
    </x:xf>
    <x:xf numFmtId="0" fontId="4" fillId="10" borderId="8" xfId="0" applyNumberFormat="1" applyFont="1" applyFill="1" applyBorder="1" applyAlignment="1">
      <x:alignment horizontal="left" vertical="bottom" wrapText="1"/>
    </x:xf>
    <x:xf numFmtId="0" fontId="4" fillId="10" borderId="8" xfId="0" applyNumberFormat="1" applyFont="1" applyFill="1" applyBorder="1" applyAlignment="1">
      <x:alignment horizontal="left" vertical="top" wrapText="1"/>
    </x:xf>
    <x:xf numFmtId="0" fontId="4" fillId="10" borderId="5" xfId="0" applyNumberFormat="1" applyFont="1" applyFill="1" applyBorder="1" applyAlignment="1">
      <x:alignment vertical="bottom" wrapText="0"/>
    </x:xf>
    <x:xf numFmtId="0" fontId="4" fillId="10" borderId="6" xfId="0" applyNumberFormat="1" applyFont="1" applyFill="1" applyBorder="1" applyAlignment="1">
      <x:alignment vertical="bottom" wrapText="0"/>
    </x:xf>
    <x:xf numFmtId="0" fontId="4" fillId="10" borderId="5" xfId="0" applyNumberFormat="1" applyFont="1" applyFill="1" applyBorder="1" applyAlignment="1">
      <x:alignment vertical="bottom" wrapText="1"/>
    </x:xf>
    <x:xf numFmtId="0" fontId="4" fillId="10" borderId="6" xfId="0" applyNumberFormat="1" applyFont="1" applyFill="1" applyBorder="1" applyAlignment="1">
      <x:alignment vertical="bottom" wrapText="1"/>
    </x:xf>
    <x:xf numFmtId="0" fontId="4" fillId="10" borderId="5" xfId="0" applyNumberFormat="1" applyFont="1" applyFill="1" applyBorder="1" applyAlignment="1">
      <x:alignment horizontal="left" vertical="bottom" wrapText="1"/>
    </x:xf>
    <x:xf numFmtId="0" fontId="4" fillId="10" borderId="6" xfId="0" applyNumberFormat="1" applyFont="1" applyFill="1" applyBorder="1" applyAlignment="1">
      <x:alignment horizontal="left" vertical="bottom" wrapText="1"/>
    </x:xf>
    <x:xf numFmtId="0" fontId="4" fillId="10" borderId="5" xfId="0" applyNumberFormat="1" applyFont="1" applyFill="1" applyBorder="1" applyAlignment="1">
      <x:alignment horizontal="left" vertical="top" wrapText="1"/>
    </x:xf>
    <x:xf numFmtId="0" fontId="4" fillId="10" borderId="6" xfId="0" applyNumberFormat="1" applyFont="1" applyFill="1" applyBorder="1" applyAlignment="1">
      <x:alignment horizontal="left" vertical="top" wrapText="1"/>
    </x:xf>
    <x:xf numFmtId="0" fontId="6" fillId="9" borderId="1" xfId="0" applyNumberFormat="1" applyFont="1" applyFill="1" applyBorder="1" applyAlignment="1">
      <x:alignment horizontal="left" vertical="center" wrapText="1"/>
    </x:xf>
    <x:xf numFmtId="0" fontId="2" fillId="9" borderId="4" xfId="0" applyNumberFormat="1" applyFont="1" applyFill="1" applyBorder="1"/>
    <x:xf numFmtId="0" fontId="2" fillId="9" borderId="2" xfId="0" applyNumberFormat="1" applyFont="1" applyFill="1" applyBorder="1"/>
    <x:xf numFmtId="0" fontId="12" fillId="9" borderId="1" xfId="0" applyNumberFormat="1" applyFont="1" applyFill="1" applyBorder="1" applyAlignment="1">
      <x:alignment horizontal="left" vertical="center" wrapText="1"/>
    </x:xf>
    <x:xf numFmtId="0" fontId="4" fillId="9" borderId="4" xfId="0" applyNumberFormat="1" applyFont="1" applyFill="1" applyBorder="1"/>
    <x:xf numFmtId="0" fontId="4" fillId="9" borderId="2" xfId="0" applyNumberFormat="1" applyFont="1" applyFill="1" applyBorder="1"/>
    <x:xf numFmtId="0" fontId="12" fillId="9" borderId="5" xfId="0" applyNumberFormat="1" applyFont="1" applyFill="1" applyBorder="1" applyAlignment="1">
      <x:alignment horizontal="left" vertical="center" wrapText="1"/>
    </x:xf>
    <x:xf numFmtId="0" fontId="4" fillId="9" borderId="6" xfId="0" applyNumberFormat="1" applyFont="1" applyFill="1" applyBorder="1"/>
    <x:xf numFmtId="0" fontId="4" fillId="9" borderId="7" xfId="0" applyNumberFormat="1" applyFont="1" applyFill="1" applyBorder="1"/>
    <x:xf numFmtId="0" fontId="4" fillId="9" borderId="6" xfId="0" applyNumberFormat="1" applyFont="1" applyFill="1" applyBorder="1" applyAlignment="1">
      <x:alignment wrapText="1"/>
    </x:xf>
    <x:xf numFmtId="0" fontId="4" fillId="9" borderId="7" xfId="0" applyNumberFormat="1" applyFont="1" applyFill="1" applyBorder="1" applyAlignment="1">
      <x:alignment wrapText="1"/>
    </x:xf>
    <x:xf numFmtId="0" fontId="4" fillId="9" borderId="6" xfId="0" applyNumberFormat="1" applyFont="1" applyFill="1" applyBorder="1" applyAlignment="1">
      <x:alignment horizontal="left" wrapText="1"/>
    </x:xf>
    <x:xf numFmtId="0" fontId="4" fillId="9" borderId="7" xfId="0" applyNumberFormat="1" applyFont="1" applyFill="1" applyBorder="1" applyAlignment="1">
      <x:alignment horizontal="left" wrapText="1"/>
    </x:xf>
    <x:xf numFmtId="0" fontId="12" fillId="9" borderId="5" xfId="0" applyNumberFormat="1" applyFont="1" applyFill="1" applyBorder="1" applyAlignment="1">
      <x:alignment horizontal="left" vertical="top" wrapText="1"/>
    </x:xf>
    <x:xf numFmtId="0" fontId="4" fillId="9" borderId="6" xfId="0" applyNumberFormat="1" applyFont="1" applyFill="1" applyBorder="1" applyAlignment="1">
      <x:alignment horizontal="left" vertical="top" wrapText="1"/>
    </x:xf>
    <x:xf numFmtId="0" fontId="4" fillId="9" borderId="7" xfId="0" applyNumberFormat="1" applyFont="1" applyFill="1" applyBorder="1" applyAlignment="1">
      <x:alignment horizontal="left" vertical="top" wrapText="1"/>
    </x:xf>
    <x:xf numFmtId="0" fontId="6" fillId="9" borderId="0" xfId="0" applyNumberFormat="1" applyFont="1" applyFill="1" applyBorder="1" applyAlignment="1">
      <x:alignment horizontal="left" vertical="center" wrapText="1"/>
    </x:xf>
    <x:xf numFmtId="0" fontId="2" fillId="9" borderId="0" xfId="0" applyNumberFormat="1" applyFont="1" applyFill="1" applyBorder="1"/>
    <x:xf numFmtId="0" fontId="12" fillId="9" borderId="0" xfId="0" applyNumberFormat="1" applyFont="1" applyFill="1" applyBorder="1" applyAlignment="1">
      <x:alignment horizontal="left" vertical="center" wrapText="1"/>
    </x:xf>
    <x:xf numFmtId="0" fontId="4" fillId="9" borderId="0" xfId="0" applyNumberFormat="1" applyFont="1" applyFill="1" applyBorder="1"/>
    <x:xf numFmtId="0" fontId="10" fillId="10" borderId="5" xfId="0" applyNumberFormat="1" applyFont="1" applyFill="1" applyBorder="1" applyAlignment="1">
      <x:alignment vertical="top" wrapText="1"/>
    </x:xf>
    <x:xf numFmtId="0" fontId="2" fillId="10" borderId="6" xfId="0" applyNumberFormat="1" applyFont="1" applyFill="1" applyBorder="1"/>
    <x:xf numFmtId="0" fontId="2" fillId="10" borderId="7" xfId="0" applyNumberFormat="1" applyFont="1" applyFill="1" applyBorder="1"/>
    <x:xf numFmtId="0" fontId="4" fillId="10" borderId="5" xfId="0" applyNumberFormat="1" applyFont="1" applyFill="1" applyBorder="1" applyAlignment="1">
      <x:alignment vertical="top" wrapText="1"/>
    </x:xf>
    <x:xf numFmtId="0" fontId="4" fillId="10" borderId="6" xfId="0" applyNumberFormat="1" applyFont="1" applyFill="1" applyBorder="1"/>
    <x:xf numFmtId="0" fontId="4" fillId="10" borderId="7" xfId="0" applyNumberFormat="1" applyFont="1" applyFill="1" applyBorder="1"/>
    <x:xf numFmtId="0" fontId="4" fillId="10" borderId="6" xfId="0" applyNumberFormat="1" applyFont="1" applyFill="1" applyBorder="1" applyAlignment="1">
      <x:alignment wrapText="1"/>
    </x:xf>
    <x:xf numFmtId="0" fontId="4" fillId="10" borderId="7" xfId="0" applyNumberFormat="1" applyFont="1" applyFill="1" applyBorder="1" applyAlignment="1">
      <x:alignment wrapText="1"/>
    </x:xf>
    <x:xf numFmtId="0" fontId="4" fillId="10" borderId="6" xfId="0" applyNumberFormat="1" applyFont="1" applyFill="1" applyBorder="1" applyAlignment="1">
      <x:alignment horizontal="left" wrapText="1"/>
    </x:xf>
    <x:xf numFmtId="0" fontId="4" fillId="10" borderId="7" xfId="0" applyNumberFormat="1" applyFont="1" applyFill="1" applyBorder="1" applyAlignment="1">
      <x:alignment horizontal="left" wrapText="1"/>
    </x:xf>
    <x:xf numFmtId="0" fontId="4" fillId="10" borderId="7" xfId="0" applyNumberFormat="1" applyFont="1" applyFill="1" applyBorder="1" applyAlignment="1">
      <x:alignment horizontal="left" vertical="top" wrapText="1"/>
    </x:xf>
    <x:xf numFmtId="0" fontId="10" fillId="9" borderId="5" xfId="0" applyNumberFormat="1" applyFont="1" applyFill="1" applyBorder="1" applyAlignment="1">
      <x:alignment vertical="top" wrapText="1"/>
    </x:xf>
    <x:xf numFmtId="0" fontId="2" fillId="9" borderId="6" xfId="0" applyNumberFormat="1" applyFont="1" applyFill="1" applyBorder="1"/>
    <x:xf numFmtId="0" fontId="2" fillId="9" borderId="7" xfId="0" applyNumberFormat="1" applyFont="1" applyFill="1" applyBorder="1"/>
    <x:xf numFmtId="0" fontId="4" fillId="9" borderId="5" xfId="0" applyNumberFormat="1" applyFont="1" applyFill="1" applyBorder="1" applyAlignment="1">
      <x:alignment vertical="top" wrapText="1"/>
    </x:xf>
    <x:xf numFmtId="0" fontId="4" fillId="9" borderId="5" xfId="0" applyNumberFormat="1" applyFont="1" applyFill="1" applyBorder="1" applyAlignment="1">
      <x:alignment horizontal="left" vertical="top" wrapText="1"/>
    </x:xf>
    <x:xf numFmtId="0" fontId="0" fillId="6" borderId="0" xfId="0" applyNumberFormat="1" applyFont="1" applyFill="1" applyBorder="1" applyAlignment="1">
      <x:alignment vertical="bottom" wrapText="0"/>
    </x:xf>
    <x:xf numFmtId="0" fontId="6" fillId="6" borderId="0" xfId="0" applyNumberFormat="1" applyFont="1" applyFill="1" applyBorder="1" applyAlignment="1">
      <x:alignment vertical="bottom" wrapText="0"/>
    </x:xf>
    <x:xf numFmtId="0" fontId="6" fillId="6" borderId="3" xfId="0" applyNumberFormat="1" applyFont="1" applyFill="1" applyBorder="1" applyAlignment="1">
      <x:alignment vertical="bottom" wrapText="0"/>
    </x:xf>
    <x:xf numFmtId="0" fontId="6" fillId="6" borderId="3" xfId="0" applyNumberFormat="1" applyFont="1" applyFill="1" applyBorder="1" applyAlignment="1">
      <x:alignment vertical="bottom" wrapText="1"/>
    </x:xf>
    <x:xf numFmtId="0" fontId="6" fillId="6" borderId="3" xfId="0" applyNumberFormat="1" applyFont="1" applyFill="1" applyBorder="1" applyAlignment="1">
      <x:alignment horizontal="center" vertical="bottom" wrapText="1"/>
    </x:xf>
    <x:xf numFmtId="0" fontId="6" fillId="6" borderId="3" xfId="0" applyNumberFormat="1" applyFont="1" applyFill="1" applyBorder="1" applyAlignment="1">
      <x:alignment horizontal="center" vertical="center" wrapText="1"/>
    </x:xf>
    <x:xf numFmtId="0" fontId="0" fillId="3" borderId="0" xfId="0" applyNumberFormat="1" applyFont="1" applyFill="1" applyBorder="1" applyAlignment="1">
      <x:alignment vertical="bottom" wrapText="0"/>
    </x:xf>
    <x:xf numFmtId="0" fontId="4" fillId="3" borderId="0" xfId="0" applyNumberFormat="1" applyFont="1" applyFill="1" applyBorder="1" applyAlignment="1">
      <x:alignment vertical="bottom" wrapText="0"/>
    </x:xf>
    <x:xf numFmtId="0" fontId="4" fillId="3" borderId="3" xfId="0" applyNumberFormat="1" applyFont="1" applyFill="1" applyBorder="1" applyAlignment="1">
      <x:alignment vertical="bottom" wrapText="0"/>
    </x:xf>
    <x:xf numFmtId="0" fontId="4" fillId="3" borderId="3" xfId="0" applyNumberFormat="1" applyFont="1" applyFill="1" applyBorder="1" applyAlignment="1">
      <x:alignment vertical="bottom" wrapText="1"/>
    </x:xf>
    <x:xf numFmtId="0" fontId="4" fillId="3" borderId="3" xfId="0" applyNumberFormat="1" applyFont="1" applyFill="1" applyBorder="1" applyAlignment="1">
      <x:alignment horizontal="left" vertical="bottom" wrapText="1"/>
    </x:xf>
    <x:xf numFmtId="0" fontId="0" fillId="4" borderId="0" xfId="0" applyNumberFormat="1" applyFont="1" applyFill="1" applyBorder="1" applyAlignment="1">
      <x:alignment vertical="bottom" wrapText="0"/>
    </x:xf>
    <x:xf numFmtId="0" fontId="4" fillId="4" borderId="0" xfId="0" applyNumberFormat="1" applyFont="1" applyFill="1" applyBorder="1" applyAlignment="1">
      <x:alignment vertical="bottom" wrapText="0"/>
    </x:xf>
    <x:xf numFmtId="0" fontId="4" fillId="4" borderId="3" xfId="0" applyNumberFormat="1" applyFont="1" applyFill="1" applyBorder="1" applyAlignment="1">
      <x:alignment vertical="bottom" wrapText="0"/>
    </x:xf>
    <x:xf numFmtId="0" fontId="4" fillId="4" borderId="3" xfId="0" applyNumberFormat="1" applyFont="1" applyFill="1" applyBorder="1" applyAlignment="1">
      <x:alignment vertical="bottom" wrapText="1"/>
    </x:xf>
    <x:xf numFmtId="0" fontId="4" fillId="4" borderId="3" xfId="0" applyNumberFormat="1" applyFont="1" applyFill="1" applyBorder="1" applyAlignment="1">
      <x:alignment horizontal="left" vertical="bottom" wrapText="1"/>
    </x:xf>
    <x:xf numFmtId="0" fontId="6" fillId="6" borderId="5" xfId="0" applyNumberFormat="1" applyFont="1" applyFill="1" applyBorder="1" applyAlignment="1">
      <x:alignment vertical="bottom" wrapText="0"/>
    </x:xf>
    <x:xf numFmtId="0" fontId="6" fillId="6" borderId="8" xfId="0" applyNumberFormat="1" applyFont="1" applyFill="1" applyBorder="1" applyAlignment="1">
      <x:alignment vertical="bottom" wrapText="0"/>
    </x:xf>
    <x:xf numFmtId="0" fontId="6" fillId="6" borderId="5" xfId="0" applyNumberFormat="1" applyFont="1" applyFill="1" applyBorder="1" applyAlignment="1">
      <x:alignment vertical="bottom" wrapText="1"/>
    </x:xf>
    <x:xf numFmtId="0" fontId="6" fillId="6" borderId="8" xfId="0" applyNumberFormat="1" applyFont="1" applyFill="1" applyBorder="1" applyAlignment="1">
      <x:alignment vertical="bottom" wrapText="1"/>
    </x:xf>
    <x:xf numFmtId="0" fontId="6" fillId="6" borderId="5" xfId="0" applyNumberFormat="1" applyFont="1" applyFill="1" applyBorder="1" applyAlignment="1">
      <x:alignment horizontal="center" vertical="bottom" wrapText="1"/>
    </x:xf>
    <x:xf numFmtId="0" fontId="6" fillId="6" borderId="8" xfId="0" applyNumberFormat="1" applyFont="1" applyFill="1" applyBorder="1" applyAlignment="1">
      <x:alignment horizontal="center" vertical="bottom" wrapText="1"/>
    </x:xf>
    <x:xf numFmtId="0" fontId="6" fillId="6" borderId="5" xfId="0" applyNumberFormat="1" applyFont="1" applyFill="1" applyBorder="1" applyAlignment="1">
      <x:alignment horizontal="center" vertical="center" wrapText="1"/>
    </x:xf>
    <x:xf numFmtId="0" fontId="6" fillId="6" borderId="8" xfId="0" applyNumberFormat="1" applyFont="1" applyFill="1" applyBorder="1" applyAlignment="1">
      <x:alignment horizontal="center" vertical="center" wrapText="1"/>
    </x:xf>
    <x:xf numFmtId="0" fontId="0" fillId="7" borderId="0" xfId="0" applyNumberFormat="1" applyFont="1" applyFill="1" applyBorder="1" applyAlignment="1">
      <x:alignment vertical="bottom" wrapText="0"/>
    </x:xf>
    <x:xf numFmtId="0" fontId="4" fillId="7" borderId="0" xfId="0" applyNumberFormat="1" applyFont="1" applyFill="1" applyBorder="1" applyAlignment="1">
      <x:alignment vertical="bottom" wrapText="0"/>
    </x:xf>
    <x:xf numFmtId="0" fontId="4" fillId="7" borderId="9" xfId="0" applyNumberFormat="1" applyFont="1" applyFill="1" applyBorder="1" applyAlignment="1">
      <x:alignment vertical="bottom" wrapText="0"/>
    </x:xf>
    <x:xf numFmtId="0" fontId="4" fillId="7" borderId="10" xfId="0" applyNumberFormat="1" applyFont="1" applyFill="1" applyBorder="1" applyAlignment="1">
      <x:alignment vertical="bottom" wrapText="0"/>
    </x:xf>
    <x:xf numFmtId="0" fontId="4" fillId="7" borderId="11" xfId="0" applyNumberFormat="1" applyFont="1" applyFill="1" applyBorder="1" applyAlignment="1">
      <x:alignment vertical="bottom" wrapText="0"/>
    </x:xf>
    <x:xf numFmtId="0" fontId="4" fillId="7" borderId="12" xfId="0" applyNumberFormat="1" applyFont="1" applyFill="1" applyBorder="1" applyAlignment="1">
      <x:alignment vertical="bottom" wrapText="0"/>
    </x:xf>
    <x:xf numFmtId="0" fontId="4" fillId="7" borderId="13" xfId="0" applyNumberFormat="1" applyFont="1" applyFill="1" applyBorder="1" applyAlignment="1">
      <x:alignment vertical="bottom" wrapText="0"/>
    </x:xf>
    <x:xf numFmtId="0" fontId="4" fillId="7" borderId="14" xfId="0" applyNumberFormat="1" applyFont="1" applyFill="1" applyBorder="1" applyAlignment="1">
      <x:alignment vertical="bottom" wrapText="0"/>
    </x:xf>
    <x:xf numFmtId="0" fontId="4" fillId="7" borderId="9" xfId="0" applyNumberFormat="1" applyFont="1" applyFill="1" applyBorder="1" applyAlignment="1">
      <x:alignment vertical="bottom" wrapText="1"/>
    </x:xf>
    <x:xf numFmtId="0" fontId="4" fillId="7" borderId="10" xfId="0" applyNumberFormat="1" applyFont="1" applyFill="1" applyBorder="1" applyAlignment="1">
      <x:alignment vertical="bottom" wrapText="1"/>
    </x:xf>
    <x:xf numFmtId="0" fontId="4" fillId="7" borderId="11" xfId="0" applyNumberFormat="1" applyFont="1" applyFill="1" applyBorder="1" applyAlignment="1">
      <x:alignment vertical="bottom" wrapText="1"/>
    </x:xf>
    <x:xf numFmtId="0" fontId="4" fillId="7" borderId="12" xfId="0" applyNumberFormat="1" applyFont="1" applyFill="1" applyBorder="1" applyAlignment="1">
      <x:alignment vertical="bottom" wrapText="1"/>
    </x:xf>
    <x:xf numFmtId="0" fontId="4" fillId="7" borderId="13" xfId="0" applyNumberFormat="1" applyFont="1" applyFill="1" applyBorder="1" applyAlignment="1">
      <x:alignment vertical="bottom" wrapText="1"/>
    </x:xf>
    <x:xf numFmtId="0" fontId="4" fillId="7" borderId="14" xfId="0" applyNumberFormat="1" applyFont="1" applyFill="1" applyBorder="1" applyAlignment="1">
      <x:alignment vertical="bottom" wrapText="1"/>
    </x:xf>
    <x:xf numFmtId="0" fontId="4" fillId="7" borderId="9" xfId="0" applyNumberFormat="1" applyFont="1" applyFill="1" applyBorder="1" applyAlignment="1">
      <x:alignment horizontal="left" vertical="bottom" wrapText="1"/>
    </x:xf>
    <x:xf numFmtId="0" fontId="4" fillId="7" borderId="10" xfId="0" applyNumberFormat="1" applyFont="1" applyFill="1" applyBorder="1" applyAlignment="1">
      <x:alignment horizontal="left" vertical="bottom" wrapText="1"/>
    </x:xf>
    <x:xf numFmtId="0" fontId="4" fillId="7" borderId="11" xfId="0" applyNumberFormat="1" applyFont="1" applyFill="1" applyBorder="1" applyAlignment="1">
      <x:alignment horizontal="left" vertical="bottom" wrapText="1"/>
    </x:xf>
    <x:xf numFmtId="0" fontId="4" fillId="7" borderId="12" xfId="0" applyNumberFormat="1" applyFont="1" applyFill="1" applyBorder="1" applyAlignment="1">
      <x:alignment horizontal="left" vertical="bottom" wrapText="1"/>
    </x:xf>
    <x:xf numFmtId="0" fontId="4" fillId="7" borderId="13" xfId="0" applyNumberFormat="1" applyFont="1" applyFill="1" applyBorder="1" applyAlignment="1">
      <x:alignment horizontal="left" vertical="bottom" wrapText="1"/>
    </x:xf>
    <x:xf numFmtId="0" fontId="4" fillId="7" borderId="14" xfId="0" applyNumberFormat="1" applyFont="1" applyFill="1" applyBorder="1" applyAlignment="1">
      <x:alignment horizontal="left" vertical="bottom" wrapText="1"/>
    </x:xf>
    <x:xf numFmtId="0" fontId="4" fillId="7" borderId="9" xfId="0" applyNumberFormat="1" applyFont="1" applyFill="1" applyBorder="1" applyAlignment="1">
      <x:alignment horizontal="left" vertical="top" wrapText="1"/>
    </x:xf>
    <x:xf numFmtId="0" fontId="4" fillId="7" borderId="10" xfId="0" applyNumberFormat="1" applyFont="1" applyFill="1" applyBorder="1" applyAlignment="1">
      <x:alignment horizontal="left" vertical="top" wrapText="1"/>
    </x:xf>
    <x:xf numFmtId="0" fontId="4" fillId="7" borderId="11" xfId="0" applyNumberFormat="1" applyFont="1" applyFill="1" applyBorder="1" applyAlignment="1">
      <x:alignment horizontal="left" vertical="top" wrapText="1"/>
    </x:xf>
    <x:xf numFmtId="0" fontId="4" fillId="7" borderId="12" xfId="0" applyNumberFormat="1" applyFont="1" applyFill="1" applyBorder="1" applyAlignment="1">
      <x:alignment horizontal="left" vertical="top" wrapText="1"/>
    </x:xf>
    <x:xf numFmtId="0" fontId="4" fillId="7" borderId="13" xfId="0" applyNumberFormat="1" applyFont="1" applyFill="1" applyBorder="1" applyAlignment="1">
      <x:alignment horizontal="left" vertical="top" wrapText="1"/>
    </x:xf>
    <x:xf numFmtId="0" fontId="4" fillId="7" borderId="14" xfId="0" applyNumberFormat="1" applyFont="1" applyFill="1" applyBorder="1" applyAlignment="1">
      <x:alignment horizontal="left" vertical="top" wrapText="1"/>
    </x:xf>
    <x:xf numFmtId="0" fontId="0" fillId="5" borderId="0" xfId="0" applyNumberFormat="1" applyFont="1" applyFill="1" applyBorder="1" applyAlignment="1">
      <x:alignment vertical="bottom" wrapText="0"/>
    </x:xf>
    <x:xf numFmtId="0" fontId="4" fillId="5" borderId="0" xfId="0" applyNumberFormat="1" applyFont="1" applyFill="1" applyBorder="1" applyAlignment="1">
      <x:alignment vertical="bottom" wrapText="0"/>
    </x:xf>
    <x:xf numFmtId="0" fontId="4" fillId="5" borderId="9" xfId="0" applyNumberFormat="1" applyFont="1" applyFill="1" applyBorder="1" applyAlignment="1">
      <x:alignment vertical="bottom" wrapText="0"/>
    </x:xf>
    <x:xf numFmtId="0" fontId="4" fillId="5" borderId="10" xfId="0" applyNumberFormat="1" applyFont="1" applyFill="1" applyBorder="1" applyAlignment="1">
      <x:alignment vertical="bottom" wrapText="0"/>
    </x:xf>
    <x:xf numFmtId="0" fontId="4" fillId="5" borderId="11" xfId="0" applyNumberFormat="1" applyFont="1" applyFill="1" applyBorder="1" applyAlignment="1">
      <x:alignment vertical="bottom" wrapText="0"/>
    </x:xf>
    <x:xf numFmtId="0" fontId="4" fillId="5" borderId="12" xfId="0" applyNumberFormat="1" applyFont="1" applyFill="1" applyBorder="1" applyAlignment="1">
      <x:alignment vertical="bottom" wrapText="0"/>
    </x:xf>
    <x:xf numFmtId="0" fontId="4" fillId="5" borderId="13" xfId="0" applyNumberFormat="1" applyFont="1" applyFill="1" applyBorder="1" applyAlignment="1">
      <x:alignment vertical="bottom" wrapText="0"/>
    </x:xf>
    <x:xf numFmtId="0" fontId="4" fillId="5" borderId="14" xfId="0" applyNumberFormat="1" applyFont="1" applyFill="1" applyBorder="1" applyAlignment="1">
      <x:alignment vertical="bottom" wrapText="0"/>
    </x:xf>
    <x:xf numFmtId="0" fontId="4" fillId="5" borderId="9" xfId="0" applyNumberFormat="1" applyFont="1" applyFill="1" applyBorder="1" applyAlignment="1">
      <x:alignment vertical="bottom" wrapText="1"/>
    </x:xf>
    <x:xf numFmtId="0" fontId="4" fillId="5" borderId="10" xfId="0" applyNumberFormat="1" applyFont="1" applyFill="1" applyBorder="1" applyAlignment="1">
      <x:alignment vertical="bottom" wrapText="1"/>
    </x:xf>
    <x:xf numFmtId="0" fontId="4" fillId="5" borderId="11" xfId="0" applyNumberFormat="1" applyFont="1" applyFill="1" applyBorder="1" applyAlignment="1">
      <x:alignment vertical="bottom" wrapText="1"/>
    </x:xf>
    <x:xf numFmtId="0" fontId="4" fillId="5" borderId="12" xfId="0" applyNumberFormat="1" applyFont="1" applyFill="1" applyBorder="1" applyAlignment="1">
      <x:alignment vertical="bottom" wrapText="1"/>
    </x:xf>
    <x:xf numFmtId="0" fontId="4" fillId="5" borderId="13" xfId="0" applyNumberFormat="1" applyFont="1" applyFill="1" applyBorder="1" applyAlignment="1">
      <x:alignment vertical="bottom" wrapText="1"/>
    </x:xf>
    <x:xf numFmtId="0" fontId="4" fillId="5" borderId="14" xfId="0" applyNumberFormat="1" applyFont="1" applyFill="1" applyBorder="1" applyAlignment="1">
      <x:alignment vertical="bottom" wrapText="1"/>
    </x:xf>
    <x:xf numFmtId="0" fontId="4" fillId="5" borderId="9" xfId="0" applyNumberFormat="1" applyFont="1" applyFill="1" applyBorder="1" applyAlignment="1">
      <x:alignment horizontal="left" vertical="bottom" wrapText="1"/>
    </x:xf>
    <x:xf numFmtId="0" fontId="4" fillId="5" borderId="10" xfId="0" applyNumberFormat="1" applyFont="1" applyFill="1" applyBorder="1" applyAlignment="1">
      <x:alignment horizontal="left" vertical="bottom" wrapText="1"/>
    </x:xf>
    <x:xf numFmtId="0" fontId="4" fillId="5" borderId="11" xfId="0" applyNumberFormat="1" applyFont="1" applyFill="1" applyBorder="1" applyAlignment="1">
      <x:alignment horizontal="left" vertical="bottom" wrapText="1"/>
    </x:xf>
    <x:xf numFmtId="0" fontId="4" fillId="5" borderId="12" xfId="0" applyNumberFormat="1" applyFont="1" applyFill="1" applyBorder="1" applyAlignment="1">
      <x:alignment horizontal="left" vertical="bottom" wrapText="1"/>
    </x:xf>
    <x:xf numFmtId="0" fontId="4" fillId="5" borderId="13" xfId="0" applyNumberFormat="1" applyFont="1" applyFill="1" applyBorder="1" applyAlignment="1">
      <x:alignment horizontal="left" vertical="bottom" wrapText="1"/>
    </x:xf>
    <x:xf numFmtId="0" fontId="4" fillId="5" borderId="14" xfId="0" applyNumberFormat="1" applyFont="1" applyFill="1" applyBorder="1" applyAlignment="1">
      <x:alignment horizontal="left" vertical="bottom" wrapText="1"/>
    </x:xf>
    <x:xf numFmtId="0" fontId="4" fillId="5" borderId="9" xfId="0" applyNumberFormat="1" applyFont="1" applyFill="1" applyBorder="1" applyAlignment="1">
      <x:alignment horizontal="left" vertical="top" wrapText="1"/>
    </x:xf>
    <x:xf numFmtId="0" fontId="4" fillId="5" borderId="10" xfId="0" applyNumberFormat="1" applyFont="1" applyFill="1" applyBorder="1" applyAlignment="1">
      <x:alignment horizontal="left" vertical="top" wrapText="1"/>
    </x:xf>
    <x:xf numFmtId="0" fontId="4" fillId="5" borderId="11" xfId="0" applyNumberFormat="1" applyFont="1" applyFill="1" applyBorder="1" applyAlignment="1">
      <x:alignment horizontal="left" vertical="top" wrapText="1"/>
    </x:xf>
    <x:xf numFmtId="0" fontId="4" fillId="5" borderId="12" xfId="0" applyNumberFormat="1" applyFont="1" applyFill="1" applyBorder="1" applyAlignment="1">
      <x:alignment horizontal="left" vertical="top" wrapText="1"/>
    </x:xf>
    <x:xf numFmtId="0" fontId="4" fillId="5" borderId="13" xfId="0" applyNumberFormat="1" applyFont="1" applyFill="1" applyBorder="1" applyAlignment="1">
      <x:alignment horizontal="left" vertical="top" wrapText="1"/>
    </x:xf>
    <x:xf numFmtId="0" fontId="4" fillId="5" borderId="14" xfId="0" applyNumberFormat="1" applyFont="1" applyFill="1" applyBorder="1" applyAlignment="1">
      <x:alignment horizontal="left" vertical="top" wrapText="1"/>
    </x:xf>
    <x:xf numFmtId="0" fontId="4" fillId="3" borderId="8" xfId="0" applyNumberFormat="1" applyFont="1" applyFill="1" applyBorder="1" applyAlignment="1">
      <x:alignment vertical="bottom" wrapText="0"/>
    </x:xf>
    <x:xf numFmtId="0" fontId="4" fillId="3" borderId="8" xfId="0" applyNumberFormat="1" applyFont="1" applyFill="1" applyBorder="1" applyAlignment="1">
      <x:alignment vertical="bottom" wrapText="1"/>
    </x:xf>
    <x:xf numFmtId="0" fontId="4" fillId="3" borderId="8" xfId="0" applyNumberFormat="1" applyFont="1" applyFill="1" applyBorder="1" applyAlignment="1">
      <x:alignment horizontal="left" vertical="bottom" wrapText="1"/>
    </x:xf>
    <x:xf numFmtId="0" fontId="4" fillId="3" borderId="8" xfId="0" applyNumberFormat="1" applyFont="1" applyFill="1" applyBorder="1" applyAlignment="1">
      <x:alignment horizontal="left" vertical="top" wrapText="1"/>
    </x:xf>
    <x:xf numFmtId="0" fontId="4" fillId="4" borderId="8" xfId="0" applyNumberFormat="1" applyFont="1" applyFill="1" applyBorder="1" applyAlignment="1">
      <x:alignment vertical="bottom" wrapText="0"/>
    </x:xf>
    <x:xf numFmtId="0" fontId="4" fillId="4" borderId="8" xfId="0" applyNumberFormat="1" applyFont="1" applyFill="1" applyBorder="1" applyAlignment="1">
      <x:alignment vertical="bottom" wrapText="1"/>
    </x:xf>
    <x:xf numFmtId="0" fontId="4" fillId="4" borderId="8" xfId="0" applyNumberFormat="1" applyFont="1" applyFill="1" applyBorder="1" applyAlignment="1">
      <x:alignment horizontal="left" vertical="bottom" wrapText="1"/>
    </x:xf>
    <x:xf numFmtId="0" fontId="4" fillId="4" borderId="8" xfId="0" applyNumberFormat="1" applyFont="1" applyFill="1" applyBorder="1" applyAlignment="1">
      <x:alignment horizontal="left" vertical="top" wrapText="1"/>
    </x:xf>
    <x:xf numFmtId="0" fontId="4" fillId="4" borderId="5" xfId="0" applyNumberFormat="1" applyFont="1" applyFill="1" applyBorder="1" applyAlignment="1">
      <x:alignment vertical="bottom" wrapText="0"/>
    </x:xf>
    <x:xf numFmtId="0" fontId="4" fillId="4" borderId="6" xfId="0" applyNumberFormat="1" applyFont="1" applyFill="1" applyBorder="1" applyAlignment="1">
      <x:alignment vertical="bottom" wrapText="0"/>
    </x:xf>
    <x:xf numFmtId="0" fontId="4" fillId="4" borderId="5" xfId="0" applyNumberFormat="1" applyFont="1" applyFill="1" applyBorder="1" applyAlignment="1">
      <x:alignment vertical="bottom" wrapText="1"/>
    </x:xf>
    <x:xf numFmtId="0" fontId="4" fillId="4" borderId="6" xfId="0" applyNumberFormat="1" applyFont="1" applyFill="1" applyBorder="1" applyAlignment="1">
      <x:alignment vertical="bottom" wrapText="1"/>
    </x:xf>
    <x:xf numFmtId="0" fontId="4" fillId="4" borderId="5" xfId="0" applyNumberFormat="1" applyFont="1" applyFill="1" applyBorder="1" applyAlignment="1">
      <x:alignment horizontal="left" vertical="bottom" wrapText="1"/>
    </x:xf>
    <x:xf numFmtId="0" fontId="4" fillId="4" borderId="6" xfId="0" applyNumberFormat="1" applyFont="1" applyFill="1" applyBorder="1" applyAlignment="1">
      <x:alignment horizontal="left" vertical="bottom" wrapText="1"/>
    </x:xf>
    <x:xf numFmtId="0" fontId="4" fillId="4" borderId="5" xfId="0" applyNumberFormat="1" applyFont="1" applyFill="1" applyBorder="1" applyAlignment="1">
      <x:alignment horizontal="left" vertical="top" wrapText="1"/>
    </x:xf>
    <x:xf numFmtId="0" fontId="4" fillId="4" borderId="6" xfId="0" applyNumberFormat="1" applyFont="1" applyFill="1" applyBorder="1" applyAlignment="1">
      <x:alignment horizontal="left" vertical="top" wrapText="1"/>
    </x:xf>
    <x:xf numFmtId="0" fontId="6" fillId="3" borderId="0" xfId="0" applyNumberFormat="1" applyFont="1" applyFill="1" applyBorder="1" applyAlignment="1">
      <x:alignment horizontal="left" vertical="center" wrapText="1"/>
    </x:xf>
    <x:xf numFmtId="0" fontId="2" fillId="3" borderId="0" xfId="0" applyNumberFormat="1" applyFont="1" applyFill="1" applyBorder="1"/>
    <x:xf numFmtId="0" fontId="12" fillId="3" borderId="0" xfId="0" applyNumberFormat="1" applyFont="1" applyFill="1" applyBorder="1" applyAlignment="1">
      <x:alignment horizontal="left" vertical="center" wrapText="1"/>
    </x:xf>
    <x:xf numFmtId="0" fontId="4" fillId="3" borderId="0" xfId="0" applyNumberFormat="1" applyFont="1" applyFill="1" applyBorder="1"/>
    <x:xf numFmtId="0" fontId="12" fillId="3" borderId="5" xfId="0" applyNumberFormat="1" applyFont="1" applyFill="1" applyBorder="1" applyAlignment="1">
      <x:alignment horizontal="left" vertical="center" wrapText="1"/>
    </x:xf>
    <x:xf numFmtId="0" fontId="4" fillId="3" borderId="6" xfId="0" applyNumberFormat="1" applyFont="1" applyFill="1" applyBorder="1"/>
    <x:xf numFmtId="0" fontId="4" fillId="3" borderId="6" xfId="0" applyNumberFormat="1" applyFont="1" applyFill="1" applyBorder="1" applyAlignment="1">
      <x:alignment wrapText="1"/>
    </x:xf>
    <x:xf numFmtId="0" fontId="4" fillId="3" borderId="6" xfId="0" applyNumberFormat="1" applyFont="1" applyFill="1" applyBorder="1" applyAlignment="1">
      <x:alignment horizontal="left" wrapText="1"/>
    </x:xf>
    <x:xf numFmtId="0" fontId="12" fillId="3" borderId="5" xfId="0" applyNumberFormat="1" applyFont="1" applyFill="1" applyBorder="1" applyAlignment="1">
      <x:alignment horizontal="left" vertical="top" wrapText="1"/>
    </x:xf>
    <x:xf numFmtId="0" fontId="4" fillId="3" borderId="6" xfId="0" applyNumberFormat="1" applyFont="1" applyFill="1" applyBorder="1" applyAlignment="1">
      <x:alignment horizontal="left" vertical="top" wrapText="1"/>
    </x:xf>
    <x:xf numFmtId="0" fontId="10" fillId="4" borderId="5" xfId="0" applyNumberFormat="1" applyFont="1" applyFill="1" applyBorder="1" applyAlignment="1">
      <x:alignment vertical="top" wrapText="1"/>
    </x:xf>
    <x:xf numFmtId="0" fontId="2" fillId="4" borderId="6" xfId="0" applyNumberFormat="1" applyFont="1" applyFill="1" applyBorder="1"/>
    <x:xf numFmtId="0" fontId="4" fillId="4" borderId="5" xfId="0" applyNumberFormat="1" applyFont="1" applyFill="1" applyBorder="1" applyAlignment="1">
      <x:alignment vertical="top" wrapText="1"/>
    </x:xf>
    <x:xf numFmtId="0" fontId="4" fillId="4" borderId="6" xfId="0" applyNumberFormat="1" applyFont="1" applyFill="1" applyBorder="1"/>
    <x:xf numFmtId="0" fontId="4" fillId="4" borderId="6" xfId="0" applyNumberFormat="1" applyFont="1" applyFill="1" applyBorder="1" applyAlignment="1">
      <x:alignment wrapText="1"/>
    </x:xf>
    <x:xf numFmtId="0" fontId="4" fillId="4" borderId="6" xfId="0" applyNumberFormat="1" applyFont="1" applyFill="1" applyBorder="1" applyAlignment="1">
      <x:alignment horizontal="left" wrapText="1"/>
    </x:xf>
    <x:xf numFmtId="0" fontId="10" fillId="3" borderId="5" xfId="0" applyNumberFormat="1" applyFont="1" applyFill="1" applyBorder="1" applyAlignment="1">
      <x:alignment vertical="top" wrapText="1"/>
    </x:xf>
    <x:xf numFmtId="0" fontId="2" fillId="3" borderId="6" xfId="0" applyNumberFormat="1" applyFont="1" applyFill="1" applyBorder="1"/>
    <x:xf numFmtId="0" fontId="4" fillId="3" borderId="5" xfId="0" applyNumberFormat="1" applyFont="1" applyFill="1" applyBorder="1" applyAlignment="1">
      <x:alignment vertical="top" wrapText="1"/>
    </x:xf>
    <x:xf numFmtId="0" fontId="4" fillId="3" borderId="5" xfId="0" applyNumberFormat="1" applyFont="1" applyFill="1" applyBorder="1" applyAlignment="1">
      <x:alignment horizontal="left" vertical="top" wrapText="1"/>
    </x:xf>
    <x:xf numFmtId="0" fontId="0" fillId="13" borderId="0" xfId="0" applyNumberFormat="1" applyFont="1" applyFill="1" applyBorder="1" applyAlignment="1">
      <x:alignment vertical="bottom" wrapText="0"/>
    </x:xf>
    <x:xf numFmtId="0" fontId="6" fillId="13" borderId="0" xfId="0" applyNumberFormat="1" applyFont="1" applyFill="1" applyBorder="1" applyAlignment="1">
      <x:alignment vertical="bottom" wrapText="0"/>
    </x:xf>
    <x:xf numFmtId="0" fontId="6" fillId="13" borderId="5" xfId="0" applyNumberFormat="1" applyFont="1" applyFill="1" applyBorder="1" applyAlignment="1">
      <x:alignment vertical="bottom" wrapText="0"/>
    </x:xf>
    <x:xf numFmtId="0" fontId="6" fillId="13" borderId="6" xfId="0" applyNumberFormat="1" applyFont="1" applyFill="1" applyBorder="1" applyAlignment="1">
      <x:alignment vertical="bottom" wrapText="0"/>
    </x:xf>
    <x:xf numFmtId="0" fontId="6" fillId="13" borderId="8" xfId="0" applyNumberFormat="1" applyFont="1" applyFill="1" applyBorder="1" applyAlignment="1">
      <x:alignment vertical="bottom" wrapText="0"/>
    </x:xf>
    <x:xf numFmtId="0" fontId="6" fillId="13" borderId="5" xfId="0" applyNumberFormat="1" applyFont="1" applyFill="1" applyBorder="1" applyAlignment="1">
      <x:alignment vertical="bottom" wrapText="1"/>
    </x:xf>
    <x:xf numFmtId="0" fontId="6" fillId="13" borderId="6" xfId="0" applyNumberFormat="1" applyFont="1" applyFill="1" applyBorder="1" applyAlignment="1">
      <x:alignment vertical="bottom" wrapText="1"/>
    </x:xf>
    <x:xf numFmtId="0" fontId="6" fillId="13" borderId="8" xfId="0" applyNumberFormat="1" applyFont="1" applyFill="1" applyBorder="1" applyAlignment="1">
      <x:alignment vertical="bottom" wrapText="1"/>
    </x:xf>
    <x:xf numFmtId="0" fontId="6" fillId="13" borderId="5" xfId="0" applyNumberFormat="1" applyFont="1" applyFill="1" applyBorder="1" applyAlignment="1">
      <x:alignment horizontal="center" vertical="bottom" wrapText="1"/>
    </x:xf>
    <x:xf numFmtId="0" fontId="6" fillId="13" borderId="6" xfId="0" applyNumberFormat="1" applyFont="1" applyFill="1" applyBorder="1" applyAlignment="1">
      <x:alignment horizontal="center" vertical="bottom" wrapText="1"/>
    </x:xf>
    <x:xf numFmtId="0" fontId="6" fillId="13" borderId="8" xfId="0" applyNumberFormat="1" applyFont="1" applyFill="1" applyBorder="1" applyAlignment="1">
      <x:alignment horizontal="center" vertical="bottom" wrapText="1"/>
    </x:xf>
    <x:xf numFmtId="0" fontId="6" fillId="13" borderId="5" xfId="0" applyNumberFormat="1" applyFont="1" applyFill="1" applyBorder="1" applyAlignment="1">
      <x:alignment horizontal="center" vertical="center" wrapText="1"/>
    </x:xf>
    <x:xf numFmtId="0" fontId="6" fillId="13" borderId="6" xfId="0" applyNumberFormat="1" applyFont="1" applyFill="1" applyBorder="1" applyAlignment="1">
      <x:alignment horizontal="center" vertical="center" wrapText="1"/>
    </x:xf>
    <x:xf numFmtId="0" fontId="6" fillId="13" borderId="8" xfId="0" applyNumberFormat="1" applyFont="1" applyFill="1" applyBorder="1" applyAlignment="1">
      <x:alignment horizontal="center" vertical="center" wrapText="1"/>
    </x:xf>
    <x:xf numFmtId="0" fontId="6" fillId="6" borderId="6" xfId="0" applyNumberFormat="1" applyFont="1" applyFill="1" applyBorder="1" applyAlignment="1">
      <x:alignment vertical="bottom" wrapText="0"/>
    </x:xf>
    <x:xf numFmtId="0" fontId="6" fillId="6" borderId="6" xfId="0" applyNumberFormat="1" applyFont="1" applyFill="1" applyBorder="1" applyAlignment="1">
      <x:alignment vertical="bottom" wrapText="1"/>
    </x:xf>
    <x:xf numFmtId="0" fontId="6" fillId="6" borderId="6" xfId="0" applyNumberFormat="1" applyFont="1" applyFill="1" applyBorder="1" applyAlignment="1">
      <x:alignment horizontal="center" vertical="bottom" wrapText="1"/>
    </x:xf>
    <x:xf numFmtId="0" fontId="6" fillId="6" borderId="6" xfId="0" applyNumberFormat="1" applyFont="1" applyFill="1" applyBorder="1" applyAlignment="1">
      <x:alignment horizontal="center" vertical="center" wrapText="1"/>
    </x:xf>
    <x:xf numFmtId="0" fontId="2" fillId="0" borderId="6" xfId="0" applyNumberFormat="1" applyFont="1" applyFill="1" applyBorder="1" applyAlignment="1">
      <x:alignment wrapText="1"/>
    </x:xf>
    <x:xf numFmtId="0" fontId="0" fillId="0" borderId="0" xfId="0" applyNumberFormat="1" applyFont="1" applyFill="1" applyBorder="1" applyAlignment="1">
      <x:alignment vertical="bottom" wrapText="1"/>
    </x:xf>
    <x:xf numFmtId="0" fontId="0" fillId="14" borderId="0" xfId="0" applyNumberFormat="1" applyFont="1" applyFill="1" applyBorder="1" applyAlignment="1">
      <x:alignment vertical="bottom" wrapText="1"/>
    </x:xf>
    <x:xf numFmtId="0" fontId="13" fillId="14" borderId="0" xfId="0" applyNumberFormat="1" applyFont="1" applyFill="1" applyBorder="1" applyAlignment="1">
      <x:alignment vertical="bottom" wrapText="1"/>
    </x:xf>
    <x:xf numFmtId="0" fontId="13" fillId="14" borderId="0" xfId="0" applyNumberFormat="1" applyFont="1" applyFill="1" applyBorder="1" applyAlignment="1">
      <x:alignment horizontal="center" vertical="bottom" wrapText="1"/>
    </x:xf>
    <x:xf numFmtId="0" fontId="13" fillId="14" borderId="0" xfId="0" applyNumberFormat="1" applyFont="1" applyFill="1" applyBorder="1" applyAlignment="1">
      <x:alignment horizontal="center" vertical="center" wrapText="1"/>
    </x:xf>
    <x:xf numFmtId="0" fontId="0" fillId="15" borderId="0" xfId="0" applyNumberFormat="1" applyFont="1" applyFill="1" applyBorder="1" applyAlignment="1">
      <x:alignment vertical="bottom" wrapText="1"/>
    </x:xf>
    <x:xf numFmtId="0" fontId="0" fillId="16" borderId="0" xfId="0" applyNumberFormat="1" applyFont="1" applyFill="1" applyBorder="1" applyAlignment="1">
      <x:alignment vertical="bottom" wrapText="1"/>
    </x:xf>
    <x:xf numFmtId="0" fontId="0" fillId="15" borderId="0" xfId="0" applyNumberFormat="1" applyFont="1" applyFill="1" applyBorder="1" applyAlignment="1">
      <x:alignment vertical="top" wrapText="1"/>
    </x:xf>
    <x:xf numFmtId="0" fontId="0" fillId="16" borderId="0" xfId="0" applyNumberFormat="1" applyFont="1" applyFill="1" applyBorder="1" applyAlignment="1">
      <x:alignment vertical="top" wrapText="1"/>
    </x:xf>
    <x:xf numFmtId="0" fontId="3" fillId="17" borderId="3" xfId="0" applyNumberFormat="1" applyFont="1" applyFill="1" applyBorder="1" applyAlignment="1">
      <x:alignment horizontal="left" vertical="top" wrapText="1"/>
    </x:xf>
    <x:xf numFmtId="0" fontId="4" fillId="17" borderId="3" xfId="0" applyNumberFormat="1" applyFont="1" applyFill="1" applyBorder="1" applyAlignment="1">
      <x:alignment horizontal="left" vertical="top" wrapText="1"/>
    </x:xf>
    <x:xf numFmtId="0" fontId="8" fillId="17" borderId="3" xfId="0" applyNumberFormat="1" applyFont="1" applyFill="1" applyBorder="1" applyAlignment="1">
      <x:alignment horizontal="left" vertical="top" wrapText="1"/>
    </x:xf>
    <x:xf numFmtId="0" fontId="0" fillId="17" borderId="3" xfId="0" applyNumberFormat="1" applyFont="1" applyFill="1" applyBorder="1" applyAlignment="1">
      <x:alignment horizontal="left" vertical="top" wrapText="1"/>
    </x:xf>
    <x:xf numFmtId="0" fontId="4" fillId="17" borderId="9" xfId="0" applyNumberFormat="1" applyFont="1" applyFill="1" applyBorder="1" applyAlignment="1">
      <x:alignment horizontal="left" vertical="top" wrapText="1"/>
    </x:xf>
    <x:xf numFmtId="0" fontId="4" fillId="17" borderId="10" xfId="0" applyNumberFormat="1" applyFont="1" applyFill="1" applyBorder="1" applyAlignment="1">
      <x:alignment horizontal="left" vertical="top" wrapText="1"/>
    </x:xf>
    <x:xf numFmtId="0" fontId="14" fillId="17" borderId="3" xfId="0" applyNumberFormat="1" applyFont="1" applyFill="1" applyBorder="1" applyAlignment="1">
      <x:alignment horizontal="left" vertical="top" wrapText="1"/>
    </x:xf>
    <x:xf numFmtId="0" fontId="15" fillId="17" borderId="3" xfId="0" applyNumberFormat="1" applyFont="1" applyFill="1" applyBorder="1" applyAlignment="1">
      <x:alignment horizontal="left" vertical="top" wrapText="1"/>
    </x:xf>
    <x:xf numFmtId="0" fontId="0" fillId="4" borderId="0" xfId="0" applyNumberFormat="1" applyFont="1" applyFill="1" applyBorder="1" applyAlignment="1">
      <x:alignment vertical="bottom" wrapText="1"/>
    </x:xf>
    <x:xf numFmtId="0" fontId="0" fillId="4" borderId="0" xfId="0" applyNumberFormat="1" applyFont="1" applyFill="1" applyBorder="1" applyAlignment="1">
      <x:alignment vertical="top" wrapText="1"/>
    </x:xf>
    <x:xf numFmtId="0" fontId="8" fillId="5" borderId="3" xfId="0" applyNumberFormat="1" applyFont="1" applyFill="1" applyBorder="1" applyAlignment="1">
      <x:alignment horizontal="left" vertical="top" wrapText="1"/>
    </x:xf>
    <x:xf numFmtId="0" fontId="14" fillId="5" borderId="3" xfId="0" applyNumberFormat="1" applyFont="1" applyFill="1" applyBorder="1" applyAlignment="1">
      <x:alignment horizontal="left" vertical="top" wrapText="1"/>
    </x:xf>
    <x:xf numFmtId="0" fontId="15" fillId="5" borderId="3" xfId="0" applyNumberFormat="1" applyFont="1" applyFill="1" applyBorder="1" applyAlignment="1">
      <x:alignment horizontal="left" vertical="top" wrapText="1"/>
    </x:xf>
    <x:xf numFmtId="0" fontId="0" fillId="18" borderId="0" xfId="0" applyNumberFormat="1" applyFont="1" applyFill="1" applyBorder="1" applyAlignment="1">
      <x:alignment vertical="bottom" wrapText="0"/>
    </x:xf>
    <x:xf numFmtId="0" fontId="16" fillId="18" borderId="0" xfId="0" applyNumberFormat="1" applyFont="1" applyFill="1" applyBorder="1" applyAlignment="1">
      <x:alignment vertical="bottom" wrapText="0"/>
    </x:xf>
    <x:xf numFmtId="0" fontId="16" fillId="18" borderId="0" xfId="0" applyNumberFormat="1" applyFont="1" applyFill="1" applyBorder="1" applyAlignment="1">
      <x:alignment vertical="bottom" wrapText="1"/>
    </x:xf>
    <x:xf numFmtId="0" fontId="16" fillId="18" borderId="0" xfId="0" applyNumberFormat="1" applyFont="1" applyFill="1" applyBorder="1" applyAlignment="1">
      <x:alignment horizontal="left" vertical="bottom" wrapText="1"/>
    </x:xf>
    <x:xf numFmtId="0" fontId="16" fillId="18" borderId="0" xfId="0" applyNumberFormat="1" applyFont="1" applyFill="1" applyBorder="1" applyAlignment="1">
      <x:alignment horizontal="left" vertical="center" wrapText="1"/>
    </x:xf>
    <x:xf numFmtId="0" fontId="0" fillId="19" borderId="0" xfId="0" applyNumberFormat="1" applyFont="1" applyFill="1" applyBorder="1" applyAlignment="1">
      <x:alignment vertical="bottom" wrapText="0"/>
    </x:xf>
    <x:xf numFmtId="0" fontId="17" fillId="19" borderId="0" xfId="0" applyNumberFormat="1" applyFont="1" applyFill="1" applyBorder="1" applyAlignment="1">
      <x:alignment vertical="bottom" wrapText="0"/>
    </x:xf>
    <x:xf numFmtId="0" fontId="17" fillId="19" borderId="0" xfId="0" applyNumberFormat="1" applyFont="1" applyFill="1" applyBorder="1" applyAlignment="1">
      <x:alignment vertical="bottom" wrapText="1"/>
    </x:xf>
    <x:xf numFmtId="0" fontId="17" fillId="19"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0" fillId="5" borderId="5" xfId="0" applyNumberFormat="1" applyFont="1" applyFill="1" applyBorder="1" applyAlignment="1">
      <x:alignment vertical="center" wrapText="1"/>
    </x:xf>
    <x:xf numFmtId="0" fontId="2" fillId="0" borderId="6" xfId="0" applyNumberFormat="1" applyFont="1" applyFill="1" applyBorder="1" applyAlignment="1">
      <x:alignment vertical="center" wrapText="1"/>
    </x:xf>
    <x:xf numFmtId="0" fontId="2" fillId="0" borderId="6" xfId="0" applyNumberFormat="1" applyFont="1" applyFill="1" applyBorder="1" applyAlignment="1">
      <x:alignment vertical="center"/>
    </x:xf>
    <x:xf numFmtId="0" fontId="0" fillId="0" borderId="0" xfId="0" applyNumberFormat="1" applyFont="1" applyFill="1" applyBorder="1" applyAlignment="1">
      <x:alignment vertical="center" wrapText="0"/>
    </x:xf>
    <x:xf numFmtId="200" fontId="4" fillId="3" borderId="3" xfId="0" applyNumberFormat="1" applyFont="1" applyFill="1" applyBorder="1" applyAlignment="1">
      <x:alignment horizontal="left" vertical="top" wrapText="1"/>
    </x:xf>
    <x:xf numFmtId="200" fontId="4" fillId="4" borderId="3" xfId="0" applyNumberFormat="1" applyFont="1" applyFill="1" applyBorder="1" applyAlignment="1">
      <x:alignment horizontal="left" vertical="top" wrapText="1"/>
    </x:xf>
    <x:xf numFmtId="200" fontId="4" fillId="4" borderId="6" xfId="0" applyNumberFormat="1" applyFont="1" applyFill="1" applyBorder="1" applyAlignment="1">
      <x:alignment horizontal="left" vertical="top" wrapText="1"/>
    </x:xf>
    <x:xf numFmtId="200" fontId="4" fillId="3" borderId="6" xfId="0" applyNumberFormat="1" applyFont="1" applyFill="1" applyBorder="1" applyAlignment="1">
      <x:alignment horizontal="left" vertical="top" wrapText="1"/>
    </x:xf>
    <x:xf numFmtId="200" fontId="2" fillId="0" borderId="6"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3d14e6057be4b41" /><Relationship Type="http://schemas.openxmlformats.org/officeDocument/2006/relationships/theme" Target="/xl/theme/theme1.xml" Id="R62c1aa50bb9f4287" /><Relationship Type="http://schemas.openxmlformats.org/officeDocument/2006/relationships/sharedStrings" Target="/xl/sharedStrings.xml" Id="R1453ea3169be4a8c" /><Relationship Type="http://schemas.openxmlformats.org/officeDocument/2006/relationships/worksheet" Target="/xl/worksheets/sheet1.xml" Id="R39e059a345ed4782" /><Relationship Type="http://schemas.openxmlformats.org/officeDocument/2006/relationships/worksheet" Target="/xl/worksheets/sheet2.xml" Id="R8e4b0e221cab4894" /><Relationship Type="http://schemas.openxmlformats.org/officeDocument/2006/relationships/worksheet" Target="/xl/worksheets/sheet3.xml" Id="R51cf9f27a3bd4a6a" /><Relationship Type="http://schemas.openxmlformats.org/officeDocument/2006/relationships/worksheet" Target="/xl/worksheets/sheet4.xml" Id="R5112bdc0c8ab4441" /><Relationship Type="http://schemas.openxmlformats.org/officeDocument/2006/relationships/worksheet" Target="/xl/worksheets/sheet5.xml" Id="R4385c61bc8124d17" /><Relationship Type="http://schemas.openxmlformats.org/officeDocument/2006/relationships/worksheet" Target="/xl/worksheets/sheet6.xml" Id="R760d1fb6433548ef"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92" hidden="0" customWidth="1"/>
  </x:cols>
  <x:sheetData>
    <x:row r="1" ht="24" customHeight="1">
      <x:c r="A1" s="336" t="str">
        <x:v>ASCR-09 OE02 — Scenario and TVA Reference Workbook</x:v>
      </x:c>
      <x:c r="B1" s="336" t="str"/>
    </x:row>
    <x:row r="2" ht="15" hidden="0" customHeight="1">
      <x:c r="A2" s="340" t="str">
        <x:v>File ID</x:v>
      </x:c>
      <x:c r="B2" s="341" t="str">
        <x:v>ASCR-09-OE02</x:v>
      </x:c>
    </x:row>
    <x:row r="3" ht="15" hidden="0" customHeight="1">
      <x:c r="A3" s="340" t="str">
        <x:v>Format</x:v>
      </x:c>
      <x:c r="B3" s="341" t="str">
        <x:v>.xlsx</x:v>
      </x:c>
    </x:row>
    <x:row r="4" ht="15" hidden="0" customHeight="1">
      <x:c r="A4" s="340" t="str">
        <x:v>Version</x:v>
      </x:c>
      <x:c r="B4" s="341" t="str">
        <x:v>1.0 — June 2026</x:v>
      </x:c>
    </x:row>
    <x:row r="5" ht="26.399999618530273" hidden="0" customHeight="1">
      <x:c r="A5" s="340" t="str">
        <x:v>Consolidates</x:v>
      </x:c>
      <x:c r="B5" s="341" t="str">
        <x:v>ASCR-09 scenario headers, TVA execution tracking, exercise frequency/trigger scheduling, and decision-point outcome tracking.</x:v>
      </x:c>
    </x:row>
    <x:row r="6" ht="26.399999618530273" hidden="0" customHeight="1">
      <x:c r="A6" s="340" t="str">
        <x:v>Scope</x:v>
      </x:c>
      <x:c r="B6" s="341" t="str">
        <x:v>Operational Extension — Reference and Tracking Workbook for ASCR-09 exercise planning, scheduling, TVA tracking, and decision-point outcomes.</x:v>
      </x:c>
    </x:row>
    <x:row r="7" ht="15" hidden="0" customHeight="1">
      <x:c r="A7" s="340" t="str">
        <x:v>Precedence</x:v>
      </x:c>
      <x:c r="B7" s="341" t="str">
        <x:v>In any case of inconsistency between this workbook and ASCR-09, ASCR-09 takes precedence.</x:v>
      </x:c>
    </x:row>
    <x:row r="8" ht="26.399999618530273" hidden="0" customHeight="1">
      <x:c r="A8" s="340" t="str">
        <x:v>Relationship to sibling OE files</x:v>
      </x:c>
      <x:c r="B8" s="341" t="str">
        <x:v>Use with ASCR-09-OE01 Exercise Record Template and ASCR-09-OE03 TVA Procedure Cards. OE01 records individual exercise evidence; OE03 supplies controlled TVA execution procedures; this workbook consolidates planning and tracking.</x:v>
      </x:c>
    </x:row>
    <x:row r="9" ht="15" hidden="0" customHeight="1">
      <x:c r="A9" s="340" t="str">
        <x:v>Worksheets</x:v>
      </x:c>
      <x:c r="B9" s="341" t="str">
        <x:v>Read Me · README (hidden compatibility) · 1 - Scenario Index · 2 - TVA Tracking · 3 - Exercise Frequency · 4 - DP Outcome Tracker</x:v>
      </x:c>
    </x:row>
    <x:row r="10" ht="39.599998474121094" hidden="0" customHeight="1">
      <x:c r="A10" s="340" t="str">
        <x:v>Change control</x:v>
      </x:c>
      <x:c r="B10" s="341" t="str">
        <x:v>Update Sheets 2, 3, and 4 after every exercise run. Update Sheet 1 when ASCR-09 scenario definitions change, including annual review, confirmed convergence-domain incidents, and within 30 days of a governed ASCR-15 update affecting an adversary profile, campaign chain, detection-coverage assumption, or mapped control relationship.</x:v>
      </x:c>
    </x:row>
    <x:row r="11" ht="26.399999618530273" hidden="0" customHeight="1">
      <x:c r="A11" s="340" t="str">
        <x:v>Scope limitation</x:v>
      </x:c>
      <x:c r="B11" s="341" t="str">
        <x:v>This workbook consolidates and tracks ASCR-09 information; it does not supersede ASCR-09 or alter technical, authority, regulatory, or scoring requirements.</x:v>
      </x:c>
    </x:row>
  </x:sheetData>
  <x:mergeCells>
    <x:mergeCell ref="A1:B1"/>
  </x:mergeCells>
  <x:pageMargins left="0.7" right="0.7" top="0.75" bottom="0.75" header="0.3" footer="0.3"/>
</x:worksheet>
</file>

<file path=xl/worksheets/sheet2.xml><?xml version="1.0" encoding="utf-8"?>
<x:worksheet xmlns:x="http://schemas.openxmlformats.org/spreadsheetml/2006/main">
  <x:sheetPr>
    <x:tabColor rgb="FF1F4E79"/>
  </x:sheetPr>
  <x:sheetViews>
    <x:sheetView showGridLines="0" workbookViewId="0"/>
  </x:sheetViews>
  <x:sheetFormatPr defaultColWidth="14.430000305175781" defaultRowHeight="15"/>
  <x:cols>
    <x:col min="1" max="1" width="28" customWidth="1"/>
    <x:col min="2" max="2" width="90.29000091552734" customWidth="1"/>
    <x:col min="3" max="26" width="8.710000038146973" customWidth="1"/>
  </x:cols>
  <x:sheetData>
    <x:row r="1" ht="21.75" customHeight="1">
      <x:c r="A1" s="1" t="str">
        <x:v>Legacy README — retained for compatibility</x:v>
      </x:c>
      <x:c r="B1" s="2"/>
    </x:row>
    <x:row r="2" ht="36" customHeight="1">
      <x:c r="A2" s="29" t="str">
        <x:v>The authoritative workbook instructions and metadata are maintained on the Read Me worksheet. This legacy README worksheet is retained only for backward compatibility with existing references and should not be maintained as a separate source of governing instructions.</x:v>
      </x:c>
      <x:c r="B2" s="30"/>
    </x:row>
    <x:row r="3" ht="36" customHeight="1">
      <x:c r="A3" s="6" t="s">
        <x:v>0</x:v>
      </x:c>
      <x:c r="B3" s="8"/>
    </x:row>
    <x:row r="4" ht="36" customHeight="1">
      <x:c r="A4" s="3" t="s">
        <x:v>1</x:v>
      </x:c>
      <x:c r="B4" s="5" t="s">
        <x:v>0</x:v>
      </x:c>
    </x:row>
    <x:row r="5" ht="36" customHeight="1">
      <x:c r="A5" s="6" t="s">
        <x:v>2</x:v>
      </x:c>
      <x:c r="B5" s="10" t="s">
        <x:v>3</x:v>
      </x:c>
    </x:row>
    <x:row r="6" ht="36" customHeight="1">
      <x:c r="A6" s="3" t="s">
        <x:v>4</x:v>
      </x:c>
      <x:c r="B6" s="5" t="s">
        <x:v>5</x:v>
      </x:c>
    </x:row>
    <x:row r="7" ht="36" customHeight="1">
      <x:c r="A7" s="6" t="s">
        <x:v>6</x:v>
      </x:c>
      <x:c r="B7" s="8" t="s">
        <x:v>7</x:v>
      </x:c>
    </x:row>
    <x:row r="8" ht="36" customHeight="1">
      <x:c r="A8" s="3" t="s">
        <x:v>8</x:v>
      </x:c>
      <x:c r="B8" s="12" t="s">
        <x:v>9</x:v>
      </x:c>
    </x:row>
    <x:row r="9" ht="36" customHeight="1">
      <x:c r="A9" s="6"/>
      <x:c r="B9" s="8"/>
    </x:row>
    <x:row r="10" ht="36" customHeight="1">
      <x:c r="A10" s="3" t="s">
        <x:v>10</x:v>
      </x:c>
      <x:c r="B10" s="5" t="s">
        <x:v>11</x:v>
      </x:c>
    </x:row>
    <x:row r="11" ht="88" customHeight="1">
      <x:c r="A11" s="6" t="s">
        <x:v>12</x:v>
      </x:c>
      <x:c r="B11" s="33" t="s">
        <x:v>13</x:v>
      </x:c>
    </x:row>
    <x:row r="12" ht="36" customHeight="1">
      <x:c r="A12" s="3" t="s">
        <x:v>14</x:v>
      </x:c>
      <x:c r="B12" s="5" t="str">
        <x:v>Exercise frequency requirements from ASCR-09 Section 7.2, including capability-specific TVA cadences. Use to maintain exercise-schedule evidence supporting applicable governance and regulatory obligations. Apply the ASCR-09 Point-in-Time and Jurisdictional Scope Statement before relying on a specific regulatory mapping.</x:v>
      </x:c>
    </x:row>
    <x:row r="13" ht="48" hidden="0" customHeight="1">
      <x:c r="A13" s="31" t="s">
        <x:v>15</x:v>
      </x:c>
      <x:c r="B13" s="33" t="str">
        <x:v>Tracks CORRECT vs. DEGRADED decision-point outcomes over time. Every DEGRADED outcome must be linked to an OE01 gap finding. A gap is Persistent / Recurrent when the same Scenario ID and DP Reference, or the same documented underlying control failure, records DEGRADED again at the next applicable execution while the prior finding remains open or remediation has not been verified. A Persistent / Recurrent result requires review of the affected ASCR-01 cluster. ASCR-01 reassessment is performed when the repeated evidence demonstrates a gap between the current assessed baseline and the observed control state; recurrence does not automatically change an ASCR-01 score. Open and recurrent findings feed ASCR-12 quarterly reporting.</x:v>
      </x:c>
    </x:row>
    <x:row r="14" ht="36" customHeight="1">
      <x:c r="A14" s="3"/>
      <x:c r="B14" s="5"/>
    </x:row>
    <x:row r="15">
      <x:c r="A15" t="s">
        <x:v>16</x:v>
      </x:c>
      <x:c r="B15" t="str">
        <x:v>Update Sheets 2, 3, and 4 after every exercise run. Sheet 1 is updated when ASCR-09 scenario definitions change, including annual review, following confirmed convergence-domain incidents, and within 30 days following any governed ASCR-15 update affecting an adversary profile, campaign chain, detection-coverage assumption, or mapped control relationship, as required by ASCR-09.</x:v>
      </x:c>
    </x:row>
    <x:row r="16">
      <x:c r="A16" t="s">
        <x:v>17</x:v>
      </x:c>
      <x:c r="B16" t="s">
        <x:v>18</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B1"/>
    <x:mergeCell ref="A2:B2"/>
    <x:mergeCell ref="A3:B3"/>
  </x:mergeCells>
  <x:pageMargins left="0.7" right="0.7" top="0.75" bottom="0.75" header="0.3" footer="0.3"/>
</x:worksheet>
</file>

<file path=xl/worksheets/sheet3.xml><?xml version="1.0" encoding="utf-8"?>
<x:worksheet xmlns:x="http://schemas.openxmlformats.org/spreadsheetml/2006/main">
  <x:sheetPr>
    <x:tabColor rgb="FF1F4E79"/>
  </x:sheetPr>
  <x:sheetViews>
    <x:sheetView showGridLines="0" workbookViewId="0"/>
  </x:sheetViews>
  <x:sheetFormatPr defaultColWidth="14.430000305175781" defaultRowHeight="15"/>
  <x:cols>
    <x:col min="1" max="1" width="18" customWidth="1"/>
    <x:col min="2" max="2" width="36" customWidth="1"/>
    <x:col min="3" max="4" width="22" customWidth="1"/>
    <x:col min="5" max="5" width="16" customWidth="1"/>
    <x:col min="6" max="6" width="26" customWidth="1"/>
    <x:col min="7" max="7" width="30" customWidth="1"/>
    <x:col min="8" max="8" width="40" customWidth="1"/>
    <x:col min="9" max="9" width="34" hidden="0" customWidth="1"/>
    <x:col min="10" max="26" width="8.710000038146973" customWidth="1"/>
    <x:col min="10" max="10" width="24" hidden="0" customWidth="1"/>
    <x:col min="4" max="4" width="24" hidden="0" customWidth="1"/>
    <x:col min="11" max="11" width="42" hidden="0" customWidth="1"/>
    <x:col min="12" max="12" width="38" hidden="0" customWidth="1"/>
  </x:cols>
  <x:sheetData>
    <x:row r="1" ht="21.75" customHeight="1">
      <x:c r="A1" s="1" t="s">
        <x:v>19</x:v>
      </x:c>
      <x:c r="B1" s="4"/>
      <x:c r="C1" s="4"/>
      <x:c r="D1" s="4"/>
      <x:c r="E1" s="4"/>
      <x:c r="F1" s="4"/>
      <x:c r="G1" s="4"/>
      <x:c r="H1" s="4"/>
      <x:c r="I1" s="2"/>
      <x:c r="J1"/>
    </x:row>
    <x:row r="2" ht="27.75" customHeight="1">
      <x:c r="A2" s="7" t="str">
        <x:v>Operational Extension to ASCR-09 · All scenario header data consolidated for planning and scheduling · Filter or sort by any column · ATT&amp;CK for ICS tactic IDs use the TA01xx namespace; Enterprise ATT&amp;CK tactics use TA00xx · Re-verify MITRE mappings before use · In case of inconsistency with ASCR-09, ASCR-09 governs.</x:v>
      </x:c>
      <x:c r="B2" s="4"/>
      <x:c r="C2" s="4"/>
      <x:c r="D2" s="4"/>
      <x:c r="E2" s="4"/>
      <x:c r="F2" s="4"/>
      <x:c r="G2" s="4"/>
      <x:c r="H2" s="4"/>
      <x:c r="I2" s="2"/>
      <x:c r="J2"/>
    </x:row>
    <x:row r="3">
      <x:c r="A3" s="9" t="s">
        <x:v>20</x:v>
      </x:c>
      <x:c r="B3" s="9" t="s">
        <x:v>21</x:v>
      </x:c>
      <x:c r="C3" s="9" t="s">
        <x:v>22</x:v>
      </x:c>
      <x:c r="D3" s="9" t="str">
        <x:v>Exercise Category</x:v>
      </x:c>
      <x:c r="E3" s="9" t="s">
        <x:v>23</x:v>
      </x:c>
      <x:c r="F3" s="9" t="s">
        <x:v>24</x:v>
      </x:c>
      <x:c r="G3" s="9" t="s">
        <x:v>25</x:v>
      </x:c>
      <x:c r="H3" s="9" t="s">
        <x:v>26</x:v>
      </x:c>
      <x:c r="I3" s="9" t="s">
        <x:v>27</x:v>
      </x:c>
      <x:c r="J3" s="54" t="str">
        <x:v>Cross-References</x:v>
      </x:c>
      <x:c r="K3" s="314" t="str">
        <x:v>Objectives</x:v>
      </x:c>
      <x:c r="L3" s="314" t="str">
        <x:v>Required Participants</x:v>
      </x:c>
    </x:row>
    <x:row r="4" ht="66" customHeight="1">
      <x:c r="A4" s="11" t="s">
        <x:v>28</x:v>
      </x:c>
      <x:c r="B4" s="11" t="s">
        <x:v>29</x:v>
      </x:c>
      <x:c r="C4" s="11" t="s">
        <x:v>30</x:v>
      </x:c>
      <x:c r="D4" s="11" t="str">
        <x:v>Adversary-class scenario</x:v>
      </x:c>
      <x:c r="E4" s="11" t="s">
        <x:v>31</x:v>
      </x:c>
      <x:c r="F4" s="11" t="str">
        <x:v>270 (150 TT + 120 Tech)</x:v>
      </x:c>
      <x:c r="G4" s="11" t="s">
        <x:v>32</x:v>
      </x:c>
      <x:c r="H4" s="11" t="str">
        <x:v>ATLAS AML.T0099 (AI Agent Tool Data Poisoning)</x:v>
      </x:c>
      <x:c r="I4" s="11" t="str">
        <x:v>TVA-01 through TVA-05 PASS and documented; ASCR-07 operational; MCP gateway; third-party connector in staging; divergence_score calibrated per ASCR-11 Schedule A</x:v>
      </x:c>
      <x:c r="J4" s="60" t="str">
        <x:v>ASCR-15 Nation-State class</x:v>
      </x:c>
      <x:c r="K4" s="317" t="str">
        <x:v>Detect semantic poisoning through an authorized context path; maintain enforcement hold based on integrity evidence rather than authorization alone; contain the connector and preserve evidence.</x:v>
      </x:c>
      <x:c r="L4" s="317" t="str">
        <x:v>Exercise Facilitator; ASOC Analyst Lead; Security/IR Lead; OT Engineering Lead; AI/ML Engineering Lead; Legal/Regulatory role; operations representative</x:v>
      </x:c>
    </x:row>
    <x:row r="5" ht="72" hidden="0" customHeight="1">
      <x:c r="A5" s="13" t="s">
        <x:v>33</x:v>
      </x:c>
      <x:c r="B5" s="13" t="s">
        <x:v>34</x:v>
      </x:c>
      <x:c r="C5" s="13" t="s">
        <x:v>30</x:v>
      </x:c>
      <x:c r="D5" s="13" t="str">
        <x:v>Adversary-class scenario</x:v>
      </x:c>
      <x:c r="E5" s="13" t="s">
        <x:v>35</x:v>
      </x:c>
      <x:c r="F5" s="13" t="s">
        <x:v>36</x:v>
      </x:c>
      <x:c r="G5" s="13" t="s">
        <x:v>37</x:v>
      </x:c>
      <x:c r="H5" s="13" t="str">
        <x:v>ATT&amp;CK for ICS TA0102 T0840; ATT&amp;CK for ICS T0859; ATLAS AML.T0081</x:v>
      </x:c>
      <x:c r="I5" s="13" t="str">
        <x:v>TVA-01 through TVA-05 PASS and documented; ASCR-07 operational; MCP gateway tool manifest baseline established and synchronized under ASCR-04 Section 7 and recorded as the current ASCR-10-authorized tool-library state</x:v>
      </x:c>
      <x:c r="J5" s="66" t="str">
        <x:v>ASCR-15 Nation-State class</x:v>
      </x:c>
      <x:c r="K5" s="318" t="str">
        <x:v>Detect unauthorized MCP tool registration; revoke and deregister the dormant credential path without unnecessary operational disruption; assess CI/CD persistence exposure.</x:v>
      </x:c>
      <x:c r="L5" s="318" t="str">
        <x:v>Exercise Facilitator; ASOC Analyst Lead; Security/IR Lead; MCP/platform owner; DevSecOps/CI-CD owner; OT Engineering Lead</x:v>
      </x:c>
    </x:row>
    <x:row r="6" ht="66" customHeight="1">
      <x:c r="A6" s="11" t="s">
        <x:v>38</x:v>
      </x:c>
      <x:c r="B6" s="11" t="s">
        <x:v>39</x:v>
      </x:c>
      <x:c r="C6" s="11" t="s">
        <x:v>40</x:v>
      </x:c>
      <x:c r="D6" s="11" t="str">
        <x:v>Adversary-class scenario</x:v>
      </x:c>
      <x:c r="E6" s="11" t="s">
        <x:v>31</x:v>
      </x:c>
      <x:c r="F6" s="11" t="str">
        <x:v>200 (110 TT + 90 Tech)</x:v>
      </x:c>
      <x:c r="G6" s="11" t="s">
        <x:v>41</x:v>
      </x:c>
      <x:c r="H6" s="11" t="str">
        <x:v>ATT&amp;CK T1565.001; ATT&amp;CK for ICS TA0105 T0831</x:v>
      </x:c>
      <x:c r="I6" s="11" t="str">
        <x:v>TVA-01 through TVA-05 PASS and documented; ASCR-07; divergence_score calibrated; ASCR-06 synchronized and fidelity-validated</x:v>
      </x:c>
      <x:c r="J6" s="60" t="str">
        <x:v>ASCR-15 Financially Motivated class</x:v>
      </x:c>
      <x:c r="K6" s="317" t="str">
        <x:v>Distinguish malicious context manipulation from data-quality error; maintain circuit-breaker authority under business pressure; preserve evidence and contain the inserting account.</x:v>
      </x:c>
      <x:c r="L6" s="317" t="str">
        <x:v>Exercise Facilitator; ASOC; Security/IR; data-operations owner; OT Engineering; sales/operations role; Legal</x:v>
      </x:c>
    </x:row>
    <x:row r="7" ht="66" customHeight="1">
      <x:c r="A7" s="13" t="s">
        <x:v>42</x:v>
      </x:c>
      <x:c r="B7" s="13" t="s">
        <x:v>43</x:v>
      </x:c>
      <x:c r="C7" s="13" t="s">
        <x:v>40</x:v>
      </x:c>
      <x:c r="D7" s="13" t="str">
        <x:v>Adversary-class scenario</x:v>
      </x:c>
      <x:c r="E7" s="13" t="s">
        <x:v>44</x:v>
      </x:c>
      <x:c r="F7" s="13" t="s">
        <x:v>36</x:v>
      </x:c>
      <x:c r="G7" s="13" t="s">
        <x:v>45</x:v>
      </x:c>
      <x:c r="H7" s="13" t="str">
        <x:v>ATT&amp;CK T1078; ATT&amp;CK for ICS TA0105 T0831</x:v>
      </x:c>
      <x:c r="I7" s="13" t="str">
        <x:v>TVA-01 through TVA-05 PASS and documented; ASCR-08 available; Safe-State definitions in ASCR-03 §6</x:v>
      </x:c>
      <x:c r="J7" s="66" t="str">
        <x:v>ASCR-15 Financially Motivated class</x:v>
      </x:c>
      <x:c r="K7" s="318" t="str">
        <x:v>Recognize coordinated execution-authority seizure; preserve and assess ASCR-07 integrity; transition affected operations to governed manual control before physical harm.</x:v>
      </x:c>
      <x:c r="L7" s="318" t="str">
        <x:v>Exercise Facilitator; CISO; Security/IR; ASOC; OT Engineering/Shift Director; DevOps/IAM; Legal</x:v>
      </x:c>
    </x:row>
    <x:row r="8" ht="66" customHeight="1">
      <x:c r="A8" s="11" t="s">
        <x:v>46</x:v>
      </x:c>
      <x:c r="B8" s="11" t="s">
        <x:v>47</x:v>
      </x:c>
      <x:c r="C8" s="11" t="s">
        <x:v>48</x:v>
      </x:c>
      <x:c r="D8" s="11" t="str">
        <x:v>Adversary-class scenario</x:v>
      </x:c>
      <x:c r="E8" s="11" t="s">
        <x:v>31</x:v>
      </x:c>
      <x:c r="F8" s="11" t="str">
        <x:v>150 (90 TT + 60 Tech)</x:v>
      </x:c>
      <x:c r="G8" s="11" t="s">
        <x:v>49</x:v>
      </x:c>
      <x:c r="H8" s="11" t="str">
        <x:v>ATT&amp;CK TA0009 T1213; ATLAS AML.T0081 (Modify AI Agent Configuration)</x:v>
      </x:c>
      <x:c r="I8" s="11" t="str">
        <x:v>TVA-01 through TVA-05 PASS and documented; agent runtime access-control audit log; ASCR-07; deployment-approved authorized-objective centroid documented in ASCR-03 §5 and used by ASCR-06 §1.4 and the current ASCR-07 divergence_score computation</x:v>
      </x:c>
      <x:c r="J8" s="60" t="str">
        <x:v>ASCR-15 Insider Threat class</x:v>
      </x:c>
      <x:c r="K8" s="317" t="str">
        <x:v>Detect behavioral exfiltration where divergence remains normal; contain privileged prompt/configuration abuse; determine and preserve the data-loss scope.</x:v>
      </x:c>
      <x:c r="L8" s="317" t="str">
        <x:v>Exercise Facilitator; Security/IR; ASOC; AI/ML Engineering Lead; HR; Legal/Compliance; CISO or delegated authority</x:v>
      </x:c>
    </x:row>
    <x:row r="9" ht="66" customHeight="1">
      <x:c r="A9" s="13" t="s">
        <x:v>50</x:v>
      </x:c>
      <x:c r="B9" s="13" t="s">
        <x:v>51</x:v>
      </x:c>
      <x:c r="C9" s="13" t="s">
        <x:v>52</x:v>
      </x:c>
      <x:c r="D9" s="13" t="str">
        <x:v>Adversary-class scenario</x:v>
      </x:c>
      <x:c r="E9" s="13" t="s">
        <x:v>31</x:v>
      </x:c>
      <x:c r="F9" s="13" t="str">
        <x:v>240 (150 TT + 90 Tech)</x:v>
      </x:c>
      <x:c r="G9" s="13" t="s">
        <x:v>53</x:v>
      </x:c>
      <x:c r="H9" s="13" t="s">
        <x:v>54</x:v>
      </x:c>
      <x:c r="I9" s="13" t="str">
        <x:v>TVA-01 through TVA-05 PASS and documented; ASCR-07; AI-BOM baseline per ASCR-10 §1; model behavioral baseline ≥500 cycles; TEE PCR registered per ASCR-04 §3.5; staging environment operational</x:v>
      </x:c>
      <x:c r="J9" s="66" t="str">
        <x:v>ASCR-15 Supply Chain class; ASCR-12</x:v>
      </x:c>
      <x:c r="K9" s="318" t="str">
        <x:v>Narrow divergence to the model-artifact path; distinguish deployment fidelity from supplier integrity; execute rollback/quarantine and preserve vendor-liability evidence.</x:v>
      </x:c>
      <x:c r="L9" s="318" t="str">
        <x:v>Exercise Facilitator; Security/IR; ASOC; AI/ML Engineering; platform/TEE owner; Vendor Management/Procurement; Legal/Compliance</x:v>
      </x:c>
    </x:row>
    <x:row r="10" ht="66" customHeight="1">
      <x:c r="A10" s="11" t="s">
        <x:v>55</x:v>
      </x:c>
      <x:c r="B10" s="11" t="s">
        <x:v>56</x:v>
      </x:c>
      <x:c r="C10" s="11" t="str">
        <x:v>N/A - not counted toward adversary-class coverage</x:v>
      </x:c>
      <x:c r="D10" s="11" t="str">
        <x:v>Infrastructure enforcement validation</x:v>
      </x:c>
      <x:c r="E10" s="11" t="s">
        <x:v>31</x:v>
      </x:c>
      <x:c r="F10" s="11" t="str">
        <x:v>180 (90 TT + 90 Tech)</x:v>
      </x:c>
      <x:c r="G10" s="11" t="s">
        <x:v>57</x:v>
      </x:c>
      <x:c r="H10" s="11" t="str">
        <x:v>ATT&amp;CK for ICS T0862; T0836; T0878</x:v>
      </x:c>
      <x:c r="I10" s="11" t="str">
        <x:v>TVA-01 through TVA-05 PASS and documented; ASCR-04 §3.6 KQP deployed and shadow-mode validated; TVA-03 passed; assets in staging in active kinetic state; proxy Ed25519 key infrastructure documented</x:v>
      </x:c>
      <x:c r="J10" s="60" t="str">
        <x:v>ASCR-04 §3.6; ASCR-11 §11.3.4; ASCR-17 §4.3</x:v>
      </x:c>
      <x:c r="K10" s="317" t="str">
        <x:v>Validate KQP through safe-state confirmation under translation-layer compromise; enforce local-sensor precedence; validate governed re-entry.</x:v>
      </x:c>
      <x:c r="L10" s="317" t="str">
        <x:v>Exercise Facilitator; Security/IR; ASOC; OT Engineering; applicable safety representative; identity/SPIFFE owner; proxy/platform owner</x:v>
      </x:c>
    </x:row>
    <x:row r="11" ht="66" customHeight="1">
      <x:c r="A11" s="13" t="s">
        <x:v>58</x:v>
      </x:c>
      <x:c r="B11" s="13" t="str">
        <x:v>Spurious KQP Trigger via SPIRE Server Rotation Latency</x:v>
      </x:c>
      <x:c r="C11" s="13" t="str">
        <x:v>N/A - not counted toward adversary-class coverage</x:v>
      </x:c>
      <x:c r="D11" s="13" t="str">
        <x:v>Infrastructure enforcement validation</x:v>
      </x:c>
      <x:c r="E11" s="13" t="s">
        <x:v>31</x:v>
      </x:c>
      <x:c r="F11" s="13" t="s">
        <x:v>59</x:v>
      </x:c>
      <x:c r="G11" s="13" t="s">
        <x:v>60</x:v>
      </x:c>
      <x:c r="H11" s="13" t="str">
        <x:v>N/A - infrastructure-induced validation</x:v>
      </x:c>
      <x:c r="I11" s="13" t="str">
        <x:v>TVA-01 through TVA-05 PASS and documented; ASCR-04 §3.6 K-2 trigger definition documented; SPIRE Server rotation latency baseline and spurious-trigger measurement profile established per ASCR-11 §11.3.3.2; ASCR-07 behavioral correlation operational; ASCR-08 Type-X criteria documented</x:v>
      </x:c>
      <x:c r="J11" s="66" t="str">
        <x:v>ASCR-04 §3.6.2; ASCR-11 §11.3.3.2; ASCR-08 Type-X vs. Type-A</x:v>
      </x:c>
      <x:c r="K11" s="318" t="str">
        <x:v>Distinguish infrastructure-induced K-2 events from workload compromise; resist unsafe disable pressure; evaluate rate/SLA and vendor escalation correctly.</x:v>
      </x:c>
      <x:c r="L11" s="318" t="str">
        <x:v>Exercise Facilitator; ASOC; Security/IR; SPIRE/identity owner; OT Engineering; vendor-management role</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L1"/>
    <x:mergeCell ref="A2:L2"/>
  </x:mergeCells>
  <x:pageMargins left="0.7" right="0.7" top="0.75" bottom="0.75" header="0.3" footer="0.3"/>
</x:worksheet>
</file>

<file path=xl/worksheets/sheet4.xml><?xml version="1.0" encoding="utf-8"?>
<x:worksheet xmlns:x="http://schemas.openxmlformats.org/spreadsheetml/2006/main">
  <x:sheetPr>
    <x:tabColor rgb="FF2E75B6"/>
  </x:sheetPr>
  <x:sheetViews>
    <x:sheetView showGridLines="0" workbookViewId="0"/>
  </x:sheetViews>
  <x:sheetFormatPr defaultColWidth="14.430000305175781" defaultRowHeight="15"/>
  <x:cols>
    <x:col min="1" max="1" width="19" hidden="0" customWidth="1"/>
    <x:col min="2" max="2" width="20" hidden="0" customWidth="1"/>
    <x:col min="3" max="3" width="18" customWidth="1"/>
    <x:col min="4" max="4" width="14" customWidth="1"/>
    <x:col min="5" max="5" width="26" customWidth="1"/>
    <x:col min="6" max="6" width="16" customWidth="1"/>
    <x:col min="7" max="7" width="28" customWidth="1"/>
    <x:col min="8" max="8" width="22" customWidth="1"/>
    <x:col min="9" max="10" width="18" customWidth="1"/>
    <x:col min="11" max="26" width="8.710000038146973" customWidth="1"/>
    <x:col min="11" max="11" width="20" hidden="0" customWidth="1"/>
    <x:col min="12" max="12" width="14" hidden="0" customWidth="1"/>
  </x:cols>
  <x:sheetData>
    <x:row r="1" ht="21.75" customHeight="1">
      <x:c r="A1" s="1" t="s">
        <x:v>61</x:v>
      </x:c>
      <x:c r="B1" s="4"/>
      <x:c r="C1" s="4"/>
      <x:c r="D1" s="4"/>
      <x:c r="E1" s="4"/>
      <x:c r="F1" s="4"/>
      <x:c r="G1" s="4"/>
      <x:c r="H1" s="4"/>
      <x:c r="I1" s="4"/>
      <x:c r="J1" s="2"/>
    </x:row>
    <x:row r="2" ht="27.75" customHeight="1">
      <x:c r="A2" s="7" t="str">
        <x:v>Record every TVA execution here. TVA-01 through TVA-05 are prerequisite gates — no ASCR-09 exercise proceeds with an undocumented or failed result. Use Run / Exercise ID and Reporting Period to distinguish executions. Add rows as needed. See ASCR-09-OE03 for full procedure cards.</x:v>
      </x:c>
      <x:c r="B2" s="4"/>
      <x:c r="C2" s="4"/>
      <x:c r="D2" s="4"/>
      <x:c r="E2" s="4"/>
      <x:c r="F2" s="4"/>
      <x:c r="G2" s="4"/>
      <x:c r="H2" s="4"/>
      <x:c r="I2" s="4"/>
      <x:c r="J2" s="2"/>
    </x:row>
    <x:row r="3">
      <x:c r="A3" s="9" t="str">
        <x:v>Run / Exercise ID</x:v>
      </x:c>
      <x:c r="B3" s="9" t="str">
        <x:v>Reporting Period</x:v>
      </x:c>
      <x:c r="C3" s="9" t="s">
        <x:v>62</x:v>
      </x:c>
      <x:c r="D3" s="9" t="s">
        <x:v>63</x:v>
      </x:c>
      <x:c r="E3" s="9" t="s">
        <x:v>64</x:v>
      </x:c>
      <x:c r="F3" s="9" t="s">
        <x:v>65</x:v>
      </x:c>
      <x:c r="G3" s="9" t="str">
        <x:v>Operator / Enterprise Identity</x:v>
      </x:c>
      <x:c r="H3" s="9" t="s">
        <x:v>66</x:v>
      </x:c>
      <x:c r="I3" s="9" t="s">
        <x:v>67</x:v>
      </x:c>
      <x:c r="J3" s="9" t="s">
        <x:v>68</x:v>
      </x:c>
      <x:c r="K3" s="73" t="str">
        <x:v>Remediation Due Date</x:v>
      </x:c>
      <x:c r="L3" s="74" t="str">
        <x:v>Sign-off</x:v>
      </x:c>
    </x:row>
    <x:row r="4" ht="30" customHeight="1">
      <x:c r="A4" s="14"/>
      <x:c r="B4" s="15"/>
      <x:c r="C4" s="16" t="s">
        <x:v>69</x:v>
      </x:c>
      <x:c r="D4" s="17" t="s">
        <x:v>70</x:v>
      </x:c>
      <x:c r="E4" s="17" t="s">
        <x:v>71</x:v>
      </x:c>
      <x:c r="F4" s="17"/>
      <x:c r="G4" s="17"/>
      <x:c r="H4" s="17"/>
      <x:c r="I4" s="17"/>
      <x:c r="J4" s="17"/>
      <x:c r="K4" s="95"/>
      <x:c r="L4" s="96"/>
    </x:row>
    <x:row r="5" ht="30" customHeight="1">
      <x:c r="A5" s="14"/>
      <x:c r="B5" s="15"/>
      <x:c r="C5" s="16" t="s">
        <x:v>72</x:v>
      </x:c>
      <x:c r="D5" s="17" t="s">
        <x:v>73</x:v>
      </x:c>
      <x:c r="E5" s="17" t="s">
        <x:v>71</x:v>
      </x:c>
      <x:c r="F5" s="17"/>
      <x:c r="G5" s="17"/>
      <x:c r="H5" s="17"/>
      <x:c r="I5" s="17"/>
      <x:c r="J5" s="17"/>
      <x:c r="K5" s="97"/>
      <x:c r="L5" s="98"/>
    </x:row>
    <x:row r="6" ht="30" customHeight="1">
      <x:c r="A6" s="14"/>
      <x:c r="B6" s="15"/>
      <x:c r="C6" s="16" t="s">
        <x:v>74</x:v>
      </x:c>
      <x:c r="D6" s="17" t="s">
        <x:v>75</x:v>
      </x:c>
      <x:c r="E6" s="17" t="s">
        <x:v>71</x:v>
      </x:c>
      <x:c r="F6" s="17"/>
      <x:c r="G6" s="17"/>
      <x:c r="H6" s="17"/>
      <x:c r="I6" s="17"/>
      <x:c r="J6" s="17"/>
      <x:c r="K6" s="97"/>
      <x:c r="L6" s="98"/>
    </x:row>
    <x:row r="7" ht="30" customHeight="1">
      <x:c r="A7" s="14"/>
      <x:c r="B7" s="15"/>
      <x:c r="C7" s="16" t="s">
        <x:v>76</x:v>
      </x:c>
      <x:c r="D7" s="17" t="str">
        <x:v>ASCR-07 Evidence-Domain and Chain Conformance Validation</x:v>
      </x:c>
      <x:c r="E7" s="17" t="s">
        <x:v>71</x:v>
      </x:c>
      <x:c r="F7" s="17"/>
      <x:c r="G7" s="17"/>
      <x:c r="H7" s="17"/>
      <x:c r="I7" s="17"/>
      <x:c r="J7" s="17"/>
      <x:c r="K7" s="97"/>
      <x:c r="L7" s="98"/>
    </x:row>
    <x:row r="8" ht="30" customHeight="1">
      <x:c r="A8" s="14"/>
      <x:c r="B8" s="15"/>
      <x:c r="C8" s="16" t="s">
        <x:v>77</x:v>
      </x:c>
      <x:c r="D8" s="17" t="s">
        <x:v>78</x:v>
      </x:c>
      <x:c r="E8" s="17" t="s">
        <x:v>71</x:v>
      </x:c>
      <x:c r="F8" s="17"/>
      <x:c r="G8" s="17"/>
      <x:c r="H8" s="17"/>
      <x:c r="I8" s="17"/>
      <x:c r="J8" s="17"/>
      <x:c r="K8" s="99"/>
      <x:c r="L8" s="100"/>
    </x:row>
    <x:row r="9" ht="30" customHeight="1">
      <x:c r="A9" s="22"/>
      <x:c r="B9" s="23"/>
      <x:c r="C9" s="24" t="str">
        <x:v>TVA-MCP-01</x:v>
      </x:c>
      <x:c r="D9" s="25" t="str">
        <x:v>MCP Gateway Instrumentation and Trace-Continuity Validation</x:v>
      </x:c>
      <x:c r="E9" s="25" t="str">
        <x:v>Capability-Specific</x:v>
      </x:c>
      <x:c r="F9" s="25"/>
      <x:c r="G9" s="25"/>
      <x:c r="H9" s="25"/>
      <x:c r="I9" s="25"/>
      <x:c r="J9" s="25"/>
      <x:c r="K9" s="121"/>
      <x:c r="L9" s="122"/>
    </x:row>
    <x:row r="10" ht="30" customHeight="1">
      <x:c r="A10" s="22"/>
      <x:c r="B10" s="23"/>
      <x:c r="C10" s="24" t="str">
        <x:v>TVA-ABA-01</x:v>
      </x:c>
      <x:c r="D10" s="25" t="str">
        <x:v>Analog Emission Deviation Response Validation</x:v>
      </x:c>
      <x:c r="E10" s="25" t="str">
        <x:v>Capability-Specific</x:v>
      </x:c>
      <x:c r="F10" s="25"/>
      <x:c r="G10" s="25"/>
      <x:c r="H10" s="25"/>
      <x:c r="I10" s="25"/>
      <x:c r="J10" s="25"/>
      <x:c r="K10" s="123"/>
      <x:c r="L10" s="124"/>
    </x:row>
    <x:row r="11" ht="30" customHeight="1">
      <x:c r="A11" s="22"/>
      <x:c r="B11" s="23"/>
      <x:c r="C11" s="24" t="str">
        <x:v>TVA-RSD-02</x:v>
      </x:c>
      <x:c r="D11" s="25" t="str">
        <x:v>Reward Sensor Spoofing and Policy Freeze Validation</x:v>
      </x:c>
      <x:c r="E11" s="25" t="str">
        <x:v>Capability-Specific</x:v>
      </x:c>
      <x:c r="F11" s="25"/>
      <x:c r="G11" s="25"/>
      <x:c r="H11" s="25"/>
      <x:c r="I11" s="25"/>
      <x:c r="J11" s="25"/>
      <x:c r="K11" s="123"/>
      <x:c r="L11" s="124"/>
    </x:row>
    <x:row r="12" ht="30" customHeight="1">
      <x:c r="A12" s="22"/>
      <x:c r="B12" s="23"/>
      <x:c r="C12" s="24" t="str">
        <x:v>TVA-HBOM-01</x:v>
      </x:c>
      <x:c r="D12" s="25" t="str">
        <x:v>H-BOM Audit and Firmware Integrity Validation</x:v>
      </x:c>
      <x:c r="E12" s="25" t="str">
        <x:v>Capability-Specific</x:v>
      </x:c>
      <x:c r="F12" s="25"/>
      <x:c r="G12" s="25"/>
      <x:c r="H12" s="25"/>
      <x:c r="I12" s="25"/>
      <x:c r="J12" s="25"/>
      <x:c r="K12" s="125"/>
      <x:c r="L12" s="126"/>
    </x:row>
    <x:row r="13" ht="72" customHeight="1">
      <x:c r="A13" s="319"/>
      <x:c r="B13" s="320"/>
      <x:c r="C13" s="325" t="str">
        <x:v>TVA-REENTRY-01</x:v>
      </x:c>
      <x:c r="D13" s="326" t="str">
        <x:v>Safe-State Re-entry Cycle Validation</x:v>
      </x:c>
      <x:c r="E13" s="326" t="str">
        <x:v>Capability-Specific</x:v>
      </x:c>
      <x:c r="F13" s="322"/>
      <x:c r="G13" s="322"/>
      <x:c r="H13" s="322"/>
      <x:c r="I13" s="322"/>
      <x:c r="J13" s="322"/>
      <x:c r="K13" s="323"/>
      <x:c r="L13" s="324"/>
    </x:row>
    <x:row r="14" ht="30" customHeight="1">
      <x:c r="A14" s="14"/>
      <x:c r="B14" s="15"/>
      <x:c r="C14" s="16"/>
      <x:c r="D14" s="17"/>
      <x:c r="E14" s="17"/>
      <x:c r="F14" s="17"/>
      <x:c r="G14" s="17"/>
      <x:c r="H14" s="17"/>
      <x:c r="I14" s="17"/>
      <x:c r="J14" s="17"/>
      <x:c r="K14" s="97"/>
      <x:c r="L14" s="98"/>
    </x:row>
    <x:row r="15" ht="30" customHeight="1">
      <x:c r="A15" s="14"/>
      <x:c r="B15" s="15"/>
      <x:c r="C15" s="16"/>
      <x:c r="D15" s="17"/>
      <x:c r="E15" s="17"/>
      <x:c r="F15" s="17"/>
      <x:c r="G15" s="17"/>
      <x:c r="H15" s="17"/>
      <x:c r="I15" s="17"/>
      <x:c r="J15" s="17"/>
      <x:c r="K15" s="97"/>
      <x:c r="L15" s="98"/>
    </x:row>
    <x:row r="16" ht="30" customHeight="1">
      <x:c r="A16" s="14"/>
      <x:c r="B16" s="15"/>
      <x:c r="C16" s="16"/>
      <x:c r="D16" s="17"/>
      <x:c r="E16" s="17"/>
      <x:c r="F16" s="17"/>
      <x:c r="G16" s="17"/>
      <x:c r="H16" s="17"/>
      <x:c r="I16" s="17"/>
      <x:c r="J16" s="17"/>
      <x:c r="K16" s="97"/>
      <x:c r="L16" s="98"/>
    </x:row>
    <x:row r="17" ht="30" customHeight="1">
      <x:c r="A17" s="14"/>
      <x:c r="B17" s="15"/>
      <x:c r="C17" s="16"/>
      <x:c r="D17" s="17"/>
      <x:c r="E17" s="17"/>
      <x:c r="F17" s="17"/>
      <x:c r="G17" s="17"/>
      <x:c r="H17" s="17"/>
      <x:c r="I17" s="17"/>
      <x:c r="J17" s="17"/>
      <x:c r="K17" s="97"/>
      <x:c r="L17" s="98"/>
    </x:row>
    <x:row r="18" ht="30" customHeight="1">
      <x:c r="A18" s="22"/>
      <x:c r="B18" s="23"/>
      <x:c r="C18" s="24"/>
      <x:c r="D18" s="25"/>
      <x:c r="E18" s="25"/>
      <x:c r="F18" s="25"/>
      <x:c r="G18" s="25"/>
      <x:c r="H18" s="25"/>
      <x:c r="I18" s="25"/>
      <x:c r="J18" s="25"/>
      <x:c r="K18" s="97"/>
      <x:c r="L18" s="98"/>
    </x:row>
    <x:row r="19" ht="30" customHeight="1">
      <x:c r="A19" s="22"/>
      <x:c r="B19" s="23"/>
      <x:c r="C19" s="24"/>
      <x:c r="D19" s="25"/>
      <x:c r="E19" s="25"/>
      <x:c r="F19" s="25"/>
      <x:c r="G19" s="25"/>
      <x:c r="H19" s="25"/>
      <x:c r="I19" s="25"/>
      <x:c r="J19" s="25"/>
      <x:c r="K19" s="97"/>
      <x:c r="L19" s="98"/>
    </x:row>
    <x:row r="20" ht="30" customHeight="1">
      <x:c r="A20" s="22"/>
      <x:c r="B20" s="23"/>
      <x:c r="C20" s="24"/>
      <x:c r="D20" s="25"/>
      <x:c r="E20" s="25"/>
      <x:c r="F20" s="25"/>
      <x:c r="G20" s="25"/>
      <x:c r="H20" s="25"/>
      <x:c r="I20" s="25"/>
      <x:c r="J20" s="25"/>
      <x:c r="K20" s="97"/>
      <x:c r="L20" s="98"/>
    </x:row>
    <x:row r="21" ht="30" customHeight="1">
      <x:c r="A21" s="22"/>
      <x:c r="B21" s="23"/>
      <x:c r="C21" s="24"/>
      <x:c r="D21" s="25"/>
      <x:c r="E21" s="25"/>
      <x:c r="F21" s="25"/>
      <x:c r="G21" s="25"/>
      <x:c r="H21" s="25"/>
      <x:c r="I21" s="25"/>
      <x:c r="J21" s="25"/>
      <x:c r="K21" s="97"/>
      <x:c r="L21" s="98"/>
    </x:row>
    <x:row r="22" ht="30" customHeight="1">
      <x:c r="A22" s="14"/>
      <x:c r="B22" s="15"/>
      <x:c r="C22" s="16"/>
      <x:c r="D22" s="17"/>
      <x:c r="E22" s="17"/>
      <x:c r="F22" s="17"/>
      <x:c r="G22" s="17"/>
      <x:c r="H22" s="17"/>
      <x:c r="I22" s="17"/>
      <x:c r="J22" s="17"/>
      <x:c r="K22" s="97"/>
      <x:c r="L22" s="98"/>
    </x:row>
    <x:row r="23" ht="30" customHeight="1">
      <x:c r="A23" s="14"/>
      <x:c r="B23" s="15"/>
      <x:c r="C23" s="16"/>
      <x:c r="D23" s="17"/>
      <x:c r="E23" s="17"/>
      <x:c r="F23" s="17"/>
      <x:c r="G23" s="17"/>
      <x:c r="H23" s="17"/>
      <x:c r="I23" s="17"/>
      <x:c r="J23" s="17"/>
      <x:c r="K23" s="97"/>
      <x:c r="L23" s="98"/>
    </x:row>
    <x:row r="24" ht="30" customHeight="1">
      <x:c r="A24" s="14"/>
      <x:c r="B24" s="15"/>
      <x:c r="C24" s="16"/>
      <x:c r="D24" s="17"/>
      <x:c r="E24" s="17"/>
      <x:c r="F24" s="17"/>
      <x:c r="G24" s="17"/>
      <x:c r="H24" s="17"/>
      <x:c r="I24" s="17"/>
      <x:c r="J24" s="17"/>
      <x:c r="K24" s="97"/>
      <x:c r="L24" s="98"/>
    </x:row>
    <x:row r="25" ht="30" customHeight="1">
      <x:c r="A25" s="14"/>
      <x:c r="B25" s="15"/>
      <x:c r="C25" s="16"/>
      <x:c r="D25" s="17"/>
      <x:c r="E25" s="17"/>
      <x:c r="F25" s="17"/>
      <x:c r="G25" s="17"/>
      <x:c r="H25" s="17"/>
      <x:c r="I25" s="17"/>
      <x:c r="J25" s="17"/>
      <x:c r="K25" s="97"/>
      <x:c r="L25" s="98"/>
    </x:row>
    <x:row r="26" ht="30" customHeight="1">
      <x:c r="A26" s="14"/>
      <x:c r="B26" s="15"/>
      <x:c r="C26" s="16"/>
      <x:c r="D26" s="17"/>
      <x:c r="E26" s="17"/>
      <x:c r="F26" s="17"/>
      <x:c r="G26" s="17"/>
      <x:c r="H26" s="17"/>
      <x:c r="I26" s="17"/>
      <x:c r="J26" s="17"/>
      <x:c r="K26" s="97"/>
      <x:c r="L26" s="98"/>
    </x:row>
    <x:row r="27" ht="30" customHeight="1">
      <x:c r="A27" s="22"/>
      <x:c r="B27" s="23"/>
      <x:c r="C27" s="24"/>
      <x:c r="D27" s="25"/>
      <x:c r="E27" s="25"/>
      <x:c r="F27" s="25"/>
      <x:c r="G27" s="25"/>
      <x:c r="H27" s="25"/>
      <x:c r="I27" s="25"/>
      <x:c r="J27" s="25"/>
      <x:c r="K27" s="97"/>
      <x:c r="L27" s="98"/>
    </x:row>
    <x:row r="28" ht="30" customHeight="1">
      <x:c r="A28" s="22"/>
      <x:c r="B28" s="23"/>
      <x:c r="C28" s="24"/>
      <x:c r="D28" s="25"/>
      <x:c r="E28" s="25"/>
      <x:c r="F28" s="25"/>
      <x:c r="G28" s="25"/>
      <x:c r="H28" s="25"/>
      <x:c r="I28" s="25"/>
      <x:c r="J28" s="25"/>
      <x:c r="K28" s="97"/>
      <x:c r="L28" s="98"/>
    </x:row>
    <x:row r="29" ht="30" customHeight="1">
      <x:c r="A29" s="22"/>
      <x:c r="B29" s="23"/>
      <x:c r="C29" s="24"/>
      <x:c r="D29" s="25"/>
      <x:c r="E29" s="25"/>
      <x:c r="F29" s="25"/>
      <x:c r="G29" s="25"/>
      <x:c r="H29" s="25"/>
      <x:c r="I29" s="25"/>
      <x:c r="J29" s="25"/>
      <x:c r="K29" s="97"/>
      <x:c r="L29" s="98"/>
    </x:row>
    <x:row r="30" ht="30" customHeight="1">
      <x:c r="A30" s="22"/>
      <x:c r="B30" s="23"/>
      <x:c r="C30" s="24"/>
      <x:c r="D30" s="25"/>
      <x:c r="E30" s="25"/>
      <x:c r="F30" s="25"/>
      <x:c r="G30" s="25"/>
      <x:c r="H30" s="25"/>
      <x:c r="I30" s="25"/>
      <x:c r="J30" s="25"/>
      <x:c r="K30" s="97"/>
      <x:c r="L30" s="98"/>
    </x:row>
    <x:row r="31" ht="30" customHeight="1">
      <x:c r="A31" s="14"/>
      <x:c r="B31" s="15"/>
      <x:c r="C31" s="16"/>
      <x:c r="D31" s="17"/>
      <x:c r="E31" s="17"/>
      <x:c r="F31" s="17"/>
      <x:c r="G31" s="17"/>
      <x:c r="H31" s="17"/>
      <x:c r="I31" s="17"/>
      <x:c r="J31" s="17"/>
      <x:c r="K31" s="97"/>
      <x:c r="L31" s="98"/>
    </x:row>
    <x:row r="32" ht="30" customHeight="1">
      <x:c r="A32" s="14"/>
      <x:c r="B32" s="15"/>
      <x:c r="C32" s="16"/>
      <x:c r="D32" s="17"/>
      <x:c r="E32" s="17"/>
      <x:c r="F32" s="17"/>
      <x:c r="G32" s="17"/>
      <x:c r="H32" s="17"/>
      <x:c r="I32" s="17"/>
      <x:c r="J32" s="17"/>
      <x:c r="K32" s="97"/>
      <x:c r="L32" s="98"/>
    </x:row>
    <x:row r="33" ht="30" customHeight="1">
      <x:c r="A33" s="14"/>
      <x:c r="B33" s="15"/>
      <x:c r="C33" s="16"/>
      <x:c r="D33" s="17"/>
      <x:c r="E33" s="17"/>
      <x:c r="F33" s="17"/>
      <x:c r="G33" s="17"/>
      <x:c r="H33" s="17"/>
      <x:c r="I33" s="17"/>
      <x:c r="J33" s="17"/>
      <x:c r="K33" s="97"/>
      <x:c r="L33" s="98"/>
    </x:row>
    <x:row r="34" ht="30" customHeight="1">
      <x:c r="A34" s="14"/>
      <x:c r="B34" s="15"/>
      <x:c r="C34" s="16"/>
      <x:c r="D34" s="17"/>
      <x:c r="E34" s="17"/>
      <x:c r="F34" s="17"/>
      <x:c r="G34" s="17"/>
      <x:c r="H34" s="17"/>
      <x:c r="I34" s="17"/>
      <x:c r="J34" s="17"/>
      <x:c r="K34" s="97"/>
      <x:c r="L34" s="98"/>
    </x:row>
    <x:row r="35" ht="30" customHeight="1">
      <x:c r="A35" s="14"/>
      <x:c r="B35" s="15"/>
      <x:c r="C35" s="16"/>
      <x:c r="D35" s="17"/>
      <x:c r="E35" s="17"/>
      <x:c r="F35" s="17"/>
      <x:c r="G35" s="17"/>
      <x:c r="H35" s="17"/>
      <x:c r="I35" s="17"/>
      <x:c r="J35" s="17"/>
      <x:c r="K35" s="97"/>
      <x:c r="L35" s="98"/>
    </x:row>
    <x:row r="36" ht="30" customHeight="1">
      <x:c r="A36" s="22"/>
      <x:c r="B36" s="23"/>
      <x:c r="C36" s="24"/>
      <x:c r="D36" s="25"/>
      <x:c r="E36" s="25"/>
      <x:c r="F36" s="25"/>
      <x:c r="G36" s="25"/>
      <x:c r="H36" s="25"/>
      <x:c r="I36" s="25"/>
      <x:c r="J36" s="25"/>
      <x:c r="K36" s="97"/>
      <x:c r="L36" s="98"/>
    </x:row>
    <x:row r="37" ht="30" customHeight="1">
      <x:c r="A37" s="22"/>
      <x:c r="B37" s="23"/>
      <x:c r="C37" s="24"/>
      <x:c r="D37" s="25"/>
      <x:c r="E37" s="25"/>
      <x:c r="F37" s="25"/>
      <x:c r="G37" s="25"/>
      <x:c r="H37" s="25"/>
      <x:c r="I37" s="25"/>
      <x:c r="J37" s="25"/>
      <x:c r="K37" s="97"/>
      <x:c r="L37" s="98"/>
    </x:row>
    <x:row r="38" ht="30" customHeight="1">
      <x:c r="A38" s="22"/>
      <x:c r="B38" s="23"/>
      <x:c r="C38" s="24"/>
      <x:c r="D38" s="25"/>
      <x:c r="E38" s="25"/>
      <x:c r="F38" s="25"/>
      <x:c r="G38" s="25"/>
      <x:c r="H38" s="25"/>
      <x:c r="I38" s="25"/>
      <x:c r="J38" s="25"/>
      <x:c r="K38" s="97"/>
      <x:c r="L38" s="98"/>
    </x:row>
    <x:row r="39" ht="30" customHeight="1">
      <x:c r="A39" s="22"/>
      <x:c r="B39" s="23"/>
      <x:c r="C39" s="24"/>
      <x:c r="D39" s="25"/>
      <x:c r="E39" s="25"/>
      <x:c r="F39" s="25"/>
      <x:c r="G39" s="25"/>
      <x:c r="H39" s="25"/>
      <x:c r="I39" s="25"/>
      <x:c r="J39" s="25"/>
      <x:c r="K39" s="99"/>
      <x:c r="L39" s="100"/>
    </x:row>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L1"/>
    <x:mergeCell ref="A2:L2"/>
  </x:mergeCells>
  <x:dataValidations count="1">
    <x:dataValidation type="list" sqref="H4:H39">
      <x:formula1>"PASS,FAIL,N/A"</x:formula1>
    </x:dataValidation>
  </x:dataValidations>
  <x:pageMargins left="0.7" right="0.7" top="0.75" bottom="0.75" header="0.3" footer="0.3"/>
</x:worksheet>
</file>

<file path=xl/worksheets/sheet5.xml><?xml version="1.0" encoding="utf-8"?>
<x:worksheet xmlns:x="http://schemas.openxmlformats.org/spreadsheetml/2006/main">
  <x:sheetPr>
    <x:tabColor rgb="FF375623"/>
  </x:sheetPr>
  <x:sheetViews>
    <x:sheetView showGridLines="0" workbookViewId="0"/>
  </x:sheetViews>
  <x:sheetFormatPr defaultColWidth="14.430000305175781" defaultRowHeight="15"/>
  <x:cols>
    <x:col min="1" max="1" width="36" customWidth="1"/>
    <x:col min="2" max="2" width="20" customWidth="1"/>
    <x:col min="3" max="3" width="36" customWidth="1"/>
    <x:col min="4" max="5" width="14" customWidth="1"/>
    <x:col min="6" max="6" width="26" customWidth="1"/>
    <x:col min="7" max="26" width="8.710000038146973" customWidth="1"/>
    <x:col min="7" max="7" width="20" hidden="0" customWidth="1"/>
  </x:cols>
  <x:sheetData>
    <x:row r="1" ht="21.75" customHeight="1">
      <x:c r="A1" s="1" t="s">
        <x:v>79</x:v>
      </x:c>
      <x:c r="B1" s="4"/>
      <x:c r="C1" s="4"/>
      <x:c r="D1" s="4"/>
      <x:c r="E1" s="4"/>
      <x:c r="F1" s="2"/>
      <x:c r="G1"/>
    </x:row>
    <x:row r="2" ht="27.75" customHeight="1">
      <x:c r="A2" s="7" t="str">
        <x:v>Source: ASCR-09 Section 7.2. Complete Last Run dates for recurring cadences and Incident Closure Date for post-incident replay. Use Next Due and Status / Notes to maintain schedule compliance.</x:v>
      </x:c>
      <x:c r="B2" s="4"/>
      <x:c r="C2" s="4"/>
      <x:c r="D2" s="4"/>
      <x:c r="E2" s="4"/>
      <x:c r="F2" s="2"/>
      <x:c r="G2"/>
    </x:row>
    <x:row r="3">
      <x:c r="A3" s="9" t="s">
        <x:v>23</x:v>
      </x:c>
      <x:c r="B3" s="9" t="s">
        <x:v>80</x:v>
      </x:c>
      <x:c r="C3" s="9" t="s">
        <x:v>81</x:v>
      </x:c>
      <x:c r="D3" s="9" t="s">
        <x:v>82</x:v>
      </x:c>
      <x:c r="E3" s="9" t="str">
        <x:v>Incident Closure Date</x:v>
      </x:c>
      <x:c r="F3" s="9" t="s">
        <x:v>83</x:v>
      </x:c>
      <x:c r="G3" s="54" t="str">
        <x:v>Status / Notes</x:v>
      </x:c>
    </x:row>
    <x:row r="4" ht="45.75" customHeight="1">
      <x:c r="A4" s="60" t="s">
        <x:v>84</x:v>
      </x:c>
      <x:c r="B4" s="60" t="s">
        <x:v>85</x:v>
      </x:c>
      <x:c r="C4" s="60" t="s">
        <x:v>86</x:v>
      </x:c>
      <x:c r="D4" s="346"/>
      <x:c r="E4" s="346"/>
      <x:c r="F4" s="346" t="str">
        <x:f>IF(D4&lt;&gt;"",EDATE(D4,12),"")</x:f>
      </x:c>
      <x:c r="G4" s="130"/>
    </x:row>
    <x:row r="5" ht="45.75" customHeight="1">
      <x:c r="A5" s="66" t="s">
        <x:v>87</x:v>
      </x:c>
      <x:c r="B5" s="66" t="s">
        <x:v>88</x:v>
      </x:c>
      <x:c r="C5" s="66" t="s">
        <x:v>86</x:v>
      </x:c>
      <x:c r="D5" s="347"/>
      <x:c r="E5" s="347"/>
      <x:c r="F5" s="347" t="str">
        <x:f>IF(D5&lt;&gt;"",EDATE(D5,3),"")</x:f>
      </x:c>
      <x:c r="G5" s="134"/>
    </x:row>
    <x:row r="6" ht="45.75" customHeight="1">
      <x:c r="A6" s="60" t="s">
        <x:v>89</x:v>
      </x:c>
      <x:c r="B6" s="60" t="s">
        <x:v>90</x:v>
      </x:c>
      <x:c r="C6" s="60" t="s">
        <x:v>91</x:v>
      </x:c>
      <x:c r="D6" s="346"/>
      <x:c r="E6" s="346"/>
      <x:c r="F6" s="346"/>
      <x:c r="G6" s="130"/>
    </x:row>
    <x:row r="7" ht="45.75" customHeight="1">
      <x:c r="A7" s="66" t="s">
        <x:v>92</x:v>
      </x:c>
      <x:c r="B7" s="66" t="s">
        <x:v>93</x:v>
      </x:c>
      <x:c r="C7" s="66" t="s">
        <x:v>94</x:v>
      </x:c>
      <x:c r="D7" s="347"/>
      <x:c r="E7" s="347"/>
      <x:c r="F7" s="347" t="str">
        <x:f>IF(E7&lt;&gt;"",E7+60,"")</x:f>
      </x:c>
      <x:c r="G7" s="134" t="str">
        <x:f>IF(E7="","Not triggered",IF(F7="","Due date unavailable",IF(F7&lt;TODAY(),"OVERDUE",IF(F7-TODAY()&lt;=14,"Due within 14 days","Scheduled"))))</x:f>
        <x:v>Not triggered</x:v>
      </x:c>
    </x:row>
    <x:row r="8" ht="45.75" customHeight="1">
      <x:c r="A8" s="60" t="s">
        <x:v>95</x:v>
      </x:c>
      <x:c r="B8" s="60" t="s">
        <x:v>96</x:v>
      </x:c>
      <x:c r="C8" s="60" t="s">
        <x:v>97</x:v>
      </x:c>
      <x:c r="D8" s="346"/>
      <x:c r="E8" s="346"/>
      <x:c r="F8" s="346"/>
      <x:c r="G8" s="130"/>
    </x:row>
    <x:row r="9">
      <x:c r="A9" s="141" t="str">
        <x:v>TVA-MCP-01</x:v>
      </x:c>
      <x:c r="B9" s="142" t="str">
        <x:v>Before production admission; event-driven thereafter</x:v>
      </x:c>
      <x:c r="C9" s="142" t="str">
        <x:v>New production gateway; material change to ASCR-04 enforcement logic, REQUEST-INTEGRITY-PROFILE, W3C Trace Context propagation, ASCR-06 Layer 6 integration, or ASCR-07 gateway-evidence linkage</x:v>
      </x:c>
      <x:c r="D9" s="348"/>
      <x:c r="E9" s="348"/>
      <x:c r="F9" s="348" t="str"/>
      <x:c r="G9" s="134"/>
    </x:row>
    <x:row r="10" ht="24" hidden="0" customHeight="1">
      <x:c r="A10" s="279" t="str">
        <x:v>TVA-ABA-01</x:v>
      </x:c>
      <x:c r="B10" s="280" t="str">
        <x:v>Annual</x:v>
      </x:c>
      <x:c r="C10" s="280" t="str">
        <x:v>ABA sensor integration or SOAR rule ABA-01 change</x:v>
      </x:c>
      <x:c r="D10" s="349"/>
      <x:c r="E10" s="349"/>
      <x:c r="F10" s="349" t="str">
        <x:f>IF(D10&lt;&gt;"",EDATE(D10,12),"")</x:f>
      </x:c>
      <x:c r="G10" s="258"/>
    </x:row>
    <x:row r="11" ht="27.75" customHeight="1">
      <x:c r="A11" s="141" t="str">
        <x:v>TVA-RSD-02</x:v>
      </x:c>
      <x:c r="B11" s="142" t="str">
        <x:v>Annual</x:v>
      </x:c>
      <x:c r="C11" s="142" t="str">
        <x:v>Reward-sensor architecture or policy-update-cycle change</x:v>
      </x:c>
      <x:c r="D11" s="348"/>
      <x:c r="E11" s="348"/>
      <x:c r="F11" s="348" t="str">
        <x:f>IF(D11&lt;&gt;"",EDATE(D11,12),"")</x:f>
      </x:c>
      <x:c r="G11" s="134"/>
    </x:row>
    <x:row r="12" ht="27.75" customHeight="1">
      <x:c r="A12" s="178" t="str">
        <x:v>TVA-HBOM-01</x:v>
      </x:c>
      <x:c r="B12" s="157" t="str">
        <x:v>Quarterly TVA validation</x:v>
      </x:c>
      <x:c r="C12" s="157" t="str">
        <x:v>Class A inference-accelerator firmware update</x:v>
      </x:c>
      <x:c r="D12" s="349"/>
      <x:c r="E12" s="349"/>
      <x:c r="F12" s="349" t="str">
        <x:f>IF(D12&lt;&gt;"",EDATE(D12,3),"")</x:f>
      </x:c>
      <x:c r="G12" s="130"/>
    </x:row>
    <x:row r="13" ht="78" customHeight="1">
      <x:c r="A13" s="342" t="str">
        <x:v>TVA-REENTRY-01</x:v>
      </x:c>
      <x:c r="B13" s="343" t="str">
        <x:v>Annual</x:v>
      </x:c>
      <x:c r="C13" s="343" t="str">
        <x:v>Confirmed Type-A event or re-entry-checklist change</x:v>
      </x:c>
      <x:c r="D13" s="350"/>
      <x:c r="E13" s="350"/>
      <x:c r="F13" s="350" t="str">
        <x:f>IF(D13&lt;&gt;"",EDATE(D13,12),"")</x:f>
      </x:c>
      <x:c r="G13" s="345"/>
    </x:row>
    <x:row r="14" ht="27.75" customHeight="1">
      <x:c r="A14" s="19" t="s">
        <x:v>98</x:v>
      </x:c>
      <x:c r="B14" s="20"/>
      <x:c r="C14" s="20"/>
      <x:c r="D14" s="20"/>
      <x:c r="E14" s="20"/>
      <x:c r="F14" s="21"/>
      <x:c r="G14"/>
    </x:row>
    <x:row r="15">
      <x:c r="A15" t="s">
        <x:v>99</x:v>
      </x:c>
      <x:c r="B15"/>
      <x:c r="C15"/>
      <x:c r="D15"/>
      <x:c r="E15"/>
      <x:c r="F15"/>
      <x:c r="G15"/>
    </x:row>
    <x:row r="16">
      <x:c r="A16" t="s">
        <x:v>100</x:v>
      </x:c>
      <x:c r="B16"/>
      <x:c r="C16"/>
      <x:c r="D16"/>
      <x:c r="E16"/>
      <x:c r="F16"/>
      <x:c r="G16"/>
    </x:row>
    <x:row r="17">
      <x:c r="A17" t="s">
        <x:v>101</x:v>
      </x:c>
      <x:c r="B17"/>
      <x:c r="C17"/>
      <x:c r="D17"/>
      <x:c r="E17"/>
      <x:c r="F17"/>
      <x:c r="G17"/>
    </x:row>
    <x:row r="18">
      <x:c r="A18" t="str">
        <x:v>• TVA-ABA-01, TVA-RSD-02, TVA-HBOM-01, TVA-REENTRY-01, and TVA-MCP-01 run on the independent cadences and event triggers defined in ASCR-09 Section 6 and ASCR-09-OE03; they do not require a full scenario exercise.</x:v>
      </x:c>
      <x:c r="B18"/>
      <x:c r="C18"/>
      <x:c r="D18"/>
      <x:c r="E18"/>
      <x:c r="F18"/>
      <x:c r="G18"/>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4:G14"/>
    <x:mergeCell ref="A15:G15"/>
    <x:mergeCell ref="A16:G16"/>
    <x:mergeCell ref="A17:G17"/>
    <x:mergeCell ref="A18:G18"/>
    <x:mergeCell ref="A1:G1"/>
    <x:mergeCell ref="A2:G2"/>
  </x:mergeCells>
  <x:pageMargins left="0.7" right="0.7" top="0.75" bottom="0.75" header="0.3" footer="0.3"/>
</x:worksheet>
</file>

<file path=xl/worksheets/sheet6.xml><?xml version="1.0" encoding="utf-8"?>
<x:worksheet xmlns:x="http://schemas.openxmlformats.org/spreadsheetml/2006/main">
  <x:sheetPr>
    <x:tabColor rgb="FFBF8F00"/>
  </x:sheetPr>
  <x:sheetViews>
    <x:sheetView showGridLines="0" workbookViewId="0"/>
  </x:sheetViews>
  <x:sheetFormatPr defaultColWidth="14.430000305175781" defaultRowHeight="15"/>
  <x:cols>
    <x:col min="1" max="1" width="14" customWidth="1"/>
    <x:col min="2" max="3" width="18" customWidth="1"/>
    <x:col min="4" max="4" width="14" customWidth="1"/>
    <x:col min="5" max="5" width="20" customWidth="1"/>
    <x:col min="6" max="6" width="18" customWidth="1"/>
    <x:col min="7" max="7" width="34" customWidth="1"/>
    <x:col min="8" max="9" width="16" customWidth="1"/>
    <x:col min="10" max="26" width="8.710000038146973" customWidth="1"/>
    <x:col min="10" max="10" width="16" hidden="0" customWidth="1"/>
    <x:col min="11" max="11" width="19" hidden="0" customWidth="1"/>
    <x:col min="12" max="12" width="18" hidden="0" customWidth="1"/>
    <x:col min="13" max="13" width="18" hidden="0" customWidth="1"/>
    <x:col min="14" max="14" width="19" hidden="0" customWidth="1"/>
    <x:col min="15" max="15" width="24" hidden="0" customWidth="1"/>
    <x:col min="16" max="16" width="26" hidden="0" customWidth="1"/>
  </x:cols>
  <x:sheetData>
    <x:row r="1" ht="21.75" customHeight="1">
      <x:c r="A1" s="1" t="s">
        <x:v>102</x:v>
      </x:c>
      <x:c r="B1" s="4"/>
      <x:c r="C1" s="4"/>
      <x:c r="D1" s="4"/>
      <x:c r="E1" s="4"/>
      <x:c r="F1" s="4"/>
      <x:c r="G1" s="4"/>
      <x:c r="H1" s="4"/>
      <x:c r="I1" s="2"/>
    </x:row>
    <x:row r="2" ht="27.75" customHeight="1">
      <x:c r="A2" s="32" t="str">
        <x:v>One row per decision point per exercise run. CORRECT = defensible and documented path taken; DEGRADED = gap path taken. Every DEGRADED outcome links to an OE01 gap finding. Mark Persistent / Recurrent when the same Scenario ID and DP Reference, or the same underlying control failure, records DEGRADED again at the next applicable execution while the prior finding remains open or remediation has not been verified.</x:v>
      </x:c>
      <x:c r="B2" s="4"/>
      <x:c r="C2" s="4"/>
      <x:c r="D2" s="4"/>
      <x:c r="E2" s="4"/>
      <x:c r="F2" s="4"/>
      <x:c r="G2" s="4"/>
      <x:c r="H2" s="4"/>
      <x:c r="I2" s="2"/>
    </x:row>
    <x:row r="3" ht="36" customHeight="1">
      <x:c r="A3" s="9" t="s">
        <x:v>103</x:v>
      </x:c>
      <x:c r="B3" s="9" t="s">
        <x:v>104</x:v>
      </x:c>
      <x:c r="C3" s="9" t="s">
        <x:v>20</x:v>
      </x:c>
      <x:c r="D3" s="9" t="s">
        <x:v>105</x:v>
      </x:c>
      <x:c r="E3" s="9" t="s">
        <x:v>22</x:v>
      </x:c>
      <x:c r="F3" s="9" t="s">
        <x:v>106</x:v>
      </x:c>
      <x:c r="G3" s="9" t="s">
        <x:v>107</x:v>
      </x:c>
      <x:c r="H3" s="9" t="s">
        <x:v>108</x:v>
      </x:c>
      <x:c r="I3" s="9" t="s">
        <x:v>109</x:v>
      </x:c>
      <x:c r="J3" s="302" t="str">
        <x:v>Linked Gap ID</x:v>
      </x:c>
      <x:c r="K3" s="303" t="str">
        <x:v>Prior Applicable Outcome</x:v>
      </x:c>
      <x:c r="L3" s="303" t="str">
        <x:v>Prior Finding Status</x:v>
      </x:c>
      <x:c r="M3" s="303" t="str">
        <x:v>Remediation Verified?</x:v>
      </x:c>
      <x:c r="N3" s="303" t="str">
        <x:v>Persistent / Recurrent?</x:v>
      </x:c>
      <x:c r="O3" s="303" t="str">
        <x:v>ASCR-01 Cluster Review Required?</x:v>
      </x:c>
      <x:c r="P3" s="304" t="str">
        <x:v>ASCR-01 Reassessment Reference</x:v>
      </x:c>
    </x:row>
    <x:row r="4" ht="27.75" customHeight="1">
      <x:c r="A4" s="11"/>
      <x:c r="B4" s="11"/>
      <x:c r="C4" s="11"/>
      <x:c r="D4" s="11"/>
      <x:c r="E4" s="11"/>
      <x:c r="F4" s="11"/>
      <x:c r="G4" s="11"/>
      <x:c r="H4" s="11"/>
      <x:c r="I4" s="11"/>
    </x:row>
    <x:row r="5" ht="27.75" customHeight="1">
      <x:c r="A5" s="13"/>
      <x:c r="B5" s="13"/>
      <x:c r="C5" s="13"/>
      <x:c r="D5" s="13"/>
      <x:c r="E5" s="13"/>
      <x:c r="F5" s="13"/>
      <x:c r="G5" s="13"/>
      <x:c r="H5" s="13"/>
      <x:c r="I5" s="13"/>
    </x:row>
    <x:row r="6" ht="27.75" customHeight="1">
      <x:c r="A6" s="11"/>
      <x:c r="B6" s="11"/>
      <x:c r="C6" s="11"/>
      <x:c r="D6" s="11"/>
      <x:c r="E6" s="11"/>
      <x:c r="F6" s="11"/>
      <x:c r="G6" s="11"/>
      <x:c r="H6" s="11"/>
      <x:c r="I6" s="11"/>
    </x:row>
    <x:row r="7" ht="27.75" customHeight="1">
      <x:c r="A7" s="13"/>
      <x:c r="B7" s="13"/>
      <x:c r="C7" s="13"/>
      <x:c r="D7" s="13"/>
      <x:c r="E7" s="13"/>
      <x:c r="F7" s="13"/>
      <x:c r="G7" s="13"/>
      <x:c r="H7" s="13"/>
      <x:c r="I7" s="13"/>
    </x:row>
    <x:row r="8" ht="27.75" customHeight="1">
      <x:c r="A8" s="11"/>
      <x:c r="B8" s="11"/>
      <x:c r="C8" s="11"/>
      <x:c r="D8" s="11"/>
      <x:c r="E8" s="11"/>
      <x:c r="F8" s="11"/>
      <x:c r="G8" s="11"/>
      <x:c r="H8" s="11"/>
      <x:c r="I8" s="11"/>
    </x:row>
    <x:row r="9" ht="27.75" customHeight="1">
      <x:c r="A9" s="13"/>
      <x:c r="B9" s="13"/>
      <x:c r="C9" s="13"/>
      <x:c r="D9" s="13"/>
      <x:c r="E9" s="13"/>
      <x:c r="F9" s="13"/>
      <x:c r="G9" s="13"/>
      <x:c r="H9" s="13"/>
      <x:c r="I9" s="13"/>
    </x:row>
    <x:row r="10" ht="27.75" customHeight="1">
      <x:c r="A10" s="11"/>
      <x:c r="B10" s="11"/>
      <x:c r="C10" s="11"/>
      <x:c r="D10" s="11"/>
      <x:c r="E10" s="11"/>
      <x:c r="F10" s="11"/>
      <x:c r="G10" s="11"/>
      <x:c r="H10" s="11"/>
      <x:c r="I10" s="11"/>
    </x:row>
    <x:row r="11" ht="27.75" customHeight="1">
      <x:c r="A11" s="13"/>
      <x:c r="B11" s="13"/>
      <x:c r="C11" s="13"/>
      <x:c r="D11" s="13"/>
      <x:c r="E11" s="13"/>
      <x:c r="F11" s="13"/>
      <x:c r="G11" s="13"/>
      <x:c r="H11" s="13"/>
      <x:c r="I11" s="13"/>
    </x:row>
    <x:row r="12" ht="27.75" customHeight="1">
      <x:c r="A12" s="11"/>
      <x:c r="B12" s="11"/>
      <x:c r="C12" s="11"/>
      <x:c r="D12" s="11"/>
      <x:c r="E12" s="11"/>
      <x:c r="F12" s="11"/>
      <x:c r="G12" s="11"/>
      <x:c r="H12" s="11"/>
      <x:c r="I12" s="11"/>
    </x:row>
    <x:row r="13" ht="27.75" customHeight="1">
      <x:c r="A13" s="13"/>
      <x:c r="B13" s="13"/>
      <x:c r="C13" s="13"/>
      <x:c r="D13" s="13"/>
      <x:c r="E13" s="13"/>
      <x:c r="F13" s="13"/>
      <x:c r="G13" s="13"/>
      <x:c r="H13" s="13"/>
      <x:c r="I13" s="13"/>
    </x:row>
    <x:row r="14" ht="27.75" customHeight="1">
      <x:c r="A14" s="11"/>
      <x:c r="B14" s="11"/>
      <x:c r="C14" s="11"/>
      <x:c r="D14" s="11"/>
      <x:c r="E14" s="11"/>
      <x:c r="F14" s="11"/>
      <x:c r="G14" s="11"/>
      <x:c r="H14" s="11"/>
      <x:c r="I14" s="11"/>
    </x:row>
    <x:row r="15" ht="27.75" customHeight="1">
      <x:c r="A15" s="13"/>
      <x:c r="B15" s="13"/>
      <x:c r="C15" s="13"/>
      <x:c r="D15" s="13"/>
      <x:c r="E15" s="13"/>
      <x:c r="F15" s="13"/>
      <x:c r="G15" s="13"/>
      <x:c r="H15" s="13"/>
      <x:c r="I15" s="13"/>
    </x:row>
    <x:row r="16" ht="27.75" customHeight="1">
      <x:c r="A16" s="11"/>
      <x:c r="B16" s="11"/>
      <x:c r="C16" s="11"/>
      <x:c r="D16" s="11"/>
      <x:c r="E16" s="11"/>
      <x:c r="F16" s="11"/>
      <x:c r="G16" s="11"/>
      <x:c r="H16" s="11"/>
      <x:c r="I16" s="11"/>
    </x:row>
    <x:row r="17" ht="27.75" customHeight="1">
      <x:c r="A17" s="13"/>
      <x:c r="B17" s="13"/>
      <x:c r="C17" s="13"/>
      <x:c r="D17" s="13"/>
      <x:c r="E17" s="13"/>
      <x:c r="F17" s="13"/>
      <x:c r="G17" s="13"/>
      <x:c r="H17" s="13"/>
      <x:c r="I17" s="13"/>
    </x:row>
    <x:row r="18" ht="27.75" customHeight="1">
      <x:c r="A18" s="11"/>
      <x:c r="B18" s="11"/>
      <x:c r="C18" s="11"/>
      <x:c r="D18" s="11"/>
      <x:c r="E18" s="11"/>
      <x:c r="F18" s="11"/>
      <x:c r="G18" s="11"/>
      <x:c r="H18" s="11"/>
      <x:c r="I18" s="11"/>
    </x:row>
    <x:row r="19" ht="27.75" customHeight="1">
      <x:c r="A19" s="13"/>
      <x:c r="B19" s="13"/>
      <x:c r="C19" s="13"/>
      <x:c r="D19" s="13"/>
      <x:c r="E19" s="13"/>
      <x:c r="F19" s="13"/>
      <x:c r="G19" s="13"/>
      <x:c r="H19" s="13"/>
      <x:c r="I19" s="13"/>
    </x:row>
    <x:row r="20" ht="27.75" customHeight="1">
      <x:c r="A20" s="11"/>
      <x:c r="B20" s="11"/>
      <x:c r="C20" s="11"/>
      <x:c r="D20" s="11"/>
      <x:c r="E20" s="11"/>
      <x:c r="F20" s="11"/>
      <x:c r="G20" s="11"/>
      <x:c r="H20" s="11"/>
      <x:c r="I20" s="11"/>
    </x:row>
    <x:row r="21" ht="27.75" customHeight="1">
      <x:c r="A21" s="13"/>
      <x:c r="B21" s="13"/>
      <x:c r="C21" s="13"/>
      <x:c r="D21" s="13"/>
      <x:c r="E21" s="13"/>
      <x:c r="F21" s="13"/>
      <x:c r="G21" s="13"/>
      <x:c r="H21" s="13"/>
      <x:c r="I21" s="13"/>
    </x:row>
    <x:row r="22" ht="27.75" customHeight="1">
      <x:c r="A22" s="11"/>
      <x:c r="B22" s="11"/>
      <x:c r="C22" s="11"/>
      <x:c r="D22" s="11"/>
      <x:c r="E22" s="11"/>
      <x:c r="F22" s="11"/>
      <x:c r="G22" s="11"/>
      <x:c r="H22" s="11"/>
      <x:c r="I22" s="11"/>
    </x:row>
    <x:row r="23" ht="27.75" customHeight="1">
      <x:c r="A23" s="13"/>
      <x:c r="B23" s="13"/>
      <x:c r="C23" s="13"/>
      <x:c r="D23" s="13"/>
      <x:c r="E23" s="13"/>
      <x:c r="F23" s="13"/>
      <x:c r="G23" s="13"/>
      <x:c r="H23" s="13"/>
      <x:c r="I23" s="13"/>
    </x:row>
    <x:row r="24" ht="27.75" customHeight="1">
      <x:c r="A24" s="11"/>
      <x:c r="B24" s="11"/>
      <x:c r="C24" s="11"/>
      <x:c r="D24" s="11"/>
      <x:c r="E24" s="11"/>
      <x:c r="F24" s="11"/>
      <x:c r="G24" s="11"/>
      <x:c r="H24" s="11"/>
      <x:c r="I24" s="11"/>
    </x:row>
    <x:row r="25" ht="27.75" customHeight="1">
      <x:c r="A25" s="13"/>
      <x:c r="B25" s="13"/>
      <x:c r="C25" s="13"/>
      <x:c r="D25" s="13"/>
      <x:c r="E25" s="13"/>
      <x:c r="F25" s="13"/>
      <x:c r="G25" s="13"/>
      <x:c r="H25" s="13"/>
      <x:c r="I25" s="13"/>
    </x:row>
    <x:row r="26" ht="27.75" customHeight="1">
      <x:c r="A26" s="11"/>
      <x:c r="B26" s="11"/>
      <x:c r="C26" s="11"/>
      <x:c r="D26" s="11"/>
      <x:c r="E26" s="11"/>
      <x:c r="F26" s="11"/>
      <x:c r="G26" s="11"/>
      <x:c r="H26" s="11"/>
      <x:c r="I26" s="11"/>
    </x:row>
    <x:row r="27" ht="27.75" customHeight="1">
      <x:c r="A27" s="13"/>
      <x:c r="B27" s="13"/>
      <x:c r="C27" s="13"/>
      <x:c r="D27" s="13"/>
      <x:c r="E27" s="13"/>
      <x:c r="F27" s="13"/>
      <x:c r="G27" s="13"/>
      <x:c r="H27" s="13"/>
      <x:c r="I27" s="13"/>
    </x:row>
    <x:row r="28" ht="27.75" customHeight="1">
      <x:c r="A28" s="11"/>
      <x:c r="B28" s="11"/>
      <x:c r="C28" s="11"/>
      <x:c r="D28" s="11"/>
      <x:c r="E28" s="11"/>
      <x:c r="F28" s="11"/>
      <x:c r="G28" s="11"/>
      <x:c r="H28" s="11"/>
      <x:c r="I28" s="11"/>
    </x:row>
    <x:row r="29" ht="27.75" customHeight="1">
      <x:c r="A29" s="13"/>
      <x:c r="B29" s="13"/>
      <x:c r="C29" s="13"/>
      <x:c r="D29" s="13"/>
      <x:c r="E29" s="13"/>
      <x:c r="F29" s="13"/>
      <x:c r="G29" s="13"/>
      <x:c r="H29" s="13"/>
      <x:c r="I29" s="13"/>
    </x:row>
    <x:row r="30" ht="27.75" customHeight="1">
      <x:c r="A30" s="11"/>
      <x:c r="B30" s="11"/>
      <x:c r="C30" s="11"/>
      <x:c r="D30" s="11"/>
      <x:c r="E30" s="11"/>
      <x:c r="F30" s="11"/>
      <x:c r="G30" s="11"/>
      <x:c r="H30" s="11"/>
      <x:c r="I30" s="11"/>
    </x:row>
    <x:row r="31" ht="27.75" customHeight="1">
      <x:c r="A31" s="13"/>
      <x:c r="B31" s="13"/>
      <x:c r="C31" s="13"/>
      <x:c r="D31" s="13"/>
      <x:c r="E31" s="13"/>
      <x:c r="F31" s="13"/>
      <x:c r="G31" s="13"/>
      <x:c r="H31" s="13"/>
      <x:c r="I31" s="13"/>
    </x:row>
    <x:row r="32" ht="27.75" customHeight="1">
      <x:c r="A32" s="11"/>
      <x:c r="B32" s="11"/>
      <x:c r="C32" s="11"/>
      <x:c r="D32" s="11"/>
      <x:c r="E32" s="11"/>
      <x:c r="F32" s="11"/>
      <x:c r="G32" s="11"/>
      <x:c r="H32" s="11"/>
      <x:c r="I32" s="11"/>
    </x:row>
    <x:row r="33" ht="27.75" customHeight="1">
      <x:c r="A33" s="13"/>
      <x:c r="B33" s="13"/>
      <x:c r="C33" s="13"/>
      <x:c r="D33" s="13"/>
      <x:c r="E33" s="13"/>
      <x:c r="F33" s="13"/>
      <x:c r="G33" s="13"/>
      <x:c r="H33" s="13"/>
      <x:c r="I33" s="13"/>
    </x:row>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P1"/>
    <x:mergeCell ref="A2:P2"/>
  </x:mergeCells>
  <x:dataValidations count="6">
    <x:dataValidation type="list" allowBlank="1" sqref="I4:I33">
      <x:formula1>"Critical,High,Medium,Low,N/A"</x:formula1>
    </x:dataValidation>
    <x:dataValidation type="list" allowBlank="1" sqref="F4:F33">
      <x:formula1>"CORRECT,DEGRADED,N/A"</x:formula1>
    </x:dataValidation>
    <x:dataValidation type="list" sqref="H4:H33">
      <x:formula1>"Y,N,N/A"</x:formula1>
    </x:dataValidation>
    <x:dataValidation type="list" sqref="M4:M33">
      <x:formula1>"Y,N,N/A"</x:formula1>
    </x:dataValidation>
    <x:dataValidation type="list" sqref="N4:N33">
      <x:formula1>"Y,N,N/A"</x:formula1>
    </x:dataValidation>
    <x:dataValidation type="list" sqref="O4:O33">
      <x:formula1>"Y,N,N/A"</x:formula1>
    </x:dataValidation>
  </x:dataValidations>
  <x:pageMargins left="0.7" right="0.7" top="0.75" bottom="0.75" header="0.3" footer="0.3"/>
</x:worksheet>
</file>
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 Me" sheetId="1" r:id="rId4"/>
    <sheet state="visible" name="ASCR-12 Definition" sheetId="2" r:id="rId5"/>
    <sheet state="visible" name="Ownership &amp; Timeline" sheetId="3" r:id="rId6"/>
    <sheet state="visible" name="A — Scorecard Identity" sheetId="4" r:id="rId7"/>
    <sheet state="visible" name="B — Executive Summary" sheetId="5" r:id="rId8"/>
    <sheet state="visible" name="C — Behavioral Risk" sheetId="6" r:id="rId9"/>
    <sheet state="visible" name="D — Incidents &amp; SLOs" sheetId="7" r:id="rId10"/>
    <sheet state="visible" name="E — Control Effectiveness" sheetId="8" r:id="rId11"/>
    <sheet state="visible" name="Annex E-1 Scoring Calc" sheetId="9" r:id="rId12"/>
    <sheet state="visible" name="F — Exercise Results" sheetId="10" r:id="rId13"/>
    <sheet state="visible" name="G — Risk Score Trend" sheetId="11" r:id="rId14"/>
    <sheet state="visible" name="H — Regulatory Status" sheetId="12" r:id="rId15"/>
    <sheet state="visible" name="I — Supply Chain" sheetId="13" r:id="rId16"/>
    <sheet state="visible" name="Metric Dictionary" sheetId="14" r:id="rId17"/>
    <sheet state="visible" name="J — Authorization" sheetId="15" r:id="rId18"/>
    <sheet state="visible" name="V1 — Board Pack Charts" sheetId="16" r:id="rId19"/>
  </sheets>
  <definedNames/>
  <calcPr/>
  <extLst>
    <ext uri="GoogleSheetsCustomDataVersion2">
      <go:sheetsCustomData xmlns:go="http://customooxmlschemas.google.com/" r:id="rId20" roundtripDataChecksum="LksubnzlMHkCWGIwDmRGPC1zMuH2V3gwZHxVYAgRydA="/>
    </ext>
  </extLst>
</workbook>
</file>

<file path=xl/sharedStrings.xml><?xml version="1.0" encoding="utf-8"?>
<sst xmlns="http://schemas.openxmlformats.org/spreadsheetml/2006/main" count="2365" uniqueCount="1301">
  <si>
    <t>ASCR-12 definition</t>
  </si>
  <si>
    <t>ASCR-12 OE01 — Companion Workbook</t>
  </si>
  <si>
    <t>Cadence, ownership and preparation timeline</t>
  </si>
  <si>
    <t>Section A — Scorecard identity and reporting period</t>
  </si>
  <si>
    <t>Quarterly Agentic Health Scorecard</t>
  </si>
  <si>
    <t>Field</t>
  </si>
  <si>
    <t>Value</t>
  </si>
  <si>
    <t>Notes</t>
  </si>
  <si>
    <t>File ID</t>
  </si>
  <si>
    <t>ASCR-12-OE01-Companion Workbook</t>
  </si>
  <si>
    <t>ASCR Blueprint Pillar</t>
  </si>
  <si>
    <t>Format</t>
  </si>
  <si>
    <t>Pillar 4 — Governance, Accountability, and Continuous Assurance</t>
  </si>
  <si>
    <t>.xlsx</t>
  </si>
  <si>
    <t>Ownership</t>
  </si>
  <si>
    <t>Version</t>
  </si>
  <si>
    <t>1.0 — June 2026</t>
  </si>
  <si>
    <t>Primary Author Role</t>
  </si>
  <si>
    <t>A.1  Reporting organization</t>
  </si>
  <si>
    <t>Consolidates</t>
  </si>
  <si>
    <t>Quarterly scorecard data entry, computation, metric-definition, authorization-preparation, and board-pack source guidance.</t>
  </si>
  <si>
    <t>ASOC Lead (data compilation); CISO (narrative and authorization)</t>
  </si>
  <si>
    <t>Role</t>
  </si>
  <si>
    <t>Responsibility</t>
  </si>
  <si>
    <t>Scope</t>
  </si>
  <si>
    <t>Review Authority</t>
  </si>
  <si>
    <t>Entry</t>
  </si>
  <si>
    <t>CISO; Executive Sponsor; Legal / Compliance (Section H)</t>
  </si>
  <si>
    <t>Structured operational workbook for ASCR-12 Sections A–J, Annex E-1 scoring, the Metric Dictionary, ASCR-13 assessed-role staffing/competency status, ASCR-05 architecture accuracy, ASCR-04 gateway review, ASCR-06 cascade and verification-health reporting, ASCR-10 change-control health, ASCR-01 assessment trends and lessons-learned governance, ASCR-17 qualification evidence, and Annex V-1 board-pack source preparation.</t>
  </si>
  <si>
    <t>ASOC Lead</t>
  </si>
  <si>
    <t>Data compilation for Sections C, D, E, F, and I; receives ASCR-13 staffing/competency-gap output for E.4; populates quantitative fields; flags data gaps; produces Annex V-1 visualizations</t>
  </si>
  <si>
    <t>Precedence</t>
  </si>
  <si>
    <t>ASCR-12: Quarterly Agentic Health Scorecard governs. If a value differs between this workbook and the main scorecard, the main scorecard governs.</t>
  </si>
  <si>
    <t>Reporting Cadence</t>
  </si>
  <si>
    <t>Quarterly, aligned to financial reporting calendar</t>
  </si>
  <si>
    <t>Legal entity name</t>
  </si>
  <si>
    <t>CISO</t>
  </si>
  <si>
    <t>Relationship to sibling OE files</t>
  </si>
  <si>
    <t>ASCR-12-OE02 — Implementation and Integration Guide provides data-source mapping, GRC substitution rules, regulatory integration guidance, workbook-use instructions, and first-use procedures.</t>
  </si>
  <si>
    <t>Sections B and G narrative; overall review; board submission authorization; owns Section B.3 action determination</t>
  </si>
  <si>
    <t>Upstream Dependencies</t>
  </si>
  <si>
    <t>Worksheets</t>
  </si>
  <si>
    <t>ASCR-01, ASCR-03, ASCR-04, ASCR-05, ASCR-06, ASCR-07, ASCR-08, ASCR-09, ASCR-10, ASCR-11, ASCR-13, ASCR-14, ASCR-15, ASCR-16, ASCR-17</t>
  </si>
  <si>
    <t>Read Me; ASCR-12 Definition; Ownership &amp; Timeline; A — Scorecard Identity; B — Executive Summary; C — Behavioral Risk; D — Incidents &amp; SLOs; E — Control Effectiveness; Annex E-1 Scoring Calc; F — Exercise Results; G — Risk Score Trend; H — Regulatory Status; I — Supply Chain; Metric Dictionary; J — Authorization; V1 — Board Pack Charts</t>
  </si>
  <si>
    <t>Legal / Compliance</t>
  </si>
  <si>
    <t>Section H regulatory status; confirms NIS2 Art. 23 and EU AI Act Art. 73 currency</t>
  </si>
  <si>
    <t>Operating entity / business unit</t>
  </si>
  <si>
    <t>Executive Sponsor</t>
  </si>
  <si>
    <t>Authorizes board submission; receives scorecard ≥5 business days before board presentation</t>
  </si>
  <si>
    <t>Feeds Into</t>
  </si>
  <si>
    <t>Board risk committee; NIS2 Art. 21 compliance evidence; EU AI Act Art. 9 risk management documentation; ASCR-01 reassessment trigger evaluation</t>
  </si>
  <si>
    <t>Prepared by (name and role)</t>
  </si>
  <si>
    <t>Program Manager</t>
  </si>
  <si>
    <t>Coordinates timeline; tracks remediation in Section E; maintains version control</t>
  </si>
  <si>
    <t>Change control</t>
  </si>
  <si>
    <t>Versioned in lockstep with ASCR-12. Review when ASCR-01 methodology or downstream reporting contracts, ASCR-11 thresholds/SLO assignments, the Chapter 7 identity-SLO catalog, ASCR-13 assessed roles, ASCR-05/ASCR-06/ASCR-10/ASCR-04 reporting interfaces, ASCR-17 qualification-evidence interfaces, applicable regulatory obligations, or workbook structure change.</t>
  </si>
  <si>
    <t>Regulatory Anchors</t>
  </si>
  <si>
    <t>EU AI Act Arts. 9, 12, 13, 14, 15, 72–73 | NIS2 Arts. 21(2)(a), 21(2)(d), 21(2)(e), 23(4)(a), 23(4)(b), 23(4)(d) | DORA Arts. 6, 19, 24–26 | RPLD Arts. 9(1), 10(2)(a), 16–17</t>
  </si>
  <si>
    <t>Risk Officer</t>
  </si>
  <si>
    <t>Scope limitation</t>
  </si>
  <si>
    <t>Primary operational owner for ASCR-12 risk-posture interpretation; aligns ASCR-01 risk context and ASCR-11 threshold-governance context; coordinates governance interpretation with CISO and Executive Sponsor</t>
  </si>
  <si>
    <t>Reviewed by (CISO or delegate)</t>
  </si>
  <si>
    <t>ASCR-13 operating-accountability alignment</t>
  </si>
  <si>
    <t>This workbook structures data entry, calculations, evidence references, status preparation, and reporting sources. It does not generate telemetry, determine legal applicability, enforce controls, or replace the authoritative ASCR-12 scorecard, GRC, legal, security, OT, or operational systems.</t>
  </si>
  <si>
    <t>Retention Period</t>
  </si>
  <si>
    <t>Deployment-specific; Legal / Compliance establishes applicable retention, limitation/expiry, litigation-hold, contractual, and evidence-preservation requirements</t>
  </si>
  <si>
    <t>Preparation timeline</t>
  </si>
  <si>
    <t>Classification</t>
  </si>
  <si>
    <t>Board committee receiving this report</t>
  </si>
  <si>
    <t>Confidential — Authorized ASCR Preparers; Board and Executive Distribution</t>
  </si>
  <si>
    <t>Retention</t>
  </si>
  <si>
    <t>Deployment-specific; Legal / Compliance establishes applicable retention, limitation/expiry, litigation-hold, contractual, and evidence-preservation requirements.</t>
  </si>
  <si>
    <t>Milestone</t>
  </si>
  <si>
    <t>Day (from Quarter Close)</t>
  </si>
  <si>
    <t>Owner</t>
  </si>
  <si>
    <t>Upstream ASCRs</t>
  </si>
  <si>
    <t>ASCR-01, -03, -04, -05, -06, -07, -08, -09, -10, -11, -13, -14, -15, -16, -17</t>
  </si>
  <si>
    <t>ASOC data compilation complete</t>
  </si>
  <si>
    <t>Day 7</t>
  </si>
  <si>
    <t>Regulatory anchors</t>
  </si>
  <si>
    <t>Companion Files</t>
  </si>
  <si>
    <t>ASCR-12-OE01 — Companion Workbook (this file) | ASCR-12-OE02 — Implementation and Integration Guide</t>
  </si>
  <si>
    <t>Legal / Compliance review (Section H) complete</t>
  </si>
  <si>
    <t>A.2  Reporting period</t>
  </si>
  <si>
    <t>Day 10</t>
  </si>
  <si>
    <t>CISO narrative drafts complete</t>
  </si>
  <si>
    <t>Before you operationalize this instrument</t>
  </si>
  <si>
    <t>Day 12</t>
  </si>
  <si>
    <t>Validate the ASCR-01 baseline and applicable-cluster set; effective governed SLO thresholds and their source references; Chapter 7 identity-SLO mapping; GRC or telemetry substitutes; OT safety-class bounds; ASCR-05 architecture inventory/topology; ASCR-06 cascade timing and required monitoring metrics; ASCR-04 quarterly gateway review evidence; ASCR-10 change-control metrics; ASCR-13 assessed-role source; ASCR-17 qualification evidence; regulatory applicability; evidence ownership; and retention requirements.</t>
  </si>
  <si>
    <t>What you must define before use</t>
  </si>
  <si>
    <t>Legal / Compliance Section J.1 signature confirmed</t>
  </si>
  <si>
    <t>Current ASCR-01 baseline/methodology version; operational and identity-SLO threshold references; SOFT_ALERT/HARD_BLOCK and behavioral calibration; OT safe-state bounds; GRC/telemetry substitutions; regulatory obligations/dates; ASCR-05 architecture inputs; ASCR-06 cascade and monitoring sources; ASCR-04 gateway review evidence; ASCR-10 change-control metrics including the approved EMERG-T3-TARGET; ASCR-13 staffing source; ASCR-15 lessons-learned/profile-update evidence where applicable; ASCR-17 qualification evidence source; lessons-learned improvement window; retention/legal-hold requirements; and board-pack production method.</t>
  </si>
  <si>
    <t>Quarter</t>
  </si>
  <si>
    <t>Internal review cycle complete</t>
  </si>
  <si>
    <t>Day 15</t>
  </si>
  <si>
    <t>Executive Sponsor authorization</t>
  </si>
  <si>
    <t>Day 17</t>
  </si>
  <si>
    <t>Calendar year</t>
  </si>
  <si>
    <t>Board pack submission</t>
  </si>
  <si>
    <t>Day 20</t>
  </si>
  <si>
    <t>CISO / Program Manager</t>
  </si>
  <si>
    <t>Report date</t>
  </si>
  <si>
    <t>⚠  Missed Quarter Protocol: if scorecard cannot be completed within 30 days of quarter close, CISO must issue written notification to Executive Sponsor and board committee chair including: cause of delay, specific data gaps, and remediation timeline with target dates. A completed scorecard for the missed quarter must be submitted alongside the following quarter's report.</t>
  </si>
  <si>
    <t>Prior period report date</t>
  </si>
  <si>
    <t>For trend comparison</t>
  </si>
  <si>
    <t>A.3  Deployment scope</t>
  </si>
  <si>
    <t>Count / Entry</t>
  </si>
  <si>
    <t>Agentic systems in scope</t>
  </si>
  <si>
    <t>Enter count</t>
  </si>
  <si>
    <t>Agentic systems with physical actuation authority</t>
  </si>
  <si>
    <t>Agentic systems classified high-risk under EU AI Act Annex III</t>
  </si>
  <si>
    <t>Material changes to deployment scope since prior period</t>
  </si>
  <si>
    <t>If yes, describe</t>
  </si>
  <si>
    <t>Planning cycles executed this quarter</t>
  </si>
  <si>
    <t>Exposure denominator for planning-cycle event rates</t>
  </si>
  <si>
    <t>Governed physical actuation commands executed this quarter</t>
  </si>
  <si>
    <t>Exposure denominator for physical-action / safe-state event rates</t>
  </si>
  <si>
    <t>Agent-system days in scope this quarter</t>
  </si>
  <si>
    <t>Exposure denominator for incident-rate normalization</t>
  </si>
  <si>
    <t>Autonomous operating hours this quarter</t>
  </si>
  <si>
    <t>Exposure denominator for Autonomy Drift Rate and Type-X rate</t>
  </si>
  <si>
    <t>Section B — Executive risk summary</t>
  </si>
  <si>
    <t>Designed for standalone circulation to board members. Completable in under 3 minutes. Supporting detail in Sections C–I.</t>
  </si>
  <si>
    <t>B.1  ASCR-01 Assessment and current risk signals</t>
  </si>
  <si>
    <t>Indicator</t>
  </si>
  <si>
    <t>Current / Latest</t>
  </si>
  <si>
    <t>Prior / Reference</t>
  </si>
  <si>
    <t>Trend</t>
  </si>
  <si>
    <t>Total ASCR-01 Score / Prioritization Tier</t>
  </si>
  <si>
    <t>0–5; higher is stronger. Record Total tier.</t>
  </si>
  <si>
    <t>Lowest applicable ASCR-01 Cluster Score</t>
  </si>
  <si>
    <t>Record cluster name</t>
  </si>
  <si>
    <t>Applicable ASCR-01 Clusters</t>
  </si>
  <si>
    <t>n / 6</t>
  </si>
  <si>
    <t>Physical Consequence Actions this quarter</t>
  </si>
  <si>
    <t>Count</t>
  </si>
  <si>
    <t>Open critical control gaps (P1)</t>
  </si>
  <si>
    <t>Convergence-domain incidents this quarter</t>
  </si>
  <si>
    <t>Regulatory compliance posture</t>
  </si>
  <si>
    <t>B.2  CISO Narrative summary  (5 sentences required — one per topic, in order)</t>
  </si>
  <si>
    <t>#</t>
  </si>
  <si>
    <t>Topic</t>
  </si>
  <si>
    <t>Narrative Entry</t>
  </si>
  <si>
    <t>1</t>
  </si>
  <si>
    <t>Most significant risk development this quarter</t>
  </si>
  <si>
    <t>2</t>
  </si>
  <si>
    <t>Whether overall posture improved or degraded and primary cause</t>
  </si>
  <si>
    <t>3</t>
  </si>
  <si>
    <t>Most significant regulatory obligation bearing on this quarter</t>
  </si>
  <si>
    <t>4</t>
  </si>
  <si>
    <t>Primary action required from executive leadership or the board</t>
  </si>
  <si>
    <t>5</t>
  </si>
  <si>
    <t>Any resource or authority gap limiting program effectiveness. Where none exists, sentence five must state that explicitly.</t>
  </si>
  <si>
    <t>B.3  Board action required</t>
  </si>
  <si>
    <t>Action required</t>
  </si>
  <si>
    <t>Decision deadline</t>
  </si>
  <si>
    <t>Section C — Behavioral risk indicators</t>
  </si>
  <si>
    <t>Source: ASCR-07 planning cycle records and ASCR-11 SLO performance data. Computation methods: Annex C-1 of main ASCR-12 document.</t>
  </si>
  <si>
    <t>C.1  Divergence score distribution</t>
  </si>
  <si>
    <t>Metric</t>
  </si>
  <si>
    <t>This Quarter</t>
  </si>
  <si>
    <t>Prior Quarter</t>
  </si>
  <si>
    <t>Threshold</t>
  </si>
  <si>
    <t>Status</t>
  </si>
  <si>
    <t>Exposure / Denominator</t>
  </si>
  <si>
    <t>Normalized Rate</t>
  </si>
  <si>
    <t>Fleet-wide divergence_score P50</t>
  </si>
  <si>
    <t>≤ 0.15</t>
  </si>
  <si>
    <t>Fleet-wide divergence_score P95</t>
  </si>
  <si>
    <t>≤ 0.35</t>
  </si>
  <si>
    <t>Agents with sustained gradient elevation (≥3 consecutive cycles above SOFT_ALERT)</t>
  </si>
  <si>
    <t>0</t>
  </si>
  <si>
    <t>HARD_BLOCK events triggered this quarter</t>
  </si>
  <si>
    <t>Informational — trend only</t>
  </si>
  <si>
    <t>Informational</t>
  </si>
  <si>
    <t>Planning cycles</t>
  </si>
  <si>
    <t>HARD_BLOCK events attributable to adversarial manipulation (ASCR-08 Type-A)</t>
  </si>
  <si>
    <t>Safe-state activations this quarter</t>
  </si>
  <si>
    <t>Governed actuation commands</t>
  </si>
  <si>
    <t>Safe-state activations attributable to adversarial input (ASCR-08 Type-A)</t>
  </si>
  <si>
    <t>Section D — Incident classification and response performance</t>
  </si>
  <si>
    <t>KQP events triggered this quarter (K-1 through K-4 combined)</t>
  </si>
  <si>
    <t>Source: ASCR-08 classification records. All metrics reference the 27-point Intent × Locus × Authority matrix.</t>
  </si>
  <si>
    <t>→ Circuit-breaker enforcement latency (SLO-H2) and Physical actuator safe-state latency (SLO-R1a) are recorded in C.3 Physical Boundary Indicators — Control Plane and Physical Actuation tables respectively. KQP event classes (K-1 through K-4) are defined in ASCR-04 Section 3.6; ASCR-11 Section 11.3 sets the associated contractual KQP hardware obligations. Semantic-drift SOFT_ALERT and HARD_BLOCK thresholds are recorded in ASCR-11 Schedule A.</t>
  </si>
  <si>
    <t>D.1  Incident volume and classification</t>
  </si>
  <si>
    <t>C.2  Goal integrity indicators</t>
  </si>
  <si>
    <t>goal_hash deviations from authorized baseline without corresponding ASCR-10 authorization</t>
  </si>
  <si>
    <t>QoQ Change</t>
  </si>
  <si>
    <t>Status/Notes</t>
  </si>
  <si>
    <t>Rate per 1,000 Agent-System Days</t>
  </si>
  <si>
    <t>Planning cycles where goal_hash could not be verified (chain integrity gap)</t>
  </si>
  <si>
    <t>Type-A — Adversarial intent / direct manipulation</t>
  </si>
  <si>
    <t>ASCR-07 chain-verification availability (SLO-H1)</t>
  </si>
  <si>
    <t>≥ 99.9%</t>
  </si>
  <si>
    <t>SLO-H1 basis: successful required chain-verification checks / total required chain-verification checks. Track every CHAIN_DISCONTINUITY separately. Chain=INVALID does not by itself set Integrity=BROKEN; record any independent cryptographic integrity failure separately. Status entry: Select PASS, BREACH, or N/A in the C.2 Status cell after validating the quarter's chain-verification evidence against the effective governed threshold. N/A requires a documented applicability rationale. The C.2 SLO-H1 status is authoritative; D.2 and Annex E-1 consume it and must not receive a duplicate manually entered H1 status.</t>
  </si>
  <si>
    <t>Agent-system days</t>
  </si>
  <si>
    <t>C.3  Physical boundary indicators  ★ AUTHORITATIVE for SLO-H2 and SLO-R1a</t>
  </si>
  <si>
    <t>C.3 Tracks safety enforcement across two trust domains independently:
• control plane (AI/MCP/WMS): logical safety directives generated and enforced
• physical actuation plane (OT/ICS): safety directives materially executed
SLO-H2 and SLO-R1a are independently measured observability points — not a single end-to-end transaction.</t>
  </si>
  <si>
    <t>Control plane enforcement metrics  (Zone: AI / MCP / WMS)</t>
  </si>
  <si>
    <t>Physical Consequence Actions executed this quarter</t>
  </si>
  <si>
    <t>Target: 0</t>
  </si>
  <si>
    <t>Type-S — Stochastic error / semantic drift</t>
  </si>
  <si>
    <t>Physical Consequence Actions following HARD_BLOCK override</t>
  </si>
  <si>
    <t>Circuit-breaker enforcement latency (SLO-H2) — HARD_BLOCK event timestamp to control-plane enforcement confirmation</t>
  </si>
  <si>
    <t>≤ 50 ms (ASCR-11-governed engineering threshold)</t>
  </si>
  <si>
    <t>Safe-state commands issued (control plane only)</t>
  </si>
  <si>
    <t>Type-X — Systemic failure / state-space collapse</t>
  </si>
  <si>
    <t>KQP events triggered — control plane (K-1 to K-4)</t>
  </si>
  <si>
    <t>Section E — Control effectiveness indicators</t>
  </si>
  <si>
    <t>Indeterminate</t>
  </si>
  <si>
    <t>Physical actuation metrics  (Zone: OT / ICS / Warehouse Systems)</t>
  </si>
  <si>
    <t>Pillar scores derived from SLO performance (Section D), ASCR-09 exercise results (Section F), and the ASCR-01 assessment score trend (Section G). Scoring method: Annex E-1 tab.</t>
  </si>
  <si>
    <t>E.1  Pillar effectiveness summary</t>
  </si>
  <si>
    <t>Pillar</t>
  </si>
  <si>
    <t>This Quarter Score (1–5)</t>
  </si>
  <si>
    <t>Primary Open Gap</t>
  </si>
  <si>
    <t>Total convergence-domain incidents</t>
  </si>
  <si>
    <t>Safe-state activations physically executed</t>
  </si>
  <si>
    <t>Pillar 1 — Risk Intelligence and Governance</t>
  </si>
  <si>
    <t>↑ / → / ↓</t>
  </si>
  <si>
    <t>Safe-state activations due to adversarial input (ASCR-08 Type-A)</t>
  </si>
  <si>
    <t>ASCR-01 input: current Total ASCR-01 Score and ASCR Prioritization Tier from Section G</t>
  </si>
  <si>
    <t>Pillar 2 — Engineering and Enforcement Controls</t>
  </si>
  <si>
    <t>Physical actuator safe-state latency P99.9 (SLO-R1a) — HARD_BLOCK timestamp to confirmed physical safe-state at actuator layer. Distinct from SLO-R1 (full chain to OT Eng Lead, ≤ 5 min)</t>
  </si>
  <si>
    <t>Organization-defined per OT safety class</t>
  </si>
  <si>
    <t>SLOs: SLO-H1, SLO-H2</t>
  </si>
  <si>
    <t>Cross-zone derived indicators  (ASCR-12 analytical layer)</t>
  </si>
  <si>
    <t>Pillar 3 — Detection, Response, and Assurance</t>
  </si>
  <si>
    <t>Derived Indicator</t>
  </si>
  <si>
    <t>Definition</t>
  </si>
  <si>
    <t>Source / Population</t>
  </si>
  <si>
    <t>Measurement Method</t>
  </si>
  <si>
    <t>Incidents resulting in Physical Consequence Action</t>
  </si>
  <si>
    <t>SLOs: SLO-D1 through SLO-D4, SLO-R1 through SLO-R4, SLO-F1, SLO-F2, SLO-H3</t>
  </si>
  <si>
    <t>Control-to-physical latency delta</t>
  </si>
  <si>
    <t>Elapsed time from control-plane enforcement confirmation to confirmed physical safe-state, computed per matched HARD_BLOCK event</t>
  </si>
  <si>
    <t>Organization-defined numeric bound per OT safety class</t>
  </si>
  <si>
    <t>Matched ASCR-04/ASCR-07 HARD_BLOCK and physical-state records</t>
  </si>
  <si>
    <t>Compute per-event delta; report P99.9 for the quarter</t>
  </si>
  <si>
    <t>SLOs: SLO-I1 through SLO-I6</t>
  </si>
  <si>
    <t>HARD_BLOCK failed-containment events</t>
  </si>
  <si>
    <t>Count of HARD_BLOCK events for which prohibited physical actuation occurred after the governed block/hold</t>
  </si>
  <si>
    <t>ASCR-07 decision-lineage evidence + ASCR-08 incident records</t>
  </si>
  <si>
    <t>Count matched events; every non-zero event requires investigation</t>
  </si>
  <si>
    <t>Cross-zone boundary policy violations detected</t>
  </si>
  <si>
    <t>Count of policy violations detected at governed zone/conduit boundary enforcement points</t>
  </si>
  <si>
    <t>0 or stricter organization-defined limit</t>
  </si>
  <si>
    <t>Boundary firewall / data-diode / gateway enforcement telemetry</t>
  </si>
  <si>
    <t>Indicative Interpretation of Computed Pillar Score (non-normative)</t>
  </si>
  <si>
    <t>Count detected violations during reporting quarter</t>
  </si>
  <si>
    <t>Incidents requiring NIS2 notification</t>
  </si>
  <si>
    <t>Open zone/conduit security-assurance gaps</t>
  </si>
  <si>
    <t>Count of in-scope ASCR-05 zone or conduit assessments with an unresolved gap against approved target security requirements at quarter end</t>
  </si>
  <si>
    <t>Score</t>
  </si>
  <si>
    <t>IEC 62443 zone/conduit assessment evidence</t>
  </si>
  <si>
    <t>Interpretation</t>
  </si>
  <si>
    <t>Quarter-end assessment count; not a runtime event counter</t>
  </si>
  <si>
    <t>Computed Pillar Score 5; all three scoring components are at their strongest level.</t>
  </si>
  <si>
    <t>Computed Pillar Score 4; strong overall effectiveness with component detail reviewed for residual weakness.</t>
  </si>
  <si>
    <t>Computed Pillar Score 3; material weakness is present in one or more scoring components.</t>
  </si>
  <si>
    <t>Computed Pillar Score 2; significant weakness requires remediation planning and management attention.</t>
  </si>
  <si>
    <t>Computed Pillar Score 1; at least one scoring component is at the minimum level and the minimum-component override applies.</t>
  </si>
  <si>
    <t>E.2  Open control gaps</t>
  </si>
  <si>
    <t>⚠  Pre-submission cross-check: D.1 NIS2-notifiable count MUST match Section H.2 notification status.</t>
  </si>
  <si>
    <t>Gap ID format: GAP-[YYYYQQ]-[NN]  (e.g., GAP-202601-01). For gaps spanning multiple pillars: one row per pillar, same Gap ID, cross-reference in Description.</t>
  </si>
  <si>
    <t>Gap ID</t>
  </si>
  <si>
    <t>Description</t>
  </si>
  <si>
    <t>Priority</t>
  </si>
  <si>
    <t>Artifact</t>
  </si>
  <si>
    <t>Target Close</t>
  </si>
  <si>
    <t>GAP-[YYYYQQ]-[NN]</t>
  </si>
  <si>
    <t>D.2  ASOC operational SLO performance</t>
  </si>
  <si>
    <t>SLO</t>
  </si>
  <si>
    <t>This Quarter Measure</t>
  </si>
  <si>
    <t>Threshold / Basis</t>
  </si>
  <si>
    <t>Authoritative Source</t>
  </si>
  <si>
    <t>E.3  Control gap aging</t>
  </si>
  <si>
    <t>SLO-D1</t>
  </si>
  <si>
    <t>Divergence Score Alert Latency</t>
  </si>
  <si>
    <t>≤ 15 s Chapter 8 reference; record effective governed threshold/reference used for the quarter</t>
  </si>
  <si>
    <t>P1 gaps open 31–90 days</t>
  </si>
  <si>
    <t>ASCR-07 / ASOC alert telemetry</t>
  </si>
  <si>
    <t>P1 gaps open more than 90 days (requires written risk acceptance under ASCR-03 Section 4)</t>
  </si>
  <si>
    <t>Existing receiver</t>
  </si>
  <si>
    <t>⚠  Pre-submission cross-check: if P1 gaps open &gt;90 days count is non-zero, the Risk Acceptance Reference below MUST be populated. Non-zero without reference = compliance failure.</t>
  </si>
  <si>
    <t>Reference ID</t>
  </si>
  <si>
    <t>Approval Date</t>
  </si>
  <si>
    <t>Approved By</t>
  </si>
  <si>
    <t>SLO-D2</t>
  </si>
  <si>
    <t>Gradient Alert Detection Sensitivity</t>
  </si>
  <si>
    <t>Chapter 8 reference: detect calibrated gradient campaign at a gradient magnitude ≥40% below the rate that would reach SOFT_ALERT within 50 cycles; record effective governed threshold/reference</t>
  </si>
  <si>
    <t>ASCR-09 simulation + ASCR-10 calibration</t>
  </si>
  <si>
    <t>New receiver</t>
  </si>
  <si>
    <t>E.4  ASCR-13 role competency / staffing status</t>
  </si>
  <si>
    <t>SLO-D3</t>
  </si>
  <si>
    <t>Source: ASCR-13 current capability-gap assessment across all current assessed roles. Carry Affected Artifacts and Blocked Artifacts for each reported role. This is a governance indicator and is not an Annex E-1 scoring input unless a future controlled ASCR-12 revision explicitly adds a scoring consequence.</t>
  </si>
  <si>
    <t>Context Integrity Alert False Positive Rate</t>
  </si>
  <si>
    <t>Chapter 8 reference: ≤20%; &gt;35% monthly triggers recalibration; record effective governed threshold/reference</t>
  </si>
  <si>
    <t>ASOC investigation dispositions</t>
  </si>
  <si>
    <t>Unresolved cases excluded from confirmed false-positive numerator</t>
  </si>
  <si>
    <t>Current</t>
  </si>
  <si>
    <t>SLO-D4</t>
  </si>
  <si>
    <t>Multi-Agent Coordination Anomaly Detection Coverage</t>
  </si>
  <si>
    <t>Chapter 8 reference: ≥85%; zero detections for a category across 3 consecutive quarterly validations triggers development action; record effective governed threshold/reference</t>
  </si>
  <si>
    <t>Staffed with Gap</t>
  </si>
  <si>
    <t>Count of affected ASCR-13 roles</t>
  </si>
  <si>
    <t>ASCR-09 scenario validation</t>
  </si>
  <si>
    <t>Partially Staffed</t>
  </si>
  <si>
    <t>SLO-R1</t>
  </si>
  <si>
    <t>Physical safe-state confirmation: HARD_BLOCK trigger to OT Eng Lead confirmation</t>
  </si>
  <si>
    <t>≤ 5 min Chapter 8 reference; record effective governed threshold/reference</t>
  </si>
  <si>
    <t>ASCR-08 / ASCR-07</t>
  </si>
  <si>
    <t>SLO-R2</t>
  </si>
  <si>
    <t>Evidence preservation checklist completion</t>
  </si>
  <si>
    <t>≤ 30 min Chapter 8 reference; record effective governed threshold/reference</t>
  </si>
  <si>
    <t>Unstaffed</t>
  </si>
  <si>
    <t>SLO-R3</t>
  </si>
  <si>
    <t>Preliminary failure classification</t>
  </si>
  <si>
    <t>Overdue competency-development plans</t>
  </si>
  <si>
    <t>Open plans whose target completion date has passed</t>
  </si>
  <si>
    <t>Assessment date</t>
  </si>
  <si>
    <t>YYYY-MM-DD</t>
  </si>
  <si>
    <t>≤ 60 min Chapter 8 reference; record effective governed threshold/reference</t>
  </si>
  <si>
    <t>ASCR-13 assessment reference</t>
  </si>
  <si>
    <t>Version / assessment identifier</t>
  </si>
  <si>
    <t>SLO-R4</t>
  </si>
  <si>
    <t>NIS2 early warning timeliness for significant incidents within scope</t>
  </si>
  <si>
    <t>ASCR-13 Status</t>
  </si>
  <si>
    <t>Competency Gap / Development-Plan Status</t>
  </si>
  <si>
    <t>Target Date</t>
  </si>
  <si>
    <t>100% within 24 hours (NIS2 Art. 23(4)(a))</t>
  </si>
  <si>
    <t>Affected Artifacts</t>
  </si>
  <si>
    <t>Blocked Artifacts</t>
  </si>
  <si>
    <t>ASCR-13 Reference</t>
  </si>
  <si>
    <t>ASCR-08 / notification evidence</t>
  </si>
  <si>
    <t>ASOC Analyst</t>
  </si>
  <si>
    <t>SLO-F1</t>
  </si>
  <si>
    <t>Full forensic reconstruction</t>
  </si>
  <si>
    <t>≤ 48 hr Chapter 8 reference; record effective governed threshold/reference</t>
  </si>
  <si>
    <t>ASCR-07 / ASCR-08</t>
  </si>
  <si>
    <t>OT Engineering Lead</t>
  </si>
  <si>
    <t>SLO-F2</t>
  </si>
  <si>
    <t>AI/ML Engineering Lead</t>
  </si>
  <si>
    <t>Indeterminate classification rate</t>
  </si>
  <si>
    <t>Security/IR Lead</t>
  </si>
  <si>
    <t>Regulatory/Compliance Officer</t>
  </si>
  <si>
    <t>≤ 10% Chapter 8 reference; record effective governed threshold/reference</t>
  </si>
  <si>
    <t>Derived from D.1</t>
  </si>
  <si>
    <t>Legal Counsel</t>
  </si>
  <si>
    <t>Functional Safety Engineer</t>
  </si>
  <si>
    <t>SLO-H1</t>
  </si>
  <si>
    <t>ASCR-07 chain-verification availability</t>
  </si>
  <si>
    <t>Cryptographic Officer</t>
  </si>
  <si>
    <t>≥ 99.9% Chapter 8 reference; record effective governed threshold/reference</t>
  </si>
  <si>
    <t>E.5  ASCR-05 architecture accuracy status</t>
  </si>
  <si>
    <t>C.2 authoritative value</t>
  </si>
  <si>
    <t>Linked, not duplicate manual entry</t>
  </si>
  <si>
    <t>ASCR-05 Section 6.2 quarterly check. Final authorization requires zero unresolved architecture discrepancies. This finalization gate does not independently alter the Annex E-1 numeric pillar score.</t>
  </si>
  <si>
    <t>SLO-H2</t>
  </si>
  <si>
    <t>Circuit-breaker hold/enforcement latency</t>
  </si>
  <si>
    <t>Architecture Accuracy Field</t>
  </si>
  <si>
    <t>Current / Reference</t>
  </si>
  <si>
    <t>Quarterly ASCR-05 accuracy check completed</t>
  </si>
  <si>
    <t>≤ 50 ms Chapter 8 / ASCR-04 reference; record effective governed threshold/reference</t>
  </si>
  <si>
    <t>C.3 authoritative value</t>
  </si>
  <si>
    <t>Documented conduit topology reconciled with deployed topology</t>
  </si>
  <si>
    <t>SLO-H3</t>
  </si>
  <si>
    <t>ASCR-09 TVA validation currency</t>
  </si>
  <si>
    <t>System inventory reconciled by system name, vendor, and version</t>
  </si>
  <si>
    <t>≤ 90 days Chapter 8 / ASCR-09 reference; record effective governed threshold/reference</t>
  </si>
  <si>
    <t>Open architecture discrepancies</t>
  </si>
  <si>
    <t>F.3 authoritative value</t>
  </si>
  <si>
    <t>Performed by</t>
  </si>
  <si>
    <t>SLO-H4</t>
  </si>
  <si>
    <t>ASCR-07 Retention Class Assignment Accuracy</t>
  </si>
  <si>
    <t>100%. All Physical Consequence Action records must be RPLD_RETENTION at ingestion. Legal review is separate; denominator unchanged. Lower class = BREACH. Ambiguous/unvalidated = RPLD_RETENTION.</t>
  </si>
  <si>
    <t>Reviewed by</t>
  </si>
  <si>
    <t>ASCR-07 retention-class audit</t>
  </si>
  <si>
    <t>ASCR-05 evidence reference</t>
  </si>
  <si>
    <t>D.2a  Cross-system cascade propagation latency</t>
  </si>
  <si>
    <t>E.6  ASCR-04 gateway configuration review status</t>
  </si>
  <si>
    <t>Operational assurance indicators governed by ASCR-06 and the applicable ASCR-11 timing configuration. They are not included in Annex E-1 scoring unless explicitly mapped by the approved methodology.</t>
  </si>
  <si>
    <t>Quarterly ASCR-04 review. A No, incomplete review, or non-zero gateway-configuration discrepancy count must be recorded as an E.2 control gap and addressed in the CISO narrative when material. No automatic Annex E-1 score penalty is inferred.</t>
  </si>
  <si>
    <t>Propagation class</t>
  </si>
  <si>
    <t>Events</t>
  </si>
  <si>
    <t>Maximum observed latency (ms)</t>
  </si>
  <si>
    <t>Governed limit (ms)</t>
  </si>
  <si>
    <t>Events exceeding limit</t>
  </si>
  <si>
    <t>Evidence / Notes</t>
  </si>
  <si>
    <t>Zone 2 conditional cascade</t>
  </si>
  <si>
    <t>Zone 3 Class B</t>
  </si>
  <si>
    <t>Zone 3 Class A</t>
  </si>
  <si>
    <t>Gateway Review Field</t>
  </si>
  <si>
    <t>Source</t>
  </si>
  <si>
    <t>ASCR-07 cascade record / ASCR-06 CSP evidence reference</t>
  </si>
  <si>
    <t>Effective timing reference</t>
  </si>
  <si>
    <t>ASCR-11-governed timing record or approved deployment timing reference</t>
  </si>
  <si>
    <t>Quarterly ASCR-04 configuration review completed</t>
  </si>
  <si>
    <t>D.5  CISO agentic risk indicators</t>
  </si>
  <si>
    <t>SPIRE trust-domain boundaries remain within approved ASCR-03 scope</t>
  </si>
  <si>
    <t>Executive reporting measures derived from incident, operational, and enforcement evidence. They do not replace underlying SLOs or statutory notification criteria. Temporal Integrity Score is reported as paired components, not an invented composite scalar.</t>
  </si>
  <si>
    <t>Numerator / Measure</t>
  </si>
  <si>
    <t>Denominator</t>
  </si>
  <si>
    <t>Current Quarter</t>
  </si>
  <si>
    <t>QoQ Trend</t>
  </si>
  <si>
    <t>Evidence Source</t>
  </si>
  <si>
    <t>Gateway manifest reconciled to current ASCR-10-approved tool inventory</t>
  </si>
  <si>
    <t>Adversarial Incident Rate</t>
  </si>
  <si>
    <t>Type-A incidents</t>
  </si>
  <si>
    <t>ASCR-07 planning cycles</t>
  </si>
  <si>
    <t>Gateway registrations reconciled to governed AI-BOM Dimension 4 capability inventory</t>
  </si>
  <si>
    <t>ASCR-04 REQUEST-INTEGRITY-PROFILE current for all permitted physical-actuation transports; request-binding, freshness, idempotency, and anti-replay validation current, including TVA-MCP-01 where required</t>
  </si>
  <si>
    <t>[Yes / No]</t>
  </si>
  <si>
    <t>Annex E-1 — Pillar effectiveness scoring calculator</t>
  </si>
  <si>
    <t>Approved attestation measurement/reference profiles current for authorized workloads, including TPM/PCR baselines where TPM measured boot/PCRs are part of the approved profile</t>
  </si>
  <si>
    <t>ASCR-08 + ASCR-07</t>
  </si>
  <si>
    <t>ASCR-04 Performance Requirements met, including applicable P95/P99 rows</t>
  </si>
  <si>
    <t>Autonomy Drift Rate</t>
  </si>
  <si>
    <t>Type-S incidents</t>
  </si>
  <si>
    <t>Autonomous operating hours</t>
  </si>
  <si>
    <t>Formula: Pillar Score = (C1 × 0.40) + (C2 × 0.40) + (C3 × 0.20) | Round DOWN to nearest integer | Minimum-component override: if C1, C2, or C3 = 1, Pillar Score is forced to 1.</t>
  </si>
  <si>
    <t>Open gateway-configuration discrepancies</t>
  </si>
  <si>
    <t>Review date</t>
  </si>
  <si>
    <t>ASCR-08 + operations telemetry</t>
  </si>
  <si>
    <t>C1 Score
(ASCR-01 / SLO Perf, 40%)</t>
  </si>
  <si>
    <t>Temporal Integrity Score - mean hold-latency component</t>
  </si>
  <si>
    <t>Evidence / review reference</t>
  </si>
  <si>
    <t>Mean ASCR-04 hold-enforcement latency</t>
  </si>
  <si>
    <t>C2 Score
(Gap Profile, 40%)</t>
  </si>
  <si>
    <t>N/A</t>
  </si>
  <si>
    <t>C3 Score
(Exercise, 20%)</t>
  </si>
  <si>
    <t>Raw Weighted Avg</t>
  </si>
  <si>
    <t>PILLAR SCORE
(floor, override applied)</t>
  </si>
  <si>
    <t>Applicable SLOs</t>
  </si>
  <si>
    <t>SLOs Met</t>
  </si>
  <si>
    <t>ASCR-04 enforcement telemetry</t>
  </si>
  <si>
    <t>Required remediation / target date</t>
  </si>
  <si>
    <t>Temporal Integrity Score - P95 hold-latency component</t>
  </si>
  <si>
    <t>P95 ASCR-04 hold-enforcement latency</t>
  </si>
  <si>
    <t>Temporal Integrity Score - Type-X incident-rate component</t>
  </si>
  <si>
    <t>Type-X incidents</t>
  </si>
  <si>
    <t>E.7  ASCR-01 lessons-learned integration status</t>
  </si>
  <si>
    <t>ASCR-01 Q25 governance metric. Integration rate = required downstream integration actions completed within the organization-defined improvement window / required integration actions due in the reporting period × 100. If no actions were due, report N/A. No automatic Annex E-1 score consequence is inferred.</t>
  </si>
  <si>
    <t>Basis / Evidence</t>
  </si>
  <si>
    <t>Required lessons-learned integration actions due</t>
  </si>
  <si>
    <t>ASCR-08 post-incident / near-miss action register</t>
  </si>
  <si>
    <t>Integration actions completed within governed improvement window</t>
  </si>
  <si>
    <t>Affected ASCR artifact update references</t>
  </si>
  <si>
    <t>Lessons-learned integration rate</t>
  </si>
  <si>
    <t>Completed / due × 100; N/A when none due</t>
  </si>
  <si>
    <t>Overdue integration actions</t>
  </si>
  <si>
    <t>Count at quarter end</t>
  </si>
  <si>
    <t>Primary evidence reference</t>
  </si>
  <si>
    <t>ASCR-08 / ASCR-09 / ASCR-15 / affected artifact references</t>
  </si>
  <si>
    <t>E.8  ASCR-10 change control health indicators</t>
  </si>
  <si>
    <t>ASCR-10 Section 7 quarterly metrics. Report current/prior values from the ASCR-10 authorization and deployment records. Routine and emergency Tier 3 authorization timing are separate populations; emergency timing is evaluated against the approved EMERG-T3-TARGET. These indicators do not independently change Annex E-1 scoring in Version 1.0 and do not waive ASCR-10 classification, validation, phase-gate, risk-acceptance, or retrospective-review requirements.</t>
  </si>
  <si>
    <t>Target / Basis</t>
  </si>
  <si>
    <t>AI-BOM currency rate</t>
  </si>
  <si>
    <t>100%</t>
  </si>
  <si>
    <t>Percent of production planning cycles matching the last ASCR-10-authorized AI-BOM version</t>
  </si>
  <si>
    <t>Authorization cycle time — Tier 1 median</t>
  </si>
  <si>
    <t>Same business day</t>
  </si>
  <si>
    <t>Stage 1 identification to Stage 3 authorization completion</t>
  </si>
  <si>
    <t>Authorization cycle time — Tier 2 median</t>
  </si>
  <si>
    <t>≤ 48 hours</t>
  </si>
  <si>
    <t>Routine authorization cycle time — Tier 3 median</t>
  </si>
  <si>
    <t>≤ 72 hours</t>
  </si>
  <si>
    <t>Stage 1 identification to Stage 3 authorization completion for routine Tier 3 changes</t>
  </si>
  <si>
    <t>Emergency Tier 3 authorization cycle time — median / maximum</t>
  </si>
  <si>
    <t>Approved ASCR-10 EMERG-T3-TARGET</t>
  </si>
  <si>
    <t>ASCR-10 emergency change records</t>
  </si>
  <si>
    <t>Shadow mode stability rate</t>
  </si>
  <si>
    <t>Trend / ASCR-10 governed basis</t>
  </si>
  <si>
    <t>Percent of authorized changes reaching stability within 1.5× minimum cycle count for their classification</t>
  </si>
  <si>
    <t>ASCR-07 evidence-domain/version health</t>
  </si>
  <si>
    <t>Current / no unsupported historical evidence</t>
  </si>
  <si>
    <t>Match deployed ASCR-07 domain/version IDs to the last ASCR-10-authorized state; retain required historical verifiers. Assurance only; no Annex E-1 score effect.</t>
  </si>
  <si>
    <t>E.9  ASCR-06 verification health indicators</t>
  </si>
  <si>
    <t>ASCR-06 OE03 Section 6.1 metrics required for quarterly ASCR-12 reporting. Preserve the source-system drill-down where a metric is labeled by system, class, mode, verdict, or error code. These are operational health indicators and are not automatically Annex E-1 scoring inputs.</t>
  </si>
  <si>
    <t>Component 1 — ASCR-01 baseline / SLO performance (40%)</t>
  </si>
  <si>
    <t>Rule</t>
  </si>
  <si>
    <t>Pillars 2–4: C1 = 1 + 4 × (SLOs Met / Applicable SLOs).</t>
  </si>
  <si>
    <t>Basis / Unit</t>
  </si>
  <si>
    <t>PASS</t>
  </si>
  <si>
    <t>Counts as applicable and met.</t>
  </si>
  <si>
    <t>ASCR-06 PASS verdicts</t>
  </si>
  <si>
    <t>ascr06_verdict_total{PASS}</t>
  </si>
  <si>
    <t>BREACH</t>
  </si>
  <si>
    <t>Counts as applicable and not met.</t>
  </si>
  <si>
    <t>Excluded from both numerator and denominator.</t>
  </si>
  <si>
    <t>ASCR-06 FAIL verdicts</t>
  </si>
  <si>
    <t>ascr06_verdict_total{FAIL}</t>
  </si>
  <si>
    <t>Missing status</t>
  </si>
  <si>
    <t>Component 1 is not scored until every mapped SLO has PASS, BREACH, or N/A.</t>
  </si>
  <si>
    <t>No applicable SLOs</t>
  </si>
  <si>
    <t>Component 1 is Not Scored and requires a written explanation.</t>
  </si>
  <si>
    <t>ASCR-06 TIMEOUT verdicts</t>
  </si>
  <si>
    <t>ascr06_verdict_total{TIMEOUT}</t>
  </si>
  <si>
    <t>Pillar 1 special rule: Component 1 is derived from the current approved Total ASCR-01 Score and corresponding ASCR Prioritization Tier in Section G. Individual ASCR-01 Cluster Scores remain analytical and are not assigned Component 1 tier classifications.</t>
  </si>
  <si>
    <t>VerifyCommand latency P95</t>
  </si>
  <si>
    <t>ms</t>
  </si>
  <si>
    <t>ascr06_verification_latency_ms</t>
  </si>
  <si>
    <t>VerifyCommand latency P99</t>
  </si>
  <si>
    <t>Component 2 — open gap profile (40%)</t>
  </si>
  <si>
    <t>Systems above 80% of configured drift threshold</t>
  </si>
  <si>
    <t>Criterion</t>
  </si>
  <si>
    <t>Derived from ascr06_drift_value{system}</t>
  </si>
  <si>
    <t>No open gaps</t>
  </si>
  <si>
    <t>Peak verification queue depth</t>
  </si>
  <si>
    <t>ascr06_verify_queue_depth</t>
  </si>
  <si>
    <t>FULL_MODEL fidelity verdicts</t>
  </si>
  <si>
    <t>ascr06_simulation_fidelity_mode_total{FULL_MODEL}</t>
  </si>
  <si>
    <t>HEURISTIC_FALLBACK fidelity verdicts</t>
  </si>
  <si>
    <t>ascr06_simulation_fidelity_mode_total{HEURISTIC_FALLBACK}</t>
  </si>
  <si>
    <t>Open P3 gaps only</t>
  </si>
  <si>
    <t>HEURISTIC_FALLBACK verdicts for N &gt; 1</t>
  </si>
  <si>
    <t>Explicit ASCR-12 flag required by ASCR-06 OE03</t>
  </si>
  <si>
    <t>Open P2 gaps present</t>
  </si>
  <si>
    <t>SINGLE_STEP fidelity verdicts</t>
  </si>
  <si>
    <t>ascr06_simulation_fidelity_mode_total{SINGLE_STEP}</t>
  </si>
  <si>
    <t>Any P1 gap open ≤ 30 days</t>
  </si>
  <si>
    <t>Safe-State activations</t>
  </si>
  <si>
    <t>Count; preserve system/class drill-down</t>
  </si>
  <si>
    <t>ascr06_safe_state_activations_total{system,class}</t>
  </si>
  <si>
    <t>Any P1 gap open &gt; 30 days. Where more than one condition applies, the lowest Component 2 score governs. A P1 gap open &gt;90 days also triggers the separate ASCR-03 Section 4 risk-acceptance requirement in E.3.</t>
  </si>
  <si>
    <t>Runtime integrity events — I01</t>
  </si>
  <si>
    <t>ascr06_integrity_events_total{I01}</t>
  </si>
  <si>
    <t>Runtime integrity events — I02</t>
  </si>
  <si>
    <t>ascr06_integrity_events_total{I02}</t>
  </si>
  <si>
    <t>Runtime integrity events — I03</t>
  </si>
  <si>
    <t>Component 3 — exercise performance (20%) + minimum-component override</t>
  </si>
  <si>
    <t>ascr06_integrity_events_total{I03}</t>
  </si>
  <si>
    <t>Systems not INITIALIZED at quarter end</t>
  </si>
  <si>
    <t>Derived from ascr06_bootstrap_state{system}</t>
  </si>
  <si>
    <t>ASCR-06 monitoring evidence reference</t>
  </si>
  <si>
    <t>Reference</t>
  </si>
  <si>
    <t>Monitoring snapshot / Prometheus scrape + ASCR-07 reconciliation evidence</t>
  </si>
  <si>
    <t>All required/in-window exercises passed with no findings.</t>
  </si>
  <si>
    <t>All required/in-window exercises passed; minor findings were remediated within the quarter.</t>
  </si>
  <si>
    <t>One unresolved exercise finding remains open.</t>
  </si>
  <si>
    <t>Two or more unresolved findings; any exercise failed; or a required exercise was not conducted within the SLO-H3 window.</t>
  </si>
  <si>
    <t>Critical recurrence: an exercise failed and the same failure mode appeared in a production incident in the same quarter.</t>
  </si>
  <si>
    <t>If no exercise occurs during the quarter but SLO-H3 remains current, use the latest in-window exercise result for C3 and flag that the value was carried forward. A Component 3 score of 1 requires CISO written escalation to the Executive Sponsor within 5 business days.</t>
  </si>
  <si>
    <t>SLO-to-pillar mapping: Pillar 2 uses SLO-H1 and SLO-H2. Pillar 3 uses SLO-D1 through SLO-D4, SLO-R1 through SLO-R4, SLO-F1, SLO-F2, and SLO-H3. Pillar 4 uses SLO-I1 through SLO-I6. SLO-H4 and supporting identity/platform telemetry are reported but not scored in Version 1.0.</t>
  </si>
  <si>
    <t>Methodology comparability: migration to the canonical Chapter 7 SLO-I1 through SLO-I6 catalog changes the Pillar 4 denominator. Mark the first affected quarter as a methodology break when comparing against quarters scored with the retired identity-SLO catalog.</t>
  </si>
  <si>
    <t>Section F — Adversarial exercise results</t>
  </si>
  <si>
    <t>Source: ASCR-09 exercise results. Leading indicator of incident response performance. If pass rates decline, review ASCR-09 for root cause and remediation tracking.</t>
  </si>
  <si>
    <t>F.1  Exercise activity this quarter</t>
  </si>
  <si>
    <t>Exercise Type</t>
  </si>
  <si>
    <t>Conducted</t>
  </si>
  <si>
    <t>Passed</t>
  </si>
  <si>
    <t>Pass Rate</t>
  </si>
  <si>
    <t>Prior Quarter Pass Rate</t>
  </si>
  <si>
    <t>ASCR-09 TVA scenario exercises</t>
  </si>
  <si>
    <t>100% of exercises conducted this quarter must pass (ASCR-12 reporting rule)</t>
  </si>
  <si>
    <t>ASCR-14 Tabletop — VLA Warehouse</t>
  </si>
  <si>
    <t>ASCR-09 prerequisite-gate TVA executions — TVA-01 through TVA-05</t>
  </si>
  <si>
    <t>Ad hoc red team exercises</t>
  </si>
  <si>
    <t>F.2  Exercise findings</t>
  </si>
  <si>
    <t>Exercise Date</t>
  </si>
  <si>
    <t>Scenario</t>
  </si>
  <si>
    <t>Finding Description</t>
  </si>
  <si>
    <t>ASCR Artifact</t>
  </si>
  <si>
    <t>Severity</t>
  </si>
  <si>
    <t>Remediation Status</t>
  </si>
  <si>
    <t>F.3  Exercise currency (SLO-H3)</t>
  </si>
  <si>
    <t>Prerequisite TVA</t>
  </si>
  <si>
    <t>Latest required execution result</t>
  </si>
  <si>
    <t>Most recent successful execution date</t>
  </si>
  <si>
    <t>Days since successful execution</t>
  </si>
  <si>
    <t>Currency threshold</t>
  </si>
  <si>
    <t>Evidence reference</t>
  </si>
  <si>
    <t>TVA-01</t>
  </si>
  <si>
    <t>TVA-02</t>
  </si>
  <si>
    <t>TVA-03</t>
  </si>
  <si>
    <t>TVA-04</t>
  </si>
  <si>
    <t>TVA-05</t>
  </si>
  <si>
    <t>Aggregate SLO-H3 status</t>
  </si>
  <si>
    <t>All five prerequisite-gate TVAs current</t>
  </si>
  <si>
    <t>⚠  SLO-H3 is PASS only when TVA-01 through TVA-05 each have a successful required execution and remain within the governed currency window. A missing, failed, stale, or invalid prerequisite-gate record produces an SLO-H3 BREACH. Capability-specific TVA scripts remain governed by their own ASCR-09 cadence and are not added to the SLO-H3 prerequisite denominator unless the governing SLO definition is formally revised. An SLO-H3 breach requires Pillar 3 Component 3 = 2 under the existing scoring methodology.</t>
  </si>
  <si>
    <t>SLO-H3 breach reason and remediation timeline:</t>
  </si>
  <si>
    <t>Section G — ASCR-01 assessment score trend</t>
  </si>
  <si>
    <t>All scores use the ASCR-01 normalized 0–5 scale. Higher scores indicate greater assessed control maturity and evidence assurance. The Total ASCR-01 Score is the arithmetic mean of applicable complete Cluster Scores; only the Total maps to the ASCR Prioritization Tier.</t>
  </si>
  <si>
    <t>G.1  Assessment score summary — current approved vs prior approved vs baseline</t>
  </si>
  <si>
    <t>ASCR-01 Measure</t>
  </si>
  <si>
    <t>Current Approved Assessment</t>
  </si>
  <si>
    <t>Prior Approved Assessment</t>
  </si>
  <si>
    <t>Initial Baseline</t>
  </si>
  <si>
    <t>Change from Prior Assessment</t>
  </si>
  <si>
    <t>Change from Baseline</t>
  </si>
  <si>
    <t>Applicability / Interpretation</t>
  </si>
  <si>
    <t>Intent &amp; Context Governance</t>
  </si>
  <si>
    <t>Section H — Regulatory compliance posture</t>
  </si>
  <si>
    <t>Applicable / N/A</t>
  </si>
  <si>
    <t>Primary evidence artifact for external audit. Obligation labels are interpretive summaries. Legal / Compliance must confirm applicability and the controlling legal text for the deployment and reporting period.</t>
  </si>
  <si>
    <t>Autonomous Execution Controls</t>
  </si>
  <si>
    <t>Section I — Vendor and supply chain health</t>
  </si>
  <si>
    <t>H.1  EU AI Act compliance status</t>
  </si>
  <si>
    <t>Logic-to-Kinetic Mapping &amp; Safety</t>
  </si>
  <si>
    <t>Obligation</t>
  </si>
  <si>
    <t>Article</t>
  </si>
  <si>
    <t>Applicable From / Trigger</t>
  </si>
  <si>
    <t>Communication &amp; Data Integrity</t>
  </si>
  <si>
    <t>Applicability Status</t>
  </si>
  <si>
    <t>Compliance Status</t>
  </si>
  <si>
    <t>Evidence Reference</t>
  </si>
  <si>
    <t>Gap / Action Required</t>
  </si>
  <si>
    <t>Incident Response &amp; Monitoring</t>
  </si>
  <si>
    <t>Risk management system operational</t>
  </si>
  <si>
    <t>I.1  ASCR-17 Vendor qualification status</t>
  </si>
  <si>
    <t>Art. 9</t>
  </si>
  <si>
    <t>Annex III: 2027-12-02; Annex I: 2028-08-02</t>
  </si>
  <si>
    <t>Supply Chain &amp; Compliance</t>
  </si>
  <si>
    <t>T1 = direct provider of agentic model inference or orchestration infrastructure. T2 = indirect provider of components integrated into the agentic stack. Record the current signed ASCR-17 vendor qualification record or qualification-evidence reference. Where applicable ASCR-11 contractual vendor-governance obligations require linkage to that evidence, record the applicable executed ASCR-11 contractual reference. If the required contractual linkage is missing, stale, or not yet synchronized, retain the current ASCR-17 qualification evidence reference and log the synchronization gap in E.2.</t>
  </si>
  <si>
    <t>Total ASCR-01 Score</t>
  </si>
  <si>
    <t>Vendor</t>
  </si>
  <si>
    <t>Logging and record-keeping operational</t>
  </si>
  <si>
    <t>Tier</t>
  </si>
  <si>
    <t>Last Assessment</t>
  </si>
  <si>
    <t>Art. 12</t>
  </si>
  <si>
    <t>Qualification Status</t>
  </si>
  <si>
    <t>ASCR-11 Contractual Linkage Current?</t>
  </si>
  <si>
    <t>Reassessment Due?</t>
  </si>
  <si>
    <t>Qualification Evidence Reference</t>
  </si>
  <si>
    <t>Transparency and deployer information requirements met</t>
  </si>
  <si>
    <t>Art. 13</t>
  </si>
  <si>
    <t>ASCR-01 Assessment Date</t>
  </si>
  <si>
    <t>ASCR-01 Version</t>
  </si>
  <si>
    <t>New Assessment This Quarter?</t>
  </si>
  <si>
    <t>Carried Forward?</t>
  </si>
  <si>
    <t>Applicable Clusters</t>
  </si>
  <si>
    <t>Applicable-Cluster Set Changed?</t>
  </si>
  <si>
    <t>Current ASCR Prioritization Tier</t>
  </si>
  <si>
    <t>Human oversight measures implemented</t>
  </si>
  <si>
    <t>Art. 14</t>
  </si>
  <si>
    <t>Cybersecurity and robustness requirements met</t>
  </si>
  <si>
    <t>Art. 15</t>
  </si>
  <si>
    <t>I.2  Supply chain integrity indicators</t>
  </si>
  <si>
    <t>G.1a  Four-quarter ASCR-01 reporting trend</t>
  </si>
  <si>
    <t>Post-market monitoring system current</t>
  </si>
  <si>
    <t>Art. 72</t>
  </si>
  <si>
    <t>ASCR-16 ARTIFACT_MODIFIED_IN_TRANSIT alerts</t>
  </si>
  <si>
    <t>When applicable to the system / organizational role</t>
  </si>
  <si>
    <t>Q-4 (Oldest)</t>
  </si>
  <si>
    <t>Q-3</t>
  </si>
  <si>
    <t>Q-2</t>
  </si>
  <si>
    <t>Q-1 (Current)</t>
  </si>
  <si>
    <t>Direction</t>
  </si>
  <si>
    <t>ASCR-16 PROVENANCE_MISSING alerts</t>
  </si>
  <si>
    <t>ASCR-16 EDGE_ATTESTATION_REFERENCE_MISMATCH alerts</t>
  </si>
  <si>
    <t>Serious incident reporting current</t>
  </si>
  <si>
    <t>Vendor security incident notifications received</t>
  </si>
  <si>
    <t>No defined threshold — log in ASCR-08 within 24 hrs</t>
  </si>
  <si>
    <t>Art. 73</t>
  </si>
  <si>
    <t>Use applicable deadline category: 15 days general; 10 days where death occurred; 2 days for widespread infringement or serious/irreversible critical-infrastructure disruption</t>
  </si>
  <si>
    <t>AI-BOM deltas without corresponding artifact update beyond ASCR-10 authorized window</t>
  </si>
  <si>
    <t>Vendor attestation exchanges delinquent</t>
  </si>
  <si>
    <t>I.3  Identity continuity SLO indicators</t>
  </si>
  <si>
    <t>Chapter 7 Reference Basis</t>
  </si>
  <si>
    <t>Effective ASCR-11 Governed Threshold</t>
  </si>
  <si>
    <t>H.2  NIS2 Compliance status</t>
  </si>
  <si>
    <t>SLO-I1</t>
  </si>
  <si>
    <t>SVID issuance and rotation latency</t>
  </si>
  <si>
    <t>Cloud P95 ≤200 ms, P99 ≤500 ms; Edge P95 ≤100 ms, P99 ≤250 ms</t>
  </si>
  <si>
    <t>SLO-I2</t>
  </si>
  <si>
    <t>Cross-domain authentication reliability</t>
  </si>
  <si>
    <t>Authorized federation ≥99.5% success; failures ≤0.5% over governed window; unfederated-domain presentations: zero accepted events</t>
  </si>
  <si>
    <t>Notifications Submitted (Count)</t>
  </si>
  <si>
    <t>Reconciliation / Timing</t>
  </si>
  <si>
    <t>SLO-I3</t>
  </si>
  <si>
    <t>Authority accumulation detection effectiveness</t>
  </si>
  <si>
    <t>≥95% detected before Physical Consequence Action; detection latency P95 ≤30 s</t>
  </si>
  <si>
    <t>Security architecture requirements met</t>
  </si>
  <si>
    <t>SLO-I4</t>
  </si>
  <si>
    <t>Steel Handshake verification latency</t>
  </si>
  <si>
    <t>Arts. 21(2)(a), 21(2)(e)</t>
  </si>
  <si>
    <t>Standard P95 ≤500 ms, P99 ≤1 s; high-frequency P95 ≤100 ms, P99 ≤200 ms; time-critical execution uses governed bounded-envelope model</t>
  </si>
  <si>
    <t>G.3  ASCR-01 Reassessment trigger evaluation</t>
  </si>
  <si>
    <t>SLO-I5</t>
  </si>
  <si>
    <t>ASCR-07 auth_chain completeness rate</t>
  </si>
  <si>
    <t>Reference target ≥99.5% complete, verifiable chains</t>
  </si>
  <si>
    <t>⚠  Pre-submission cross-check: incident-driven ASCR-01 reassessment is required when a confirmed Physical AI incident reveals a gap between the assessed baseline and the observed failure mode.</t>
  </si>
  <si>
    <t>SLO-I6</t>
  </si>
  <si>
    <t>Federation trust-bundle currency</t>
  </si>
  <si>
    <t>Supply chain security measures implemented</t>
  </si>
  <si>
    <t>100% of active federation relationships maintained according to applicable federation agreement and rotation requirements</t>
  </si>
  <si>
    <t>Art. 21(2)(d)</t>
  </si>
  <si>
    <t>Trigger</t>
  </si>
  <si>
    <t>Occurred / Due This Quarter?</t>
  </si>
  <si>
    <t>Required ASCR-01 Action Initiated?</t>
  </si>
  <si>
    <t>Affected Cluster(s) / Reference</t>
  </si>
  <si>
    <t>I.3a  Supporting identity and platform telemetry — non-SLO</t>
  </si>
  <si>
    <t>24-hour early warning submitted for each significant incident within scope</t>
  </si>
  <si>
    <t>Art. 23(4)(a)</t>
  </si>
  <si>
    <t>Semi-annual scheduled ASCR-01 reassessment due</t>
  </si>
  <si>
    <t>Useful operational measurements retained after the Chapter 7 SLO migration. These rows are excluded from the Pillar 4 Component 1 denominator unless a future governed methodology promotes them to SLO status.</t>
  </si>
  <si>
    <t>Confirmed Physical AI incident reveals a gap between the assessed baseline and the observed failure mode</t>
  </si>
  <si>
    <t>Retired ASCR-12 measure</t>
  </si>
  <si>
    <t>Final treatment</t>
  </si>
  <si>
    <t>Sustained divergence_score breach indicates a material change in the assessed control state</t>
  </si>
  <si>
    <t>SVID rotation success rate</t>
  </si>
  <si>
    <t>Supporting reliability telemetry for SLO-I1</t>
  </si>
  <si>
    <t>Co-located node-attestation latency</t>
  </si>
  <si>
    <t>Platform-attestation operational telemetry</t>
  </si>
  <si>
    <t>New agent deployment or significant expansion of agent authority scope</t>
  </si>
  <si>
    <t>Cross-zone node-attestation latency</t>
  </si>
  <si>
    <t>Deployment-specific platform-attestation telemetry; retired identifier SLO-I2a</t>
  </si>
  <si>
    <t>ASCR Blueprint control update affects an ASCR-01 question, anchor, or referenced control standard</t>
  </si>
  <si>
    <t>PCR baseline-deviation alert latency</t>
  </si>
  <si>
    <t>Platform-attestation / ASCR-16 operational telemetry</t>
  </si>
  <si>
    <t>72-hour incident notification submitted for each significant incident within scope</t>
  </si>
  <si>
    <t>Art. 23(4)(b)</t>
  </si>
  <si>
    <t>Authority-accumulation alert latency</t>
  </si>
  <si>
    <t>Absorbed into canonical SLO-I3</t>
  </si>
  <si>
    <t>Material change to applicable regulatory obligations</t>
  </si>
  <si>
    <t>Measure from recorded awareness / applicable statutory trigger</t>
  </si>
  <si>
    <t>Deployment-scope review currency</t>
  </si>
  <si>
    <t>ASCR-03 governance indicator, not an identity SLO</t>
  </si>
  <si>
    <t>Cross-domain authentication success rate</t>
  </si>
  <si>
    <t>Incorporated into canonical SLO-I2 reliability</t>
  </si>
  <si>
    <t>Final report submitted within one month, where required</t>
  </si>
  <si>
    <t>Art. 23(4)(d)</t>
  </si>
  <si>
    <t>Federation CA/trust-bundle currency</t>
  </si>
  <si>
    <t>Canonical SLO-I6</t>
  </si>
  <si>
    <t>Track cases still open at quarter end separately</t>
  </si>
  <si>
    <t>H.2a  DORA Compliance status (financial sector only — mark N/A if not applicable)</t>
  </si>
  <si>
    <t>ICT risk management framework operational</t>
  </si>
  <si>
    <t>Art. 6</t>
  </si>
  <si>
    <t>Initial notification for each major ICT-related incident submitted within the applicable DORA reporting limit</t>
  </si>
  <si>
    <t>DORA Art. 19(4)(a); Delegated Regulation (EU) 2025/301 Art. 5(1)(a)</t>
  </si>
  <si>
    <t>Intermediate report submitted within the applicable DORA reporting limit</t>
  </si>
  <si>
    <t>DORA Art. 19(4)(b); Delegated Regulation (EU) 2025/301 Art. 5(1)(b)</t>
  </si>
  <si>
    <t>Final report submitted within the applicable DORA reporting limit</t>
  </si>
  <si>
    <t>DORA Art. 19(4)(c); Delegated Regulation (EU) 2025/301 Art. 5(1)(c)</t>
  </si>
  <si>
    <t>Digital operational resilience testing programme and ICT testing performed</t>
  </si>
  <si>
    <t>Arts. 24–25</t>
  </si>
  <si>
    <t>Threat-led penetration testing performed where entity is identified as in scope</t>
  </si>
  <si>
    <t>Art. 26</t>
  </si>
  <si>
    <t>DORA reporting status is evaluated against the applicable DORA major ICT-related incident population and DORA-specific reporting timestamps. NIS2 SLO-R4 is not the operative DORA Article 19 reporting threshold.</t>
  </si>
  <si>
    <t>H.3  RPLD Liability posture</t>
  </si>
  <si>
    <t>Decision-lineage records support applicable RPLD Art. 9(1) evidence-disclosure obligations and response to the Art. 10(2)(a) presumption associated with failure to disclose</t>
  </si>
  <si>
    <t>Physical Consequence Attribution capability confirmed through ASCR-09 exercise</t>
  </si>
  <si>
    <t>ASCR-11 Section 11.7 liability allocation clauses current and executed</t>
  </si>
  <si>
    <t>H.3 Status interpretation: the three H.3 rows are independent indicators and are not combined into a single RPLD compliance or liability score. Legal / Compliance determines applicability and legal effect. Evidence-disclosure readiness is assessed against the applicable evidence requirements; Physical Consequence Attribution capability uses the governed SLO-H1 result plus required in-window forensic-reconstruction exercise evidence; ASCR-11 Section 11.7 status reflects whether the applicable contractual clauses are current and executed. Use N/A only with documented Legal / Compliance rationale. These statuses do not by themselves establish legal compliance, liability, or enforceability.</t>
  </si>
  <si>
    <t>H.4  Regulatory change horizon</t>
  </si>
  <si>
    <t>Instrument / Regime</t>
  </si>
  <si>
    <t>Provision / Change</t>
  </si>
  <si>
    <t>Expected Applicability Date</t>
  </si>
  <si>
    <t>Affected ASCR-12 Section</t>
  </si>
  <si>
    <t>Preparation Action</t>
  </si>
  <si>
    <t>Target Date / Status</t>
  </si>
  <si>
    <t>ASCR-12 metric dictionary</t>
  </si>
  <si>
    <t>Metric ID</t>
  </si>
  <si>
    <t>Section / Sheet</t>
  </si>
  <si>
    <t>Source System / Artifact</t>
  </si>
  <si>
    <t>Field / Query</t>
  </si>
  <si>
    <t>Population / Window</t>
  </si>
  <si>
    <t>Statistic</t>
  </si>
  <si>
    <t>Numerator</t>
  </si>
  <si>
    <t>Threshold Basis</t>
  </si>
  <si>
    <t>Status Rule</t>
  </si>
  <si>
    <t>C1-01</t>
  </si>
  <si>
    <t>C.1</t>
  </si>
  <si>
    <t>ASCR-07</t>
  </si>
  <si>
    <t>divergence_score</t>
  </si>
  <si>
    <t>All in-scope planning-cycle records in quarter</t>
  </si>
  <si>
    <t>P50</t>
  </si>
  <si>
    <t>≤0.15</t>
  </si>
  <si>
    <t>Engineering / localized against ASCR-11 baseline</t>
  </si>
  <si>
    <t>PASS if within threshold; BREACH if above; N/A if no applicable population</t>
  </si>
  <si>
    <t>C1-02</t>
  </si>
  <si>
    <t>P95</t>
  </si>
  <si>
    <t>≤0.35</t>
  </si>
  <si>
    <t>PASS/BREACH/N/A</t>
  </si>
  <si>
    <t>C1-03</t>
  </si>
  <si>
    <t>Agents with sustained gradient elevation</t>
  </si>
  <si>
    <t>divergence_score trend</t>
  </si>
  <si>
    <t>In-scope agents, quarter</t>
  </si>
  <si>
    <t>Agents meeting sustained-elevation rule</t>
  </si>
  <si>
    <t>In-scope agents</t>
  </si>
  <si>
    <t>Engineering</t>
  </si>
  <si>
    <t>PASS if 0; BREACH if &gt;0</t>
  </si>
  <si>
    <t>C1-04</t>
  </si>
  <si>
    <t>HARD_BLOCK events triggered</t>
  </si>
  <si>
    <t>ASCR-07 / ASCR-04</t>
  </si>
  <si>
    <t>HARD_BLOCK event</t>
  </si>
  <si>
    <t>Planning cycles in quarter</t>
  </si>
  <si>
    <t>Count + rate</t>
  </si>
  <si>
    <t>HARD_BLOCK events</t>
  </si>
  <si>
    <t>No pass/fail status; trend only</t>
  </si>
  <si>
    <t>C1-05</t>
  </si>
  <si>
    <t>HARD_BLOCK events attributable to Type-A</t>
  </si>
  <si>
    <t>Type-A + HARD_BLOCK correlation</t>
  </si>
  <si>
    <t>Type-A HARD_BLOCK events</t>
  </si>
  <si>
    <t>Governance</t>
  </si>
  <si>
    <t>C1-06</t>
  </si>
  <si>
    <t>Safe-state activations</t>
  </si>
  <si>
    <t>ASCR-04 / OT telemetry</t>
  </si>
  <si>
    <t>safe_state activation</t>
  </si>
  <si>
    <t>Governed actuation commands in quarter</t>
  </si>
  <si>
    <t>Trend only</t>
  </si>
  <si>
    <t>C1-07</t>
  </si>
  <si>
    <t>Safe-state activations attributable to Type-A</t>
  </si>
  <si>
    <t>ASCR-08 / OT telemetry</t>
  </si>
  <si>
    <t>Type-A + safe_state correlation</t>
  </si>
  <si>
    <t>Type-A safe-state activations</t>
  </si>
  <si>
    <t>C1-08</t>
  </si>
  <si>
    <t>KQP events triggered</t>
  </si>
  <si>
    <t>ASCR-07 evidence; ASCR-04 §3.6 classes</t>
  </si>
  <si>
    <t>KQP_INITIATED / K-1..K-4</t>
  </si>
  <si>
    <t>KQP events</t>
  </si>
  <si>
    <t>C2-01</t>
  </si>
  <si>
    <t>C.2</t>
  </si>
  <si>
    <t>goal_hash deviations without ASCR-10 authorization</t>
  </si>
  <si>
    <t>ASCR-07 / ASCR-10</t>
  </si>
  <si>
    <t>goal_hash + change authorization</t>
  </si>
  <si>
    <t>Applicable records in quarter</t>
  </si>
  <si>
    <t>Count or rate</t>
  </si>
  <si>
    <t>ASCR-11-governed / governance</t>
  </si>
  <si>
    <t>C2-02</t>
  </si>
  <si>
    <t>Planning cycles where goal_hash could not be verified</t>
  </si>
  <si>
    <t>goal_hash verification / chain integrity</t>
  </si>
  <si>
    <t>C2-03</t>
  </si>
  <si>
    <t>required chain-verification checks; CHAIN_DISCONTINUITY outcomes</t>
  </si>
  <si>
    <t>Required chain-verification checks in quarter</t>
  </si>
  <si>
    <t>Availability rate</t>
  </si>
  <si>
    <t>Successful required chain-verification checks</t>
  </si>
  <si>
    <t>Total required chain-verification checks</t>
  </si>
  <si>
    <t>≥99.9%</t>
  </si>
  <si>
    <t>Track every CHAIN_DISCONTINUITY separately. Chain=INVALID does not by itself set Integrity=BROKEN; where signature, record-hash, infrastructure-envelope, or Merkle verification also fails, record the independent integrity failure separately.</t>
  </si>
  <si>
    <t>C3-01</t>
  </si>
  <si>
    <t>C.3</t>
  </si>
  <si>
    <t>Physical Consequence Actions executed</t>
  </si>
  <si>
    <t>ASCR-08</t>
  </si>
  <si>
    <t>physical_impact_action</t>
  </si>
  <si>
    <t>Physical Consequence Actions</t>
  </si>
  <si>
    <t>C3-02</t>
  </si>
  <si>
    <t>Physical Consequence Actions following HARD_BLOCK</t>
  </si>
  <si>
    <t>HARD_BLOCK + physical impact correlation</t>
  </si>
  <si>
    <t>Failed-containment events</t>
  </si>
  <si>
    <t>C3-03</t>
  </si>
  <si>
    <t>Circuit-breaker enforcement latency (SLO-H2)</t>
  </si>
  <si>
    <t>ASCR-04 / ASCR-07</t>
  </si>
  <si>
    <t>HARD_BLOCK to control-plane enforcement confirmation</t>
  </si>
  <si>
    <t>Matched HARD_BLOCK events</t>
  </si>
  <si>
    <t>Latency percentile</t>
  </si>
  <si>
    <t>≤50 ms</t>
  </si>
  <si>
    <t>ASCR-11-governed engineering threshold</t>
  </si>
  <si>
    <t>C3-04</t>
  </si>
  <si>
    <t>Safe-state commands issued</t>
  </si>
  <si>
    <t>ASCR-04</t>
  </si>
  <si>
    <t>safe-state command</t>
  </si>
  <si>
    <t>Safe-state commands</t>
  </si>
  <si>
    <t>C3-05</t>
  </si>
  <si>
    <t>KQP events - control plane</t>
  </si>
  <si>
    <t>KQP_INITIATED</t>
  </si>
  <si>
    <t>C3-06</t>
  </si>
  <si>
    <t>OT telemetry</t>
  </si>
  <si>
    <t>physical safe-state confirmation</t>
  </si>
  <si>
    <t>Activations</t>
  </si>
  <si>
    <t>C3-07</t>
  </si>
  <si>
    <t>Safe-state activations due to Type-A</t>
  </si>
  <si>
    <t>Type-A + safe-state confirmation</t>
  </si>
  <si>
    <t>Type-A activations</t>
  </si>
  <si>
    <t>C3-08</t>
  </si>
  <si>
    <t>Physical actuator safe-state latency P99.9 (SLO-R1a)</t>
  </si>
  <si>
    <t>OT telemetry / ASCR-07</t>
  </si>
  <si>
    <t>HARD_BLOCK to confirmed physical safe-state</t>
  </si>
  <si>
    <t>P99.9 latency</t>
  </si>
  <si>
    <t>Engineering localized</t>
  </si>
  <si>
    <t>C3-09</t>
  </si>
  <si>
    <t>ASCR-04 / ASCR-07 / OT telemetry</t>
  </si>
  <si>
    <t>matched enforcement + physical confirmation timestamps</t>
  </si>
  <si>
    <t>P99.9 of per-event delta</t>
  </si>
  <si>
    <t>Organization-defined numeric bound</t>
  </si>
  <si>
    <t>C3-10</t>
  </si>
  <si>
    <t>post-block physical actuation correlation</t>
  </si>
  <si>
    <t>C3-11</t>
  </si>
  <si>
    <t>Cross-zone boundary policy violations</t>
  </si>
  <si>
    <t>Boundary enforcement telemetry</t>
  </si>
  <si>
    <t>policy violation event</t>
  </si>
  <si>
    <t>OT / Network Security</t>
  </si>
  <si>
    <t>0 or stricter local limit</t>
  </si>
  <si>
    <t>Engineering / architecture</t>
  </si>
  <si>
    <t>C3-12</t>
  </si>
  <si>
    <t>Zones / conduits with SL-A below SL-T</t>
  </si>
  <si>
    <t>IEC 62443 assessment evidence</t>
  </si>
  <si>
    <t>SL-A / SL-T comparison</t>
  </si>
  <si>
    <t>OT Security</t>
  </si>
  <si>
    <t>Quarter-end assessed zones/conduits</t>
  </si>
  <si>
    <t>Assurance assessment</t>
  </si>
  <si>
    <t>D1-01</t>
  </si>
  <si>
    <t>D.1</t>
  </si>
  <si>
    <t>Type-A</t>
  </si>
  <si>
    <t>incident classification / flags</t>
  </si>
  <si>
    <t>Agent-system days in quarter</t>
  </si>
  <si>
    <t>Operational</t>
  </si>
  <si>
    <t>Informational except governed cross-checks</t>
  </si>
  <si>
    <t>D1-02</t>
  </si>
  <si>
    <t>Type-S</t>
  </si>
  <si>
    <t>D1-03</t>
  </si>
  <si>
    <t>Type-X</t>
  </si>
  <si>
    <t>D1-04</t>
  </si>
  <si>
    <t>D1-05</t>
  </si>
  <si>
    <t>Total incidents</t>
  </si>
  <si>
    <t>D1-06</t>
  </si>
  <si>
    <t>Incidents with Physical Consequence Action</t>
  </si>
  <si>
    <t>D1-07</t>
  </si>
  <si>
    <t>NIS2-notifiable incidents</t>
  </si>
  <si>
    <t>D.2</t>
  </si>
  <si>
    <t>Divergence score alert latency</t>
  </si>
  <si>
    <t>per SLO definition</t>
  </si>
  <si>
    <t>Applicable incidents / events in quarter</t>
  </si>
  <si>
    <t>P95, rate, or completion time as defined</t>
  </si>
  <si>
    <t>≤15 s</t>
  </si>
  <si>
    <t>ASCR-11-governed</t>
  </si>
  <si>
    <t>Physical safe-state confirmation to OT Eng Lead</t>
  </si>
  <si>
    <t>≤5 min</t>
  </si>
  <si>
    <t>≤30 min</t>
  </si>
  <si>
    <t>≤60 min</t>
  </si>
  <si>
    <t>NIS2 early-warning timeliness</t>
  </si>
  <si>
    <t>100% within 24h</t>
  </si>
  <si>
    <t>Regulatory: NIS2 Art.23(4)(a)</t>
  </si>
  <si>
    <t>≤48 hr</t>
  </si>
  <si>
    <t>≤10%</t>
  </si>
  <si>
    <t>F1-01</t>
  </si>
  <si>
    <t>F.1</t>
  </si>
  <si>
    <t>ASCR-09 / ASCR-14</t>
  </si>
  <si>
    <t>exercise result</t>
  </si>
  <si>
    <t>Exercises conducted in quarter</t>
  </si>
  <si>
    <t>Pass rate</t>
  </si>
  <si>
    <t>ASCR-12 reporting rule</t>
  </si>
  <si>
    <t>PASS/FAIL/N/A</t>
  </si>
  <si>
    <t>F1-02</t>
  </si>
  <si>
    <t>ASCR-14 tabletop - VLA warehouse</t>
  </si>
  <si>
    <t>F1-03</t>
  </si>
  <si>
    <t>prerequisite-gate execution set</t>
  </si>
  <si>
    <t>TVA-01 through TVA-05 executions in reporting period</t>
  </si>
  <si>
    <t>F1-04</t>
  </si>
  <si>
    <t>F.3</t>
  </si>
  <si>
    <t>Prerequisite-gate TVA validation currency</t>
  </si>
  <si>
    <t>ASCR-09</t>
  </si>
  <si>
    <t>latest required execution result; most recent successful execution date; evidence reference for TVA-01 through TVA-05</t>
  </si>
  <si>
    <t>TVA-01 through TVA-05 at quarter close</t>
  </si>
  <si>
    <t>Age in days since each most recent successful execution; aggregate status across all five prerequisite gates</t>
  </si>
  <si>
    <t>Successful and current prerequisite gates</t>
  </si>
  <si>
    <t>Five required prerequisite gates</t>
  </si>
  <si>
    <t>≤90 days for each prerequisite gate, subject to the effective governed value where separately approved</t>
  </si>
  <si>
    <t>Chapter 8 / ASCR-09; effective target governed through the applicable ASCR-11 reference</t>
  </si>
  <si>
    <t>PASS/BREACH</t>
  </si>
  <si>
    <t>PASS only when all five prerequisite gates have a successful required execution and remain within the governed currency window; missing, failed, stale, future-dated, or otherwise invalid required input produces BREACH. SLO-H3 is one Pillar 3 Component 1 SLO; an H3 breach also forces Pillar 3 Component 3 to 2 under the existing methodology.</t>
  </si>
  <si>
    <t>I2-01</t>
  </si>
  <si>
    <t>I.2</t>
  </si>
  <si>
    <t>ARTIFACT_MODIFIED_IN_TRANSIT alerts</t>
  </si>
  <si>
    <t>ASCR-16 / ASCR-10 / vendor records</t>
  </si>
  <si>
    <t>per indicator</t>
  </si>
  <si>
    <t>AI/ML Eng / Security</t>
  </si>
  <si>
    <t>0 or logged per rule</t>
  </si>
  <si>
    <t>Governed / informational</t>
  </si>
  <si>
    <t>PASS/BREACH/N/A or log-compliance</t>
  </si>
  <si>
    <t>I2-02</t>
  </si>
  <si>
    <t>PROVENANCE_MISSING alerts</t>
  </si>
  <si>
    <t>I2-03</t>
  </si>
  <si>
    <t>EDGE_ATTESTATION_REFERENCE_MISMATCH alerts</t>
  </si>
  <si>
    <t>I2-04</t>
  </si>
  <si>
    <t>Vendor security incident notifications</t>
  </si>
  <si>
    <t>I2-05</t>
  </si>
  <si>
    <t>AI-BOM deltas beyond authorized window</t>
  </si>
  <si>
    <t>I2-06</t>
  </si>
  <si>
    <t>I.3</t>
  </si>
  <si>
    <t>SLO-I1 — SVID issuance and rotation latency</t>
  </si>
  <si>
    <t>SPIRE / identity telemetry</t>
  </si>
  <si>
    <t>issuance + rotation latency</t>
  </si>
  <si>
    <t>P95/P99 latency</t>
  </si>
  <si>
    <t>Effective ASCR-11 governed threshold</t>
  </si>
  <si>
    <t>Chapter 7 reference target; ASCR-11 governs effective target</t>
  </si>
  <si>
    <t>SLO-I2 — Cross-domain authentication reliability</t>
  </si>
  <si>
    <t>Gateway / federation telemetry</t>
  </si>
  <si>
    <t>authorized federation success/failure + unfederated accepts</t>
  </si>
  <si>
    <t>Security / Identity</t>
  </si>
  <si>
    <t>Governed reporting window</t>
  </si>
  <si>
    <t>Success/failure rate</t>
  </si>
  <si>
    <t>Successful authorized authentications</t>
  </si>
  <si>
    <t>Authorized federation authentication attempts</t>
  </si>
  <si>
    <t>Chapter 7 reference target; zero unfederated accepted events</t>
  </si>
  <si>
    <t>SLO-I3 — Authority accumulation detection effectiveness</t>
  </si>
  <si>
    <t>Authority graph + ASCR-07 decision lineage</t>
  </si>
  <si>
    <t>pre-consequence detection + latency</t>
  </si>
  <si>
    <t>Applicable authority-accumulation scenarios</t>
  </si>
  <si>
    <t>Coverage + P95 latency</t>
  </si>
  <si>
    <t>Detected before Physical Consequence Action</t>
  </si>
  <si>
    <t>Applicable scenarios</t>
  </si>
  <si>
    <t>Chapter 7 reference ≥95% and P95 ≤30 s</t>
  </si>
  <si>
    <t>SLO-I4 — Steel Handshake verification latency</t>
  </si>
  <si>
    <t>Steel Handshake verification telemetry</t>
  </si>
  <si>
    <t>verification latency</t>
  </si>
  <si>
    <t>Applicable verifications</t>
  </si>
  <si>
    <t>Chapter 7 reference target</t>
  </si>
  <si>
    <t>SLO-I5 — ASCR-07 auth_chain completeness rate</t>
  </si>
  <si>
    <t>auth_chain verification</t>
  </si>
  <si>
    <t>Completeness rate</t>
  </si>
  <si>
    <t>Complete verifiable auth_chain records</t>
  </si>
  <si>
    <t>Applicable auth_chain records</t>
  </si>
  <si>
    <t>Chapter 7 reference ≥99.5%</t>
  </si>
  <si>
    <t>SLO-I6 — Federation trust-bundle currency</t>
  </si>
  <si>
    <t>Federation trust-material records</t>
  </si>
  <si>
    <t>bundle currency / rotation state</t>
  </si>
  <si>
    <t>Active federation relationships</t>
  </si>
  <si>
    <t>Currency rate</t>
  </si>
  <si>
    <t>Relationships current per agreement</t>
  </si>
  <si>
    <t>Applicable federation agreement / Chapter 7 reference</t>
  </si>
  <si>
    <t>I3A-01</t>
  </si>
  <si>
    <t>I.3a</t>
  </si>
  <si>
    <t>Identity telemetry</t>
  </si>
  <si>
    <t>rotation success</t>
  </si>
  <si>
    <t>Rate</t>
  </si>
  <si>
    <t>Supporting telemetry for SLO-I1</t>
  </si>
  <si>
    <t>Non-SLO</t>
  </si>
  <si>
    <t>I3A-02</t>
  </si>
  <si>
    <t>Platform attestation</t>
  </si>
  <si>
    <t>P95 latency</t>
  </si>
  <si>
    <t>Deployment-specific</t>
  </si>
  <si>
    <t>Platform-attestation telemetry</t>
  </si>
  <si>
    <t>I3A-03</t>
  </si>
  <si>
    <t>Retired identifier SLO-I2a</t>
  </si>
  <si>
    <t>I3A-04</t>
  </si>
  <si>
    <t>ASCR-16 / platform attestation</t>
  </si>
  <si>
    <t>PCR deviation alert latency</t>
  </si>
  <si>
    <t>I3A-05</t>
  </si>
  <si>
    <t>Authority telemetry</t>
  </si>
  <si>
    <t>alert latency</t>
  </si>
  <si>
    <t>Absorbed into SLO-I3</t>
  </si>
  <si>
    <t>I3A-06</t>
  </si>
  <si>
    <t>ASCR-03</t>
  </si>
  <si>
    <t>scope review date</t>
  </si>
  <si>
    <t>Quarter-end</t>
  </si>
  <si>
    <t>Days since / interval</t>
  </si>
  <si>
    <t>ASCR-03 governed</t>
  </si>
  <si>
    <t>Governance indicator</t>
  </si>
  <si>
    <t>I3A-07</t>
  </si>
  <si>
    <t>success rate</t>
  </si>
  <si>
    <t>Governed window</t>
  </si>
  <si>
    <t>Incorporated into SLO-I2</t>
  </si>
  <si>
    <t>I3A-08</t>
  </si>
  <si>
    <t>Federation records</t>
  </si>
  <si>
    <t>currency</t>
  </si>
  <si>
    <t>Currency</t>
  </si>
  <si>
    <t>Per agreement</t>
  </si>
  <si>
    <t>Canonical SLO-I6 source measure</t>
  </si>
  <si>
    <t>E4-01</t>
  </si>
  <si>
    <t>E.4</t>
  </si>
  <si>
    <t>ASCR-13</t>
  </si>
  <si>
    <t>Section 3.3 capability-gap output</t>
  </si>
  <si>
    <t>Program Manager / ASOC Lead</t>
  </si>
  <si>
    <t>Latest assessment in force</t>
  </si>
  <si>
    <t>Count + role identity</t>
  </si>
  <si>
    <t>ASCR-13 assessed roles</t>
  </si>
  <si>
    <t>No scoring effect</t>
  </si>
  <si>
    <t>Role drill-down also preserves Affected Artifacts and Blocked Artifacts from current ASCR-13 assessment.</t>
  </si>
  <si>
    <t>E4-02</t>
  </si>
  <si>
    <t>E4-03</t>
  </si>
  <si>
    <t>E4-04</t>
  </si>
  <si>
    <t>Overdue plans</t>
  </si>
  <si>
    <t>SLO-D2 — Gradient Alert Detection Sensitivity</t>
  </si>
  <si>
    <t>ASCR-09 / ASCR-10</t>
  </si>
  <si>
    <t>calibrated gradient campaign detection</t>
  </si>
  <si>
    <t>Validation window</t>
  </si>
  <si>
    <t>Minimum detectable gradient</t>
  </si>
  <si>
    <t>Chapter 8 reference: detect the calibrated gradient campaign at a gradient magnitude at least 40% below the rate that would reach SOFT_ALERT within 50 planning cycles.</t>
  </si>
  <si>
    <t>SLO-D3 — Context Integrity Alert False Positive Rate</t>
  </si>
  <si>
    <t>ASOC investigation records</t>
  </si>
  <si>
    <t>resolved alert disposition</t>
  </si>
  <si>
    <t>Reporting window</t>
  </si>
  <si>
    <t>False-positive rate</t>
  </si>
  <si>
    <t>Confirmed false positives</t>
  </si>
  <si>
    <t>Resolved context-integrity alerts</t>
  </si>
  <si>
    <t>Chapter 8 reference: false-positive rate ≤20% over the defined reporting window; monthly rate &gt;35% triggers recalibration. Unresolved cases are excluded from the confirmed false-positive numerator.</t>
  </si>
  <si>
    <t>SLO-D4 — Multi-Agent Coordination Anomaly Detection Coverage</t>
  </si>
  <si>
    <t>scenario detection result</t>
  </si>
  <si>
    <t>Applicable scenarios in quarter</t>
  </si>
  <si>
    <t>Coverage rate</t>
  </si>
  <si>
    <t>Confirmed detections</t>
  </si>
  <si>
    <t>Applicable anomaly scenarios</t>
  </si>
  <si>
    <t>Chapter 8 reference: ≥85% scenario detection coverage; zero detections for a scenario category across three or more consecutive quarterly validations triggers detection-logic development.</t>
  </si>
  <si>
    <t>SLO-H4 — ASCR-07 Retention Class Assignment Accuracy</t>
  </si>
  <si>
    <t>retention class assignment audit</t>
  </si>
  <si>
    <t>ASOC Lead / Legal</t>
  </si>
  <si>
    <t>Physical Consequence Action records in the reporting period</t>
  </si>
  <si>
    <t>Accuracy rate</t>
  </si>
  <si>
    <t>Correct RPLD_RETENTION assignments at ingestion</t>
  </si>
  <si>
    <t>Physical Consequence Action records</t>
  </si>
  <si>
    <t>ASCR-07 evidence-preservation control: every Physical Consequence Action record is assigned RPLD_RETENTION at ingestion under the ASCR evidentiary policy. Legal Counsel's RPLD applicability determination remains separate and must not reduce the SLO-H4 population. Any assignment below RPLD_RETENTION is a breach; ambiguous or unvalidated classification fails safe to RPLD_RETENTION.</t>
  </si>
  <si>
    <t>D2A-01</t>
  </si>
  <si>
    <t>D.2a</t>
  </si>
  <si>
    <t>Cascade propagation latency — Zone 2</t>
  </si>
  <si>
    <t>ASCR-06 / ASCR-07</t>
  </si>
  <si>
    <t>MFAP/local verdict to final Safe-State delivery</t>
  </si>
  <si>
    <t>Maximum latency + breach count</t>
  </si>
  <si>
    <t>≤500 ms</t>
  </si>
  <si>
    <t>ASCR-06 / ASCR-11 timing profile</t>
  </si>
  <si>
    <t>PASS/EXCEPTION/NO EVENTS</t>
  </si>
  <si>
    <t>D2A-02</t>
  </si>
  <si>
    <t>Cascade propagation latency — Zone 3 Class B</t>
  </si>
  <si>
    <t>≤1,000 ms</t>
  </si>
  <si>
    <t>D2A-03</t>
  </si>
  <si>
    <t>Cascade propagation latency — Zone 3 Class A</t>
  </si>
  <si>
    <t>≤200 ms</t>
  </si>
  <si>
    <t>D5-01</t>
  </si>
  <si>
    <t>D.5</t>
  </si>
  <si>
    <t>Type-A / planning cycles</t>
  </si>
  <si>
    <t>CISO / Security</t>
  </si>
  <si>
    <t>per 1,000 planning cycles</t>
  </si>
  <si>
    <t>No universal threshold</t>
  </si>
  <si>
    <t>Executive trend indicator</t>
  </si>
  <si>
    <t>D5-02</t>
  </si>
  <si>
    <t>Type-S / autonomous operating hours</t>
  </si>
  <si>
    <t>per 1,000 operating hours</t>
  </si>
  <si>
    <t>D5-03</t>
  </si>
  <si>
    <t>Temporal Integrity Score - mean hold-enforcement component</t>
  </si>
  <si>
    <t>hold-enforcement latency</t>
  </si>
  <si>
    <t>Mean latency</t>
  </si>
  <si>
    <t>Governed ASCR-04/11 timing</t>
  </si>
  <si>
    <t>Executive indicator component</t>
  </si>
  <si>
    <t>Reported separately from P95 and Type-X rate</t>
  </si>
  <si>
    <t>D5-04</t>
  </si>
  <si>
    <t>Temporal Integrity Score - P95 hold-enforcement component</t>
  </si>
  <si>
    <t>Reported separately from mean and Type-X rate</t>
  </si>
  <si>
    <t>D5-05</t>
  </si>
  <si>
    <t>Type-X / autonomous operating hours</t>
  </si>
  <si>
    <t>E5-01</t>
  </si>
  <si>
    <t>E.5</t>
  </si>
  <si>
    <t>ASCR-05 Architecture Accuracy Status</t>
  </si>
  <si>
    <t>ASCR-05</t>
  </si>
  <si>
    <t>Section 6.2 quarterly check</t>
  </si>
  <si>
    <t>OT Engineering Lead / Security-IR</t>
  </si>
  <si>
    <t>Status + discrepancy count</t>
  </si>
  <si>
    <t>Final authorization requires zero unresolved discrepancies</t>
  </si>
  <si>
    <t>ASCR-05 finalization gate</t>
  </si>
  <si>
    <t>Governance / authorization</t>
  </si>
  <si>
    <t>E6-01</t>
  </si>
  <si>
    <t>E.6</t>
  </si>
  <si>
    <t>ASCR-04 Gateway Configuration Review Status</t>
  </si>
  <si>
    <t>Quarterly gateway review</t>
  </si>
  <si>
    <t>ASOC Lead / Security-IR</t>
  </si>
  <si>
    <t>Governed by ASCR-04 quarterly review</t>
  </si>
  <si>
    <t>Control assurance</t>
  </si>
  <si>
    <t>Gap/CISO narrative if exception</t>
  </si>
  <si>
    <t>I1-01</t>
  </si>
  <si>
    <t>I.1</t>
  </si>
  <si>
    <t>Vendor qualification evidence reference</t>
  </si>
  <si>
    <t>ASCR-17 / applicable ASCR-11 contractual linkage</t>
  </si>
  <si>
    <t>active qualification evidence</t>
  </si>
  <si>
    <t>Program Manager / CISO</t>
  </si>
  <si>
    <t>Active in-scope vendor</t>
  </si>
  <si>
    <t>Current evidence reference required</t>
  </si>
  <si>
    <t>ASCR-17 active qualification record</t>
  </si>
  <si>
    <t>Governance evidence</t>
  </si>
  <si>
    <t>Record the current signed ASCR-17 vendor qualification record or qualification-evidence reference. Where applicable ASCR-11 contractual vendor-governance obligations require linkage to that evidence, record the applicable executed ASCR-11 contractual reference. If the required linkage is missing, stale, or not yet synchronized, retain the ASCR-17 evidence reference and log the E.2 synchronization gap.</t>
  </si>
  <si>
    <t>E7-01</t>
  </si>
  <si>
    <t>E.7</t>
  </si>
  <si>
    <t>ASCR-08 / ASCR-09 / ASCR-15 / affected artifacts</t>
  </si>
  <si>
    <t>integration action register</t>
  </si>
  <si>
    <t>Security/IR Lead / ASOC Lead</t>
  </si>
  <si>
    <t>Required integration actions due in quarter</t>
  </si>
  <si>
    <t>Actions completed within governed improvement window</t>
  </si>
  <si>
    <t>Required integration actions due</t>
  </si>
  <si>
    <t>Informational governance metric</t>
  </si>
  <si>
    <t>ASCR-01 Q25</t>
  </si>
  <si>
    <t>N/A if no actions due</t>
  </si>
  <si>
    <t>No Annex E-1 scoring effect</t>
  </si>
  <si>
    <t>E7-02</t>
  </si>
  <si>
    <t>Overdue lessons-learned integration actions</t>
  </si>
  <si>
    <t>ASCR-08 / affected artifacts</t>
  </si>
  <si>
    <t>open integration actions past due</t>
  </si>
  <si>
    <t>Overdue actions</t>
  </si>
  <si>
    <t>0 preferred; no universal score penalty</t>
  </si>
  <si>
    <t>ASCR-01 Q25 governance</t>
  </si>
  <si>
    <t>Track evidence references</t>
  </si>
  <si>
    <t>E8-01</t>
  </si>
  <si>
    <t>E.8</t>
  </si>
  <si>
    <t>ASCR-10</t>
  </si>
  <si>
    <t>planning-cycle AI-BOM match to last authorized version</t>
  </si>
  <si>
    <t>Production planning cycles in quarter</t>
  </si>
  <si>
    <t>Matching cycles</t>
  </si>
  <si>
    <t>Production planning cycles</t>
  </si>
  <si>
    <t>ASCR-10 Section 7</t>
  </si>
  <si>
    <t>Investigate any value &lt;100%</t>
  </si>
  <si>
    <t>E8-02</t>
  </si>
  <si>
    <t>Stage 1 to Stage 3 timestamps</t>
  </si>
  <si>
    <t>Tier 1 changes in quarter</t>
  </si>
  <si>
    <t>Median latency</t>
  </si>
  <si>
    <t>Governed operational metric</t>
  </si>
  <si>
    <t>E8-03</t>
  </si>
  <si>
    <t>Tier 2 changes in quarter</t>
  </si>
  <si>
    <t>Median hours</t>
  </si>
  <si>
    <t>≤48 hours</t>
  </si>
  <si>
    <t>E8-04</t>
  </si>
  <si>
    <t>Routine Tier 3 changes in quarter</t>
  </si>
  <si>
    <t>≤72 hours</t>
  </si>
  <si>
    <t>E8-05</t>
  </si>
  <si>
    <t>Emergency Tier 3 changes in quarter</t>
  </si>
  <si>
    <t>Median and maximum hours</t>
  </si>
  <si>
    <t>ASCR-10 emergency-change governance</t>
  </si>
  <si>
    <t>Change-control health indicator</t>
  </si>
  <si>
    <t>No Annex E-1 scoring effect; do not combine with routine Tier 3 population</t>
  </si>
  <si>
    <t>E8-06</t>
  </si>
  <si>
    <t>authorized changes reaching stability within 1.5× minimum cycle count</t>
  </si>
  <si>
    <t>Authorized changes in quarter</t>
  </si>
  <si>
    <t>Changes meeting stability window</t>
  </si>
  <si>
    <t>Authorized changes</t>
  </si>
  <si>
    <t>No universal numeric target stated</t>
  </si>
  <si>
    <t>Trend / governance review</t>
  </si>
  <si>
    <t>E8-07</t>
  </si>
  <si>
    <t>deployed domain/version registry + last authorized evidence-pipeline state + historical-verifier availability</t>
  </si>
  <si>
    <t>ASOC Lead / evidence-platform owner</t>
  </si>
  <si>
    <t>Current deployed identifiers match the last ASCR-10-authorized state and all required historical-domain verifiers remain available for evidence inside retention scope</t>
  </si>
  <si>
    <t>ASCR-07 versioning/conformance requirements; ASCR-10 authorized change record</t>
  </si>
  <si>
    <t>PASS / BREACH / N/A</t>
  </si>
  <si>
    <t>Assurance indicator only. No Annex E-1 scoring effect.</t>
  </si>
  <si>
    <t>E9-01</t>
  </si>
  <si>
    <t>E.9</t>
  </si>
  <si>
    <t>ASCR-06</t>
  </si>
  <si>
    <t>OT Engineering Lead / ASOC Lead</t>
  </si>
  <si>
    <t>Per ASCR-06 OE03 / deployment config</t>
  </si>
  <si>
    <t>ASCR-06 OE03 Section 6.1</t>
  </si>
  <si>
    <t>Informational / governed health</t>
  </si>
  <si>
    <t>Preserve label drill-down where applicable</t>
  </si>
  <si>
    <t>E9-02</t>
  </si>
  <si>
    <t>E9-03</t>
  </si>
  <si>
    <t>E9-04</t>
  </si>
  <si>
    <t>P95 ms</t>
  </si>
  <si>
    <t>E9-05</t>
  </si>
  <si>
    <t>P99 ms</t>
  </si>
  <si>
    <t>E9-06</t>
  </si>
  <si>
    <t>ascr06_drift_value{system}</t>
  </si>
  <si>
    <t>E9-07</t>
  </si>
  <si>
    <t>Peak count</t>
  </si>
  <si>
    <t>E9-08</t>
  </si>
  <si>
    <t>E9-09</t>
  </si>
  <si>
    <t>E9-10</t>
  </si>
  <si>
    <t>ASCR-06 verdict/evidence record</t>
  </si>
  <si>
    <t>E9-11</t>
  </si>
  <si>
    <t>E9-12</t>
  </si>
  <si>
    <t>Count + drill-down</t>
  </si>
  <si>
    <t>E9-13</t>
  </si>
  <si>
    <t>E9-14</t>
  </si>
  <si>
    <t>E9-15</t>
  </si>
  <si>
    <t>E9-16</t>
  </si>
  <si>
    <t>ascr06_bootstrap_state{system}</t>
  </si>
  <si>
    <t>E9-17</t>
  </si>
  <si>
    <t>Prometheus/monitoring snapshot + ASCR-07 reconciliation</t>
  </si>
  <si>
    <t>Section J — Scorecard authorization and distribution</t>
  </si>
  <si>
    <t>Annex V-1 — Required board pack visualizations (reference &amp; source field guide)</t>
  </si>
  <si>
    <t>J.1  Preparation and review signatures</t>
  </si>
  <si>
    <t>Five visualizations constitute the minimum required board pack. ASOC Lead produces all five from source data before scorecard enters CISO review. Where automated generation is unavailable, document the gap in Section E as a tooling deficiency and produce manually.</t>
  </si>
  <si>
    <t>Name</t>
  </si>
  <si>
    <t>Signature</t>
  </si>
  <si>
    <t>Date</t>
  </si>
  <si>
    <t>ASOC Lead (data compilation)</t>
  </si>
  <si>
    <t>Visualization</t>
  </si>
  <si>
    <t>CISO (review and narrative approval)</t>
  </si>
  <si>
    <t>Source Sheet / Fields</t>
  </si>
  <si>
    <t>Key Interpretation Signal</t>
  </si>
  <si>
    <t>Legal / Compliance (Section H review)</t>
  </si>
  <si>
    <t>V-1</t>
  </si>
  <si>
    <t>Executive Sponsor (board submission authorization)</t>
  </si>
  <si>
    <t>ASCR-01 Assessment Score Trend
4-quarter reporting view of six Cluster Scores + Total ASCR-01 Score</t>
  </si>
  <si>
    <t>Sheet G → G.1 and G.1a
Six Cluster Scores + Total ASCR-01 Score</t>
  </si>
  <si>
    <t>Flag: any Cluster Score degradation, applicable-cluster-set change, or Total ASCR-01 Prioritization Tier change</t>
  </si>
  <si>
    <t>V-2</t>
  </si>
  <si>
    <t>J.2  Distribution record</t>
  </si>
  <si>
    <t>Incident Classification Heat Map
8-quarter rolling matrix by type × quarter</t>
  </si>
  <si>
    <t>Sheet D → D.1
Type-A / S / X / Indeterminate counts</t>
  </si>
  <si>
    <t>Investigation signal: sustained Type-A growth while Type-S is stable or declining may indicate an increasing adversarial share of classified incidents; investigate causal evidence before attributing the change.</t>
  </si>
  <si>
    <t>Recipient</t>
  </si>
  <si>
    <t>V-3</t>
  </si>
  <si>
    <t>Distribution Date</t>
  </si>
  <si>
    <t>Confidentiality Classification</t>
  </si>
  <si>
    <t>SLO Performance Traffic Light Table
All SLOs — current quarter with prior quarter comparison</t>
  </si>
  <si>
    <t>Sheets C, D, I → operational SLO status cells
SLO-D1–D4, R1–R4, F1–F2, H1–H4, I1–I6</t>
  </si>
  <si>
    <t>Green = PASS outside the warning band; Amber for upper-bound ≤T metrics when value is 0.9T to T, or for lower-bound reliability ≥X metrics when ≥50% of the allowable error budget (1−X) is consumed; Red = BREACH. Binary / currency metrics use PASS or BREACH without an Amber band.</t>
  </si>
  <si>
    <t>Confidential — Board and Executive Distribution Only</t>
  </si>
  <si>
    <t>V-4</t>
  </si>
  <si>
    <t>Control Effectiveness Pillar Radar Chart
4-axis radar, current vs prior quarter overlay</t>
  </si>
  <si>
    <t>Sheet E → E.1 Pillar Scores (all 4 pillars)</t>
  </si>
  <si>
    <t>Makes inter-pillar performance gaps visible at a glance. Dashed line = prior quarter.</t>
  </si>
  <si>
    <t>V-5</t>
  </si>
  <si>
    <t>Divergence Score Distribution Histogram
Fleet-wide divergence_score with SOFT_ALERT and HARD_BLOCK reference lines</t>
  </si>
  <si>
    <t>Sheet C → C.1 divergence metrics
P50, P95, gradient elevation agents</t>
  </si>
  <si>
    <t>Rightward shift toward SOFT_ALERT line = earliest warning of behavioral drift accumulation</t>
  </si>
  <si>
    <t>V-1 uses direction and the current Total ASCR-01 Prioritization Tier rather than cluster ceiling bands. Individual Cluster Scores are shown as analytical 0–5 trajectories without local tier classification. V-3 uses its separately defined SLO status logic.
V-4 radar chart: 4 axes = 4 pillars. Each axis 1–5. Plot current quarter score; overlay prior quarter in dashed line.
V-5 histogram: x-axis = divergence_score buckets; y-axis = agent count. Vertical reference lines at SOFT_ALERT and HARD_BLOCK thresholds from ASCR-11 Schedule A.</t>
  </si>
  <si>
    <t>V-6  CISO agentic risk indicators — required executive indicator table</t>
  </si>
  <si>
    <t>J.3  Retention</t>
  </si>
  <si>
    <t>Trend / Direction</t>
  </si>
  <si>
    <t>This scorecard is an assurance record. Retention is deployment-specific and must be set by Legal / Compliance using applicable recordkeeping, limitation/expiry, litigation-hold, contractual, and evidence-preservation requirements. For EU product-liability exposure, map the retention decision to the applicable RPLD Article 16 limitation and Article 17 expiry periods using the relevant product placement / service dates, including the latent-personal-injury extension where applicable.</t>
  </si>
  <si>
    <t>Retention location</t>
  </si>
  <si>
    <t>Retention confirmed by</t>
  </si>
  <si>
    <t>Date confirmed</t>
  </si>
  <si>
    <t>Temporal Integrity Score - mean hold latency</t>
  </si>
  <si>
    <t>Temporal Integrity Score - P95 hold latency</t>
  </si>
  <si>
    <t>Temporal Integrity Score - Type-X rate</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</si>
</sst>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0.0%"/>
    <numFmt numFmtId="165" formatCode="yyyy-mm-dd"/>
    <numFmt numFmtId="166" formatCode="&quot;≤ &quot;0&quot; days&quot;"/>
    <numFmt numFmtId="167" formatCode="\+0;\-0;0"/>
  </numFmts>
  <fonts count="31">
    <font>
      <sz val="11.0"/>
      <color theme="1"/>
      <name val="Calibri"/>
      <scheme val="minor"/>
    </font>
    <font>
      <sz val="11.0"/>
      <color theme="1"/>
      <name val="Calibri"/>
    </font>
    <font>
      <b/>
      <sz val="11.0"/>
      <color rgb="FFFFFFFF"/>
      <name val="Calibri"/>
    </font>
    <font/>
    <font>
      <b/>
      <sz val="18.0"/>
      <color rgb="FF1F3864"/>
      <name val="Calibri"/>
    </font>
    <font>
      <i/>
      <sz val="12.0"/>
      <color rgb="FF1F3864"/>
      <name val="Calibri"/>
    </font>
    <font>
      <b/>
      <sz val="10.0"/>
      <color rgb="FFFFFFFF"/>
      <name val="Calibri"/>
    </font>
    <font>
      <b/>
      <sz val="10.0"/>
      <color rgb="FF1F3864"/>
      <name val="Calibri"/>
    </font>
    <font>
      <sz val="10.0"/>
      <color theme="1"/>
      <name val="Calibri"/>
    </font>
    <font>
      <sz val="10.0"/>
      <color rgb="FF000000"/>
      <name val="Calibri"/>
    </font>
    <font>
      <color theme="1"/>
      <name val="Calibri"/>
      <scheme val="minor"/>
    </font>
    <font>
      <b/>
      <sz val="10.0"/>
      <color rgb="FF1F3864"/>
      <name val="Arial"/>
    </font>
    <font>
      <sz val="10.0"/>
      <color theme="1"/>
      <name val="Arial"/>
    </font>
    <font>
      <i/>
      <sz val="9.0"/>
      <color rgb="FF595959"/>
      <name val="Calibri"/>
    </font>
    <font>
      <b/>
      <sz val="10.0"/>
      <color theme="1"/>
      <name val="Calibri"/>
    </font>
    <font>
      <b/>
      <sz val="12.0"/>
      <color rgb="FFFFFFFF"/>
      <name val="Calibri"/>
    </font>
    <font>
      <b/>
      <sz val="14.0"/>
      <color rgb="FFFFFFFF"/>
      <name val="Calibri"/>
    </font>
    <font>
      <i/>
      <sz val="9.0"/>
      <color rgb="FF666666"/>
      <name val="Calibri"/>
    </font>
    <font>
      <i/>
      <sz val="11.0"/>
      <color rgb="FF666666"/>
      <name val="Calibri"/>
    </font>
    <font>
      <i/>
      <sz val="11.0"/>
      <color rgb="FF1F5C2E"/>
      <name val="Calibri"/>
    </font>
    <font>
      <sz val="11.0"/>
      <color rgb="FF0000FF"/>
      <name val="Calibri"/>
    </font>
    <font>
      <b/>
      <sz val="12.0"/>
      <color rgb="FF1F3864"/>
      <name val="Calibri"/>
    </font>
    <font>
      <sz val="12.0"/>
      <color rgb="FF000000"/>
      <name val="Calibri"/>
    </font>
    <font>
      <sz val="11.0"/>
      <color rgb="FF000000"/>
      <name val="Calibri"/>
    </font>
    <font>
      <b/>
      <sz val="10.0"/>
      <color rgb="FFC00000"/>
      <name val="Calibri"/>
    </font>
    <font>
      <i/>
      <sz val="10.0"/>
      <color rgb="FF595959"/>
      <name val="Calibri"/>
    </font>
    <font>
      <b/>
      <i/>
      <sz val="10.0"/>
      <color rgb="FF666666"/>
      <name val="Calibri"/>
    </font>
    <font>
      <sz val="9.0"/>
      <color rgb="FF000000"/>
      <name val="Calibri"/>
    </font>
    <font>
      <color rgb="FF000000"/>
      <name val="Calibri"/>
    </font>
    <font>
      <b/>
      <sz val="12.0"/>
      <color rgb="FF000000"/>
      <name val="Calibri"/>
    </font>
    <font>
      <b/>
      <sz val="11.0"/>
      <color rgb="FF000000"/>
      <name val="Calibri"/>
    </font>
  </fonts>
  <fills count="18">
    <fill>
      <patternFill patternType="none"/>
    </fill>
    <fill>
      <patternFill patternType="lightGray"/>
    </fill>
    <fill>
      <patternFill patternType="solid">
        <fgColor rgb="FF1F3864"/>
        <bgColor rgb="FF1F3864"/>
      </patternFill>
    </fill>
    <fill>
      <patternFill patternType="solid">
        <fgColor rgb="FF2E5FA3"/>
        <bgColor rgb="FF2E5FA3"/>
      </patternFill>
    </fill>
    <fill>
      <patternFill patternType="solid">
        <fgColor rgb="FFD9E2F3"/>
        <bgColor rgb="FFD9E2F3"/>
      </patternFill>
    </fill>
    <fill>
      <patternFill patternType="solid">
        <fgColor rgb="FFFFFFFF"/>
        <bgColor rgb="FFFFFFFF"/>
      </patternFill>
    </fill>
    <fill>
      <patternFill patternType="solid">
        <fgColor rgb="FFF2F2F2"/>
        <bgColor rgb="FFF2F2F2"/>
      </patternFill>
    </fill>
    <fill>
      <patternFill patternType="solid">
        <fgColor rgb="FFD6E4F0"/>
        <bgColor rgb="FFD6E4F0"/>
      </patternFill>
    </fill>
    <fill>
      <patternFill patternType="solid">
        <fgColor rgb="FFFCE4D6"/>
        <bgColor rgb="FFFCE4D6"/>
      </patternFill>
    </fill>
    <fill>
      <patternFill patternType="solid">
        <fgColor rgb="FF1F3B67"/>
        <bgColor rgb="FF1F3B67"/>
      </patternFill>
    </fill>
    <fill>
      <patternFill patternType="solid">
        <fgColor rgb="FFD9E7F5"/>
        <bgColor rgb="FFD9E7F5"/>
      </patternFill>
    </fill>
    <fill>
      <patternFill patternType="solid">
        <fgColor rgb="FFFFF2CC"/>
        <bgColor rgb="FFFFF2CC"/>
      </patternFill>
    </fill>
    <fill>
      <patternFill patternType="solid">
        <fgColor rgb="FF2F65A7"/>
        <bgColor rgb="FF2F65A7"/>
      </patternFill>
    </fill>
    <fill>
      <patternFill patternType="solid">
        <fgColor rgb="FFE2EFDA"/>
        <bgColor rgb="FFE2EFDA"/>
      </patternFill>
    </fill>
    <fill>
      <patternFill patternType="solid">
        <fgColor rgb="FFB8D0E8"/>
        <bgColor rgb="FFB8D0E8"/>
      </patternFill>
    </fill>
    <fill>
      <patternFill patternType="solid">
        <fgColor rgb="FF666666"/>
        <bgColor rgb="FF666666"/>
      </patternFill>
    </fill>
    <fill>
      <patternFill patternType="solid">
        <fgColor rgb="FF203B69"/>
        <bgColor rgb="FF203B69"/>
      </patternFill>
    </fill>
    <fill>
      <patternFill patternType="solid">
        <fgColor rgb="FF595959"/>
        <bgColor rgb="FF595959"/>
      </patternFill>
    </fill>
  </fills>
  <borders count="18">
    <border/>
    <border>
      <left style="thin">
        <color rgb="FFAAAAAA"/>
      </left>
      <top style="thin">
        <color rgb="FFAAAAAA"/>
      </top>
      <bottom style="thin">
        <color rgb="FFAAAAAA"/>
      </bottom>
    </border>
    <border>
      <top style="thin">
        <color rgb="FFAAAAAA"/>
      </top>
      <bottom style="thin">
        <color rgb="FFAAAAAA"/>
      </bottom>
    </border>
    <border>
      <right style="thin">
        <color rgb="FFAAAAAA"/>
      </right>
      <top style="thin">
        <color rgb="FFAAAAAA"/>
      </top>
      <bottom style="thin">
        <color rgb="FFAAAAAA"/>
      </bottom>
    </border>
    <border>
      <left style="thin">
        <color rgb="FFAAAAAA"/>
      </left>
      <right style="thin">
        <color rgb="FFAAAAAA"/>
      </right>
      <top style="thin">
        <color rgb="FFAAAAAA"/>
      </top>
      <bottom style="thin">
        <color rgb="FFAAAAAA"/>
      </bottom>
    </border>
    <border>
      <left style="thin">
        <color rgb="FFB4C6E7"/>
      </left>
      <right style="thin">
        <color rgb="FFD9E2F3"/>
      </right>
      <top style="thin">
        <color rgb="FFB4C6E7"/>
      </top>
      <bottom style="thin">
        <color rgb="FFD9E2F3"/>
      </bottom>
    </border>
    <border>
      <left style="thin">
        <color rgb="FFD9E2F3"/>
      </left>
      <right style="thin">
        <color rgb="FFB4C6E7"/>
      </right>
      <top style="thin">
        <color rgb="FFB4C6E7"/>
      </top>
      <bottom style="thin">
        <color rgb="FFD9E2F3"/>
      </bottom>
    </border>
    <border>
      <left style="thin">
        <color rgb="FFB4C6E7"/>
      </left>
      <right style="thin">
        <color rgb="FFD9E2F3"/>
      </right>
      <top style="thin">
        <color rgb="FFD9E2F3"/>
      </top>
      <bottom style="thin">
        <color rgb="FFD9E2F3"/>
      </bottom>
    </border>
    <border>
      <left style="thin">
        <color rgb="FFD9E2F3"/>
      </left>
      <right style="thin">
        <color rgb="FFB4C6E7"/>
      </right>
      <top style="thin">
        <color rgb="FFD9E2F3"/>
      </top>
      <bottom style="thin">
        <color rgb="FFD9E2F3"/>
      </bottom>
    </border>
    <border>
      <bottom style="thick">
        <color rgb="FF1F3864"/>
      </bottom>
    </border>
    <border>
      <left style="thin">
        <color rgb="FFB4C6E7"/>
      </left>
      <right style="thin">
        <color rgb="FFD9E2F3"/>
      </right>
      <top style="thin">
        <color rgb="FFD9E2F3"/>
      </top>
      <bottom style="thin">
        <color rgb="FFB4C6E7"/>
      </bottom>
    </border>
    <border>
      <left style="thin">
        <color rgb="FFD9E2F3"/>
      </left>
      <right style="thin">
        <color rgb="FFB4C6E7"/>
      </right>
      <top style="thin">
        <color rgb="FFD9E2F3"/>
      </top>
      <bottom style="thin">
        <color rgb="FFB4C6E7"/>
      </bottom>
    </border>
    <border>
      <top style="thin">
        <color rgb="FFAAAAAA"/>
      </top>
    </border>
    <border>
      <right style="thin">
        <color rgb="FFAAAAAA"/>
      </right>
      <top style="thin">
        <color rgb="FFAAAAAA"/>
      </top>
    </border>
    <border>
      <right style="thin">
        <color rgb="FFAAAAAA"/>
      </right>
    </border>
    <border>
      <left style="thin">
        <color rgb="FFAAAAAA"/>
      </left>
      <bottom style="thin">
        <color rgb="FFAAAAAA"/>
      </bottom>
    </border>
    <border>
      <bottom style="thin">
        <color rgb="FFAAAAAA"/>
      </bottom>
    </border>
    <border>
      <right style="thin">
        <color rgb="FFAAAAAA"/>
      </right>
      <bottom style="thin">
        <color rgb="FFAAAAAA"/>
      </bottom>
    </border>
  </borders>
  <cellStyleXfs count="1">
    <xf borderId="0" fillId="0" fontId="0" numFmtId="0" applyAlignment="1" applyFont="1"/>
  </cellStyleXfs>
  <cellXfs count="180">
    <xf borderId="0" fillId="0" fontId="0" numFmtId="0" xfId="0" applyAlignment="1" applyFont="1">
      <alignment readingOrder="0" shrinkToFit="0" vertical="bottom" wrapText="0"/>
    </xf>
    <xf borderId="0" fillId="0" fontId="1" numFmtId="0" xfId="0" applyAlignment="1" applyFont="1">
      <alignment vertical="bottom"/>
    </xf>
    <xf borderId="0" fillId="0" fontId="1" numFmtId="0" xfId="0" applyAlignment="1" applyFont="1">
      <alignment shrinkToFit="0" vertical="bottom" wrapText="1"/>
    </xf>
    <xf borderId="1" fillId="2" fontId="2" numFmtId="0" xfId="0" applyAlignment="1" applyBorder="1" applyFill="1" applyFont="1">
      <alignment horizontal="left" vertical="center"/>
    </xf>
    <xf borderId="0" fillId="0" fontId="1" numFmtId="0" xfId="0" applyFont="1"/>
    <xf borderId="2" fillId="0" fontId="3" numFmtId="0" xfId="0" applyBorder="1" applyFont="1"/>
    <xf borderId="3" fillId="0" fontId="3" numFmtId="0" xfId="0" applyBorder="1" applyFont="1"/>
    <xf borderId="0" fillId="0" fontId="4" numFmtId="0" xfId="0" applyAlignment="1" applyFont="1">
      <alignment horizontal="left" shrinkToFit="0" vertical="center" wrapText="1"/>
    </xf>
    <xf borderId="0" fillId="0" fontId="5" numFmtId="0" xfId="0" applyAlignment="1" applyFont="1">
      <alignment horizontal="left" shrinkToFit="0" vertical="center" wrapText="1"/>
    </xf>
    <xf borderId="4" fillId="3" fontId="6" numFmtId="0" xfId="0" applyAlignment="1" applyBorder="1" applyFill="1" applyFont="1">
      <alignment horizontal="center" shrinkToFit="0" vertical="center" wrapText="1"/>
    </xf>
    <xf borderId="5" fillId="4" fontId="7" numFmtId="0" xfId="0" applyAlignment="1" applyBorder="1" applyFill="1" applyFont="1">
      <alignment shrinkToFit="0" vertical="top" wrapText="1"/>
    </xf>
    <xf borderId="6" fillId="5" fontId="8" numFmtId="0" xfId="0" applyAlignment="1" applyBorder="1" applyFill="1" applyFont="1">
      <alignment shrinkToFit="0" vertical="top" wrapText="1"/>
    </xf>
    <xf borderId="4" fillId="6" fontId="8" numFmtId="0" xfId="0" applyAlignment="1" applyBorder="1" applyFill="1" applyFont="1">
      <alignment shrinkToFit="0" vertical="center" wrapText="1"/>
    </xf>
    <xf borderId="7" fillId="4" fontId="7" numFmtId="0" xfId="0" applyAlignment="1" applyBorder="1" applyFill="1" applyFont="1">
      <alignment shrinkToFit="0" vertical="top" wrapText="1"/>
    </xf>
    <xf borderId="8" fillId="5" fontId="8" numFmtId="0" xfId="0" applyAlignment="1" applyBorder="1" applyFill="1" applyFont="1">
      <alignment shrinkToFit="0" vertical="top" wrapText="1"/>
    </xf>
    <xf borderId="1" fillId="3" fontId="6" numFmtId="0" xfId="0" applyAlignment="1" applyBorder="1" applyFill="1" applyFont="1">
      <alignment horizontal="left" vertical="center"/>
    </xf>
    <xf borderId="4" fillId="5" fontId="8" numFmtId="0" xfId="0" applyAlignment="1" applyBorder="1" applyFill="1" applyFont="1">
      <alignment shrinkToFit="0" vertical="center" wrapText="1"/>
    </xf>
    <xf borderId="9" fillId="0" fontId="1" numFmtId="0" xfId="0" applyAlignment="1" applyBorder="1" applyFont="1">
      <alignment vertical="bottom"/>
    </xf>
    <xf borderId="8" fillId="5" fontId="9" numFmtId="0" xfId="0" applyAlignment="1" applyBorder="1" applyFill="1" applyFont="1">
      <alignment shrinkToFit="0" vertical="top" wrapText="1"/>
    </xf>
    <xf borderId="7" fillId="4" fontId="7" numFmtId="0" xfId="0" applyAlignment="1" applyBorder="1" applyFill="1" applyFont="1">
      <alignment horizontal="left" shrinkToFit="0" vertical="top" wrapText="1"/>
    </xf>
    <xf borderId="0" fillId="0" fontId="10" numFmtId="0" xfId="0" applyFont="1"/>
    <xf borderId="10" fillId="4" fontId="7" numFmtId="0" xfId="0" applyAlignment="1" applyBorder="1" applyFill="1" applyFont="1">
      <alignment shrinkToFit="0" vertical="top" wrapText="1"/>
    </xf>
    <xf borderId="11" fillId="5" fontId="8" numFmtId="0" xfId="0" applyAlignment="1" applyBorder="1" applyFill="1" applyFont="1">
      <alignment shrinkToFit="0" vertical="top" wrapText="1"/>
    </xf>
    <xf borderId="4" fillId="7" fontId="11" numFmtId="0" xfId="0" applyAlignment="1" applyBorder="1" applyFill="1" applyFont="1">
      <alignment shrinkToFit="0" vertical="bottom" wrapText="1"/>
    </xf>
    <xf borderId="4" fillId="7" fontId="12" numFmtId="0" xfId="0" applyAlignment="1" applyBorder="1" applyFill="1" applyFont="1">
      <alignment shrinkToFit="0" vertical="bottom" wrapText="1"/>
    </xf>
    <xf borderId="4" fillId="5" fontId="11" numFmtId="0" xfId="0" applyAlignment="1" applyBorder="1" applyFill="1" applyFont="1">
      <alignment shrinkToFit="0" vertical="bottom" wrapText="1"/>
    </xf>
    <xf borderId="4" fillId="5" fontId="12" numFmtId="0" xfId="0" applyAlignment="1" applyBorder="1" applyFill="1" applyFont="1">
      <alignment shrinkToFit="0" vertical="bottom" wrapText="1"/>
    </xf>
    <xf borderId="1" fillId="8" fontId="13" numFmtId="0" xfId="0" applyAlignment="1" applyBorder="1" applyFill="1" applyFont="1">
      <alignment shrinkToFit="0" vertical="center" wrapText="1"/>
    </xf>
    <xf borderId="0" fillId="0" fontId="1" numFmtId="0" xfId="0" applyAlignment="1" applyFont="1">
      <alignment shrinkToFit="0" vertical="top" wrapText="1"/>
    </xf>
    <xf borderId="0" fillId="0" fontId="8" numFmtId="0" xfId="0" applyAlignment="1" applyFont="1">
      <alignment shrinkToFit="0" vertical="top" wrapText="1"/>
    </xf>
    <xf borderId="1" fillId="7" fontId="13" numFmtId="0" xfId="0" applyAlignment="1" applyBorder="1" applyFill="1" applyFont="1">
      <alignment shrinkToFit="0" vertical="center" wrapText="1"/>
    </xf>
    <xf borderId="4" fillId="6" fontId="8" numFmtId="0" xfId="0" applyAlignment="1" applyBorder="1" applyFill="1" applyFont="1">
      <alignment shrinkToFit="0" vertical="top" wrapText="1"/>
    </xf>
    <xf borderId="4" fillId="6" fontId="14" numFmtId="0" xfId="0" applyAlignment="1" applyBorder="1" applyFill="1" applyFont="1">
      <alignment shrinkToFit="0" vertical="top" wrapText="1"/>
    </xf>
    <xf borderId="1" fillId="6" fontId="8" numFmtId="0" xfId="0" applyAlignment="1" applyBorder="1" applyFill="1" applyFont="1">
      <alignment shrinkToFit="0" vertical="top" wrapText="1"/>
    </xf>
    <xf borderId="4" fillId="5" fontId="8" numFmtId="0" xfId="0" applyAlignment="1" applyBorder="1" applyFill="1" applyFont="1">
      <alignment shrinkToFit="0" vertical="top" wrapText="1"/>
    </xf>
    <xf borderId="4" fillId="5" fontId="14" numFmtId="0" xfId="0" applyAlignment="1" applyBorder="1" applyFill="1" applyFont="1">
      <alignment shrinkToFit="0" vertical="top" wrapText="1"/>
    </xf>
    <xf borderId="1" fillId="5" fontId="8" numFmtId="0" xfId="0" applyAlignment="1" applyBorder="1" applyFill="1" applyFont="1">
      <alignment shrinkToFit="0" vertical="top" wrapText="1"/>
    </xf>
    <xf borderId="1" fillId="6" fontId="8" numFmtId="0" xfId="0" applyAlignment="1" applyBorder="1" applyFill="1" applyFont="1">
      <alignment shrinkToFit="0" vertical="center" wrapText="1"/>
    </xf>
    <xf borderId="1" fillId="5" fontId="8" numFmtId="0" xfId="0" applyAlignment="1" applyBorder="1" applyFill="1" applyFont="1">
      <alignment shrinkToFit="0" vertical="center" wrapText="1"/>
    </xf>
    <xf borderId="0" fillId="2" fontId="15" numFmtId="0" xfId="0" applyAlignment="1" applyFill="1" applyFont="1">
      <alignment horizontal="left" shrinkToFit="0" vertical="center" wrapText="1"/>
    </xf>
    <xf borderId="0" fillId="9" fontId="16" numFmtId="0" xfId="0" applyAlignment="1" applyFill="1" applyFont="1">
      <alignment shrinkToFit="0" vertical="center" wrapText="1"/>
    </xf>
    <xf borderId="0" fillId="0" fontId="1" numFmtId="0" xfId="0" applyAlignment="1" applyFont="1">
      <alignment shrinkToFit="0" wrapText="1"/>
    </xf>
    <xf borderId="0" fillId="10" fontId="17" numFmtId="0" xfId="0" applyAlignment="1" applyFill="1" applyFont="1">
      <alignment shrinkToFit="0" vertical="center" wrapText="1"/>
    </xf>
    <xf borderId="0" fillId="10" fontId="18" numFmtId="0" xfId="0" applyAlignment="1" applyFill="1" applyFont="1">
      <alignment shrinkToFit="0" wrapText="1"/>
    </xf>
    <xf borderId="0" fillId="3" fontId="2" numFmtId="0" xfId="0" applyAlignment="1" applyFill="1" applyFont="1">
      <alignment horizontal="left" shrinkToFit="0" vertical="center" wrapText="1"/>
    </xf>
    <xf borderId="0" fillId="11" fontId="13" numFmtId="0" xfId="0" applyAlignment="1" applyFill="1" applyFont="1">
      <alignment shrinkToFit="0" vertical="center" wrapText="1"/>
    </xf>
    <xf borderId="4" fillId="12" fontId="6" numFmtId="0" xfId="0" applyAlignment="1" applyBorder="1" applyFill="1" applyFont="1">
      <alignment horizontal="center" shrinkToFit="0" vertical="center" wrapText="1"/>
    </xf>
    <xf borderId="2" fillId="12" fontId="2" numFmtId="0" xfId="0" applyAlignment="1" applyBorder="1" applyFill="1" applyFont="1">
      <alignment horizontal="center" shrinkToFit="0" vertical="center" wrapText="1"/>
    </xf>
    <xf borderId="3" fillId="12" fontId="2" numFmtId="0" xfId="0" applyAlignment="1" applyBorder="1" applyFill="1" applyFont="1">
      <alignment horizontal="center" shrinkToFit="0" vertical="center" wrapText="1"/>
    </xf>
    <xf borderId="0" fillId="0" fontId="1" numFmtId="2" xfId="0" applyAlignment="1" applyFont="1" applyNumberFormat="1">
      <alignment shrinkToFit="0" wrapText="1"/>
    </xf>
    <xf borderId="0" fillId="13" fontId="13" numFmtId="0" xfId="0" applyAlignment="1" applyFill="1" applyFont="1">
      <alignment shrinkToFit="0" vertical="center" wrapText="1"/>
    </xf>
    <xf borderId="4" fillId="6" fontId="8" numFmtId="0" xfId="0" applyAlignment="1" applyBorder="1" applyFill="1" applyFont="1">
      <alignment horizontal="left" shrinkToFit="0" vertical="center" wrapText="1"/>
    </xf>
    <xf borderId="4" fillId="6" fontId="8" numFmtId="0" xfId="0" applyAlignment="1" applyBorder="1" applyFill="1" applyFont="1">
      <alignment horizontal="center" shrinkToFit="0" vertical="center" wrapText="1"/>
    </xf>
    <xf borderId="0" fillId="13" fontId="19" numFmtId="0" xfId="0" applyAlignment="1" applyFill="1" applyFont="1">
      <alignment shrinkToFit="0" vertical="top" wrapText="1"/>
    </xf>
    <xf borderId="0" fillId="7" fontId="13" numFmtId="0" xfId="0" applyAlignment="1" applyFill="1" applyFont="1">
      <alignment shrinkToFit="0" vertical="center" wrapText="1"/>
    </xf>
    <xf borderId="0" fillId="14" fontId="7" numFmtId="0" xfId="0" applyAlignment="1" applyFill="1" applyFont="1">
      <alignment shrinkToFit="0" vertical="center" wrapText="1"/>
    </xf>
    <xf borderId="4" fillId="5" fontId="8" numFmtId="0" xfId="0" applyAlignment="1" applyBorder="1" applyFill="1" applyFont="1">
      <alignment horizontal="left" shrinkToFit="0" vertical="center" wrapText="1"/>
    </xf>
    <xf borderId="4" fillId="5" fontId="8" numFmtId="0" xfId="0" applyAlignment="1" applyBorder="1" applyFill="1" applyFont="1">
      <alignment horizontal="center" shrinkToFit="0" vertical="center" wrapText="1"/>
    </xf>
    <xf borderId="0" fillId="14" fontId="7" numFmtId="0" xfId="0" applyAlignment="1" applyFill="1" applyFont="1">
      <alignment shrinkToFit="0" vertical="top" wrapText="1"/>
    </xf>
    <xf borderId="4" fillId="12" fontId="6" numFmtId="0" xfId="0" applyAlignment="1" applyBorder="1" applyFill="1" applyFont="1">
      <alignment horizontal="center" shrinkToFit="0" vertical="top" wrapText="1"/>
    </xf>
    <xf borderId="4" fillId="6" fontId="14" numFmtId="0" xfId="0" applyAlignment="1" applyBorder="1" applyFill="1" applyFont="1">
      <alignment horizontal="left" shrinkToFit="0" vertical="center" wrapText="1"/>
    </xf>
    <xf borderId="4" fillId="6" fontId="13" numFmtId="0" xfId="0" applyAlignment="1" applyBorder="1" applyFill="1" applyFont="1">
      <alignment shrinkToFit="0" vertical="center" wrapText="1"/>
    </xf>
    <xf borderId="4" fillId="5" fontId="14" numFmtId="0" xfId="0" applyAlignment="1" applyBorder="1" applyFill="1" applyFont="1">
      <alignment horizontal="left" shrinkToFit="0" vertical="center" wrapText="1"/>
    </xf>
    <xf borderId="4" fillId="5" fontId="13" numFmtId="0" xfId="0" applyAlignment="1" applyBorder="1" applyFill="1" applyFont="1">
      <alignment shrinkToFit="0" vertical="center" wrapText="1"/>
    </xf>
    <xf borderId="12" fillId="0" fontId="1" numFmtId="0" xfId="0" applyAlignment="1" applyBorder="1" applyFont="1">
      <alignment shrinkToFit="0" vertical="top" wrapText="1"/>
    </xf>
    <xf borderId="13" fillId="0" fontId="1" numFmtId="0" xfId="0" applyAlignment="1" applyBorder="1" applyFont="1">
      <alignment shrinkToFit="0" vertical="top" wrapText="1"/>
    </xf>
    <xf borderId="14" fillId="0" fontId="1" numFmtId="0" xfId="0" applyAlignment="1" applyBorder="1" applyFont="1">
      <alignment shrinkToFit="0" vertical="top" wrapText="1"/>
    </xf>
    <xf borderId="0" fillId="15" fontId="6" numFmtId="0" xfId="0" applyAlignment="1" applyFill="1" applyFont="1">
      <alignment horizontal="left" shrinkToFit="0" vertical="center" wrapText="1"/>
    </xf>
    <xf borderId="0" fillId="15" fontId="2" numFmtId="0" xfId="0" applyAlignment="1" applyFill="1" applyFont="1">
      <alignment shrinkToFit="0" vertical="bottom" wrapText="1"/>
    </xf>
    <xf borderId="15" fillId="0" fontId="8" numFmtId="0" xfId="0" applyAlignment="1" applyBorder="1" applyFont="1">
      <alignment shrinkToFit="0" vertical="top" wrapText="1"/>
    </xf>
    <xf borderId="16" fillId="0" fontId="8" numFmtId="0" xfId="0" applyAlignment="1" applyBorder="1" applyFont="1">
      <alignment shrinkToFit="0" vertical="top" wrapText="1"/>
    </xf>
    <xf borderId="16" fillId="0" fontId="1" numFmtId="0" xfId="0" applyAlignment="1" applyBorder="1" applyFont="1">
      <alignment shrinkToFit="0" vertical="top" wrapText="1"/>
    </xf>
    <xf borderId="17" fillId="0" fontId="1" numFmtId="0" xfId="0" applyAlignment="1" applyBorder="1" applyFont="1">
      <alignment shrinkToFit="0" vertical="top" wrapText="1"/>
    </xf>
    <xf borderId="0" fillId="2" fontId="6" numFmtId="0" xfId="0" applyAlignment="1" applyFill="1" applyFont="1">
      <alignment horizontal="left" shrinkToFit="0" vertical="center" wrapText="1"/>
    </xf>
    <xf borderId="0" fillId="2" fontId="6" numFmtId="0" xfId="0" applyAlignment="1" applyFill="1" applyFont="1">
      <alignment shrinkToFit="0" wrapText="1"/>
    </xf>
    <xf borderId="4" fillId="2" fontId="6" numFmtId="0" xfId="0" applyAlignment="1" applyBorder="1" applyFill="1" applyFont="1">
      <alignment horizontal="center" shrinkToFit="0" vertical="center" wrapText="1"/>
    </xf>
    <xf borderId="0" fillId="5" fontId="8" numFmtId="0" xfId="0" applyAlignment="1" applyFill="1" applyFont="1">
      <alignment shrinkToFit="0" vertical="top" wrapText="1"/>
    </xf>
    <xf borderId="4" fillId="4" fontId="8" numFmtId="0" xfId="0" applyAlignment="1" applyBorder="1" applyFill="1" applyFont="1">
      <alignment shrinkToFit="0" vertical="top" wrapText="1"/>
    </xf>
    <xf borderId="0" fillId="4" fontId="8" numFmtId="0" xfId="0" applyAlignment="1" applyFill="1" applyFont="1">
      <alignment shrinkToFit="0" vertical="top" wrapText="1"/>
    </xf>
    <xf borderId="0" fillId="12" fontId="15" numFmtId="0" xfId="0" applyAlignment="1" applyFill="1" applyFont="1">
      <alignment shrinkToFit="0" vertical="center" wrapText="1"/>
    </xf>
    <xf borderId="0" fillId="10" fontId="18" numFmtId="0" xfId="0" applyAlignment="1" applyFill="1" applyFont="1">
      <alignment shrinkToFit="0" vertical="bottom" wrapText="1"/>
    </xf>
    <xf borderId="0" fillId="2" fontId="6" numFmtId="0" xfId="0" applyAlignment="1" applyFill="1" applyFont="1">
      <alignment horizontal="center" shrinkToFit="0" vertical="center" wrapText="1"/>
    </xf>
    <xf borderId="4" fillId="5" fontId="8" numFmtId="164" xfId="0" applyAlignment="1" applyBorder="1" applyFill="1" applyFont="1" applyNumberFormat="1">
      <alignment shrinkToFit="0" vertical="top" wrapText="1"/>
    </xf>
    <xf borderId="0" fillId="2" fontId="6" numFmtId="0" xfId="0" applyAlignment="1" applyFill="1" applyFont="1">
      <alignment shrinkToFit="0" vertical="center" wrapText="1"/>
    </xf>
    <xf borderId="0" fillId="5" fontId="9" numFmtId="0" xfId="0" applyAlignment="1" applyFill="1" applyFont="1">
      <alignment shrinkToFit="0" vertical="top" wrapText="1"/>
    </xf>
    <xf borderId="0" fillId="4" fontId="9" numFmtId="0" xfId="0" applyAlignment="1" applyFill="1" applyFont="1">
      <alignment shrinkToFit="0" vertical="top" wrapText="1"/>
    </xf>
    <xf borderId="0" fillId="12" fontId="15" numFmtId="0" xfId="0" applyAlignment="1" applyFill="1" applyFont="1">
      <alignment horizontal="left" shrinkToFit="0" vertical="center" wrapText="1"/>
    </xf>
    <xf borderId="0" fillId="5" fontId="9" numFmtId="0" xfId="0" applyAlignment="1" applyFill="1" applyFont="1">
      <alignment horizontal="left" shrinkToFit="0" vertical="top" wrapText="1"/>
    </xf>
    <xf borderId="0" fillId="0" fontId="8" numFmtId="0" xfId="0" applyAlignment="1" applyFont="1">
      <alignment horizontal="left" shrinkToFit="0" vertical="top" wrapText="1"/>
    </xf>
    <xf borderId="0" fillId="4" fontId="9" numFmtId="0" xfId="0" applyAlignment="1" applyFill="1" applyFont="1">
      <alignment horizontal="left" shrinkToFit="0" vertical="top" wrapText="1"/>
    </xf>
    <xf borderId="0" fillId="4" fontId="1" numFmtId="0" xfId="0" applyAlignment="1" applyFill="1" applyFont="1">
      <alignment vertical="bottom"/>
    </xf>
    <xf borderId="4" fillId="6" fontId="14" numFmtId="0" xfId="0" applyAlignment="1" applyBorder="1" applyFill="1" applyFont="1">
      <alignment shrinkToFit="0" vertical="center" wrapText="1"/>
    </xf>
    <xf borderId="4" fillId="6" fontId="20" numFmtId="2" xfId="0" applyAlignment="1" applyBorder="1" applyFill="1" applyFont="1" applyNumberFormat="1">
      <alignment horizontal="center" shrinkToFit="0" vertical="center" wrapText="1"/>
    </xf>
    <xf borderId="4" fillId="6" fontId="9" numFmtId="2" xfId="0" applyAlignment="1" applyBorder="1" applyFill="1" applyFont="1" applyNumberFormat="1">
      <alignment horizontal="center" shrinkToFit="0" vertical="center" wrapText="1"/>
    </xf>
    <xf borderId="4" fillId="6" fontId="21" numFmtId="1" xfId="0" applyAlignment="1" applyBorder="1" applyFill="1" applyFont="1" applyNumberFormat="1">
      <alignment horizontal="center" shrinkToFit="0" vertical="center" wrapText="1"/>
    </xf>
    <xf borderId="0" fillId="0" fontId="1" numFmtId="1" xfId="0" applyAlignment="1" applyFont="1" applyNumberFormat="1">
      <alignment shrinkToFit="0" wrapText="1"/>
    </xf>
    <xf borderId="0" fillId="0" fontId="8" numFmtId="164" xfId="0" applyAlignment="1" applyFont="1" applyNumberFormat="1">
      <alignment shrinkToFit="0" vertical="top" wrapText="1"/>
    </xf>
    <xf borderId="4" fillId="5" fontId="14" numFmtId="0" xfId="0" applyAlignment="1" applyBorder="1" applyFill="1" applyFont="1">
      <alignment shrinkToFit="0" vertical="center" wrapText="1"/>
    </xf>
    <xf borderId="4" fillId="5" fontId="20" numFmtId="2" xfId="0" applyAlignment="1" applyBorder="1" applyFill="1" applyFont="1" applyNumberFormat="1">
      <alignment horizontal="center" shrinkToFit="0" vertical="center" wrapText="1"/>
    </xf>
    <xf borderId="4" fillId="5" fontId="9" numFmtId="2" xfId="0" applyAlignment="1" applyBorder="1" applyFill="1" applyFont="1" applyNumberFormat="1">
      <alignment horizontal="center" shrinkToFit="0" vertical="center" wrapText="1"/>
    </xf>
    <xf borderId="4" fillId="5" fontId="21" numFmtId="1" xfId="0" applyAlignment="1" applyBorder="1" applyFill="1" applyFont="1" applyNumberFormat="1">
      <alignment horizontal="center" shrinkToFit="0" vertical="center" wrapText="1"/>
    </xf>
    <xf borderId="0" fillId="5" fontId="22" numFmtId="0" xfId="0" applyAlignment="1" applyFill="1" applyFont="1">
      <alignment shrinkToFit="0" vertical="top" wrapText="1"/>
    </xf>
    <xf borderId="0" fillId="12" fontId="2" numFmtId="0" xfId="0" applyAlignment="1" applyFill="1" applyFont="1">
      <alignment horizontal="left" shrinkToFit="0" vertical="center" wrapText="1"/>
    </xf>
    <xf borderId="0" fillId="5" fontId="23" numFmtId="0" xfId="0" applyAlignment="1" applyFill="1" applyFont="1">
      <alignment shrinkToFit="0" vertical="center" wrapText="1"/>
    </xf>
    <xf borderId="4" fillId="3" fontId="6" numFmtId="0" xfId="0" applyAlignment="1" applyBorder="1" applyFill="1" applyFont="1">
      <alignment horizontal="center" shrinkToFit="0" vertical="top" wrapText="1"/>
    </xf>
    <xf borderId="0" fillId="16" fontId="6" numFmtId="0" xfId="0" applyAlignment="1" applyFill="1" applyFont="1">
      <alignment horizontal="center" shrinkToFit="0" vertical="center" wrapText="1"/>
    </xf>
    <xf borderId="0" fillId="17" fontId="6" numFmtId="0" xfId="0" applyAlignment="1" applyFill="1" applyFont="1">
      <alignment horizontal="left" shrinkToFit="0" vertical="center" wrapText="1"/>
    </xf>
    <xf borderId="4" fillId="6" fontId="14" numFmtId="0" xfId="0" applyAlignment="1" applyBorder="1" applyFill="1" applyFont="1">
      <alignment shrinkToFit="0" vertical="bottom" wrapText="1"/>
    </xf>
    <xf borderId="4" fillId="6" fontId="8" numFmtId="0" xfId="0" applyAlignment="1" applyBorder="1" applyFill="1" applyFont="1">
      <alignment shrinkToFit="0" vertical="bottom" wrapText="1"/>
    </xf>
    <xf borderId="4" fillId="5" fontId="14" numFmtId="0" xfId="0" applyAlignment="1" applyBorder="1" applyFill="1" applyFont="1">
      <alignment shrinkToFit="0" vertical="bottom" wrapText="1"/>
    </xf>
    <xf borderId="4" fillId="5" fontId="8" numFmtId="0" xfId="0" applyAlignment="1" applyBorder="1" applyFill="1" applyFont="1">
      <alignment shrinkToFit="0" vertical="bottom" wrapText="1"/>
    </xf>
    <xf borderId="4" fillId="6" fontId="9" numFmtId="0" xfId="0" applyAlignment="1" applyBorder="1" applyFill="1" applyFont="1">
      <alignment shrinkToFit="0" vertical="top" wrapText="1"/>
    </xf>
    <xf borderId="4" fillId="5" fontId="9" numFmtId="0" xfId="0" applyAlignment="1" applyBorder="1" applyFill="1" applyFont="1">
      <alignment shrinkToFit="0" vertical="top" wrapText="1"/>
    </xf>
    <xf borderId="4" fillId="8" fontId="14" numFmtId="0" xfId="0" applyAlignment="1" applyBorder="1" applyFill="1" applyFont="1">
      <alignment shrinkToFit="0" vertical="top" wrapText="1"/>
    </xf>
    <xf borderId="4" fillId="8" fontId="24" numFmtId="0" xfId="0" applyAlignment="1" applyBorder="1" applyFill="1" applyFont="1">
      <alignment shrinkToFit="0" vertical="top" wrapText="1"/>
    </xf>
    <xf borderId="4" fillId="6" fontId="8" numFmtId="164" xfId="0" applyAlignment="1" applyBorder="1" applyFill="1" applyFont="1" applyNumberFormat="1">
      <alignment shrinkToFit="0" vertical="center" wrapText="1"/>
    </xf>
    <xf borderId="4" fillId="5" fontId="8" numFmtId="164" xfId="0" applyAlignment="1" applyBorder="1" applyFill="1" applyFont="1" applyNumberFormat="1">
      <alignment shrinkToFit="0" vertical="center" wrapText="1"/>
    </xf>
    <xf borderId="1" fillId="12" fontId="15" numFmtId="0" xfId="0" applyAlignment="1" applyBorder="1" applyFill="1" applyFont="1">
      <alignment horizontal="left" shrinkToFit="0" vertical="center" wrapText="1"/>
    </xf>
    <xf borderId="4" fillId="5" fontId="8" numFmtId="165" xfId="0" applyAlignment="1" applyBorder="1" applyFill="1" applyFont="1" applyNumberFormat="1">
      <alignment shrinkToFit="0" vertical="top" wrapText="1"/>
    </xf>
    <xf borderId="4" fillId="5" fontId="8" numFmtId="1" xfId="0" applyAlignment="1" applyBorder="1" applyFill="1" applyFont="1" applyNumberFormat="1">
      <alignment shrinkToFit="0" vertical="top" wrapText="1"/>
    </xf>
    <xf borderId="4" fillId="5" fontId="8" numFmtId="166" xfId="0" applyAlignment="1" applyBorder="1" applyFill="1" applyFont="1" applyNumberFormat="1">
      <alignment shrinkToFit="0" vertical="top" wrapText="1"/>
    </xf>
    <xf borderId="0" fillId="5" fontId="8" numFmtId="166" xfId="0" applyAlignment="1" applyFill="1" applyFont="1" applyNumberFormat="1">
      <alignment shrinkToFit="0" vertical="top" wrapText="1"/>
    </xf>
    <xf borderId="4" fillId="4" fontId="8" numFmtId="165" xfId="0" applyAlignment="1" applyBorder="1" applyFill="1" applyFont="1" applyNumberFormat="1">
      <alignment shrinkToFit="0" vertical="top" wrapText="1"/>
    </xf>
    <xf borderId="4" fillId="4" fontId="8" numFmtId="1" xfId="0" applyAlignment="1" applyBorder="1" applyFill="1" applyFont="1" applyNumberFormat="1">
      <alignment shrinkToFit="0" vertical="top" wrapText="1"/>
    </xf>
    <xf borderId="4" fillId="4" fontId="8" numFmtId="166" xfId="0" applyAlignment="1" applyBorder="1" applyFill="1" applyFont="1" applyNumberFormat="1">
      <alignment shrinkToFit="0" vertical="top" wrapText="1"/>
    </xf>
    <xf borderId="0" fillId="4" fontId="8" numFmtId="166" xfId="0" applyAlignment="1" applyFill="1" applyFont="1" applyNumberFormat="1">
      <alignment shrinkToFit="0" vertical="top" wrapText="1"/>
    </xf>
    <xf borderId="1" fillId="4" fontId="25" numFmtId="0" xfId="0" applyAlignment="1" applyBorder="1" applyFill="1" applyFont="1">
      <alignment shrinkToFit="0" vertical="top" wrapText="1"/>
    </xf>
    <xf borderId="2" fillId="4" fontId="8" numFmtId="0" xfId="0" applyAlignment="1" applyBorder="1" applyFill="1" applyFont="1">
      <alignment shrinkToFit="0" vertical="top" wrapText="1"/>
    </xf>
    <xf borderId="2" fillId="4" fontId="8" numFmtId="165" xfId="0" applyAlignment="1" applyBorder="1" applyFill="1" applyFont="1" applyNumberFormat="1">
      <alignment shrinkToFit="0" vertical="top" wrapText="1"/>
    </xf>
    <xf borderId="2" fillId="4" fontId="8" numFmtId="1" xfId="0" applyAlignment="1" applyBorder="1" applyFill="1" applyFont="1" applyNumberFormat="1">
      <alignment shrinkToFit="0" vertical="top" wrapText="1"/>
    </xf>
    <xf borderId="2" fillId="4" fontId="8" numFmtId="166" xfId="0" applyAlignment="1" applyBorder="1" applyFill="1" applyFont="1" applyNumberFormat="1">
      <alignment shrinkToFit="0" vertical="top" wrapText="1"/>
    </xf>
    <xf borderId="3" fillId="4" fontId="8" numFmtId="0" xfId="0" applyAlignment="1" applyBorder="1" applyFill="1" applyFont="1">
      <alignment shrinkToFit="0" vertical="top" wrapText="1"/>
    </xf>
    <xf borderId="1" fillId="5" fontId="8" numFmtId="165" xfId="0" applyAlignment="1" applyBorder="1" applyFill="1" applyFont="1" applyNumberFormat="1">
      <alignment shrinkToFit="0" vertical="top" wrapText="1"/>
    </xf>
    <xf borderId="2" fillId="5" fontId="8" numFmtId="165" xfId="0" applyAlignment="1" applyBorder="1" applyFill="1" applyFont="1" applyNumberFormat="1">
      <alignment shrinkToFit="0" vertical="top" wrapText="1"/>
    </xf>
    <xf borderId="2" fillId="5" fontId="8" numFmtId="1" xfId="0" applyAlignment="1" applyBorder="1" applyFill="1" applyFont="1" applyNumberFormat="1">
      <alignment shrinkToFit="0" vertical="top" wrapText="1"/>
    </xf>
    <xf borderId="2" fillId="5" fontId="8" numFmtId="166" xfId="0" applyAlignment="1" applyBorder="1" applyFill="1" applyFont="1" applyNumberFormat="1">
      <alignment shrinkToFit="0" vertical="top" wrapText="1"/>
    </xf>
    <xf borderId="3" fillId="5" fontId="8" numFmtId="0" xfId="0" applyAlignment="1" applyBorder="1" applyFill="1" applyFont="1">
      <alignment shrinkToFit="0" vertical="top" wrapText="1"/>
    </xf>
    <xf borderId="0" fillId="4" fontId="14" numFmtId="0" xfId="0" applyAlignment="1" applyFill="1" applyFont="1">
      <alignment shrinkToFit="0" vertical="top" wrapText="1"/>
    </xf>
    <xf borderId="0" fillId="4" fontId="14" numFmtId="0" xfId="0" applyAlignment="1" applyFill="1" applyFont="1">
      <alignment shrinkToFit="0" wrapText="1"/>
    </xf>
    <xf borderId="0" fillId="5" fontId="8" numFmtId="165" xfId="0" applyAlignment="1" applyFill="1" applyFont="1" applyNumberFormat="1">
      <alignment shrinkToFit="0" vertical="top" wrapText="1"/>
    </xf>
    <xf borderId="0" fillId="9" fontId="16" numFmtId="0" xfId="0" applyAlignment="1" applyFill="1" applyFont="1">
      <alignment horizontal="left" shrinkToFit="0" vertical="center" wrapText="1"/>
    </xf>
    <xf borderId="4" fillId="6" fontId="8" numFmtId="167" xfId="0" applyAlignment="1" applyBorder="1" applyFill="1" applyFont="1" applyNumberFormat="1">
      <alignment horizontal="center" shrinkToFit="0" vertical="center" wrapText="1"/>
    </xf>
    <xf borderId="4" fillId="5" fontId="8" numFmtId="167" xfId="0" applyAlignment="1" applyBorder="1" applyFill="1" applyFont="1" applyNumberFormat="1">
      <alignment horizontal="center" shrinkToFit="0" vertical="center" wrapText="1"/>
    </xf>
    <xf borderId="0" fillId="2" fontId="15" numFmtId="0" xfId="0" applyAlignment="1" applyFill="1" applyFont="1">
      <alignment horizontal="left" vertical="center"/>
    </xf>
    <xf borderId="0" fillId="3" fontId="2" numFmtId="0" xfId="0" applyAlignment="1" applyFill="1" applyFont="1">
      <alignment horizontal="left" vertical="center"/>
    </xf>
    <xf borderId="15" fillId="0" fontId="1" numFmtId="0" xfId="0" applyAlignment="1" applyBorder="1" applyFont="1">
      <alignment shrinkToFit="0" vertical="top" wrapText="1"/>
    </xf>
    <xf borderId="0" fillId="2" fontId="6" numFmtId="0" xfId="0" applyAlignment="1" applyFill="1" applyFont="1">
      <alignment shrinkToFit="0" vertical="bottom" wrapText="1"/>
    </xf>
    <xf borderId="1" fillId="2" fontId="6" numFmtId="0" xfId="0" applyAlignment="1" applyBorder="1" applyFill="1" applyFont="1">
      <alignment horizontal="left" shrinkToFit="0" vertical="center" wrapText="1"/>
    </xf>
    <xf borderId="4" fillId="5" fontId="9" numFmtId="0" xfId="0" applyAlignment="1" applyBorder="1" applyFill="1" applyFont="1">
      <alignment shrinkToFit="0" vertical="center" wrapText="1"/>
    </xf>
    <xf borderId="4" fillId="6" fontId="9" numFmtId="0" xfId="0" applyAlignment="1" applyBorder="1" applyFill="1" applyFont="1">
      <alignment shrinkToFit="0" vertical="center" wrapText="1"/>
    </xf>
    <xf borderId="1" fillId="5" fontId="23" numFmtId="0" xfId="0" applyAlignment="1" applyBorder="1" applyFill="1" applyFont="1">
      <alignment shrinkToFit="0" vertical="center" wrapText="1"/>
    </xf>
    <xf borderId="2" fillId="5" fontId="23" numFmtId="0" xfId="0" applyAlignment="1" applyBorder="1" applyFill="1" applyFont="1">
      <alignment shrinkToFit="0" vertical="center" wrapText="1"/>
    </xf>
    <xf borderId="3" fillId="5" fontId="23" numFmtId="0" xfId="0" applyAlignment="1" applyBorder="1" applyFill="1" applyFont="1">
      <alignment shrinkToFit="0" vertical="center" wrapText="1"/>
    </xf>
    <xf borderId="1" fillId="6" fontId="23" numFmtId="0" xfId="0" applyAlignment="1" applyBorder="1" applyFill="1" applyFont="1">
      <alignment shrinkToFit="0" vertical="center" wrapText="1"/>
    </xf>
    <xf borderId="2" fillId="6" fontId="23" numFmtId="0" xfId="0" applyAlignment="1" applyBorder="1" applyFill="1" applyFont="1">
      <alignment shrinkToFit="0" vertical="center" wrapText="1"/>
    </xf>
    <xf borderId="3" fillId="6" fontId="23" numFmtId="0" xfId="0" applyAlignment="1" applyBorder="1" applyFill="1" applyFont="1">
      <alignment shrinkToFit="0" vertical="center" wrapText="1"/>
    </xf>
    <xf borderId="0" fillId="5" fontId="22" numFmtId="0" xfId="0" applyAlignment="1" applyFill="1" applyFont="1">
      <alignment horizontal="left" shrinkToFit="0" vertical="center" wrapText="1"/>
    </xf>
    <xf borderId="1" fillId="5" fontId="22" numFmtId="0" xfId="0" applyAlignment="1" applyBorder="1" applyFill="1" applyFont="1">
      <alignment shrinkToFit="0" vertical="center" wrapText="1"/>
    </xf>
    <xf borderId="2" fillId="5" fontId="22" numFmtId="0" xfId="0" applyAlignment="1" applyBorder="1" applyFill="1" applyFont="1">
      <alignment shrinkToFit="0" vertical="center" wrapText="1"/>
    </xf>
    <xf borderId="3" fillId="5" fontId="22" numFmtId="0" xfId="0" applyAlignment="1" applyBorder="1" applyFill="1" applyFont="1">
      <alignment shrinkToFit="0" vertical="center" wrapText="1"/>
    </xf>
    <xf borderId="0" fillId="5" fontId="22" numFmtId="0" xfId="0" applyAlignment="1" applyFill="1" applyFont="1">
      <alignment shrinkToFit="0" vertical="center" wrapText="1"/>
    </xf>
    <xf borderId="1" fillId="10" fontId="26" numFmtId="0" xfId="0" applyAlignment="1" applyBorder="1" applyFill="1" applyFont="1">
      <alignment horizontal="center" shrinkToFit="0" vertical="center" wrapText="1"/>
    </xf>
    <xf borderId="1" fillId="12" fontId="6" numFmtId="0" xfId="0" applyAlignment="1" applyBorder="1" applyFill="1" applyFont="1">
      <alignment horizontal="left" shrinkToFit="0" vertical="center" wrapText="1"/>
    </xf>
    <xf borderId="0" fillId="5" fontId="27" numFmtId="0" xfId="0" applyAlignment="1" applyFill="1" applyFont="1">
      <alignment shrinkToFit="0" vertical="center" wrapText="1"/>
    </xf>
    <xf borderId="1" fillId="5" fontId="28" numFmtId="0" xfId="0" applyAlignment="1" applyBorder="1" applyFill="1" applyFont="1">
      <alignment shrinkToFit="0" vertical="center" wrapText="1"/>
    </xf>
    <xf borderId="2" fillId="5" fontId="28" numFmtId="0" xfId="0" applyAlignment="1" applyBorder="1" applyFill="1" applyFont="1">
      <alignment shrinkToFit="0" vertical="center" wrapText="1"/>
    </xf>
    <xf borderId="3" fillId="5" fontId="28" numFmtId="0" xfId="0" applyAlignment="1" applyBorder="1" applyFill="1" applyFont="1">
      <alignment shrinkToFit="0" vertical="center" wrapText="1"/>
    </xf>
    <xf borderId="0" fillId="5" fontId="28" numFmtId="0" xfId="0" applyAlignment="1" applyFill="1" applyFont="1">
      <alignment shrinkToFit="0" vertical="center" wrapText="1"/>
    </xf>
    <xf borderId="0" fillId="10" fontId="18" numFmtId="0" xfId="0" applyAlignment="1" applyFill="1" applyFont="1">
      <alignment shrinkToFit="0" vertical="center" wrapText="1"/>
    </xf>
    <xf borderId="0" fillId="5" fontId="29" numFmtId="0" xfId="0" applyAlignment="1" applyFill="1" applyFont="1">
      <alignment shrinkToFit="0" vertical="center" wrapText="1"/>
    </xf>
    <xf borderId="0" fillId="5" fontId="23" numFmtId="0" xfId="0" applyAlignment="1" applyFill="1" applyFont="1">
      <alignment shrinkToFit="0" vertical="bottom" wrapText="1"/>
    </xf>
    <xf borderId="0" fillId="5" fontId="30" numFmtId="0" xfId="0" applyAlignment="1" applyFill="1" applyFont="1">
      <alignment horizontal="center" shrinkToFit="0" vertical="center" wrapText="1"/>
    </xf>
    <xf borderId="1" fillId="12" fontId="2" numFmtId="0" xfId="0" applyAlignment="1" applyBorder="1" applyFill="1" applyFont="1">
      <alignment horizontal="center" shrinkToFit="0" vertical="center" wrapText="1"/>
    </xf>
    <xf borderId="0" fillId="12" fontId="2" numFmtId="0" xfId="0" applyAlignment="1" applyFill="1" applyFont="1">
      <alignment horizontal="center" shrinkToFit="0" vertical="center" wrapText="1"/>
    </xf>
    <xf borderId="0" fillId="0" fontId="10" numFmtId="0" xfId="0" applyFont="1"/>
    <xf borderId="4" fillId="6" fontId="14" numFmtId="0" xfId="0" applyAlignment="1" applyBorder="1" applyFill="1" applyFont="1">
      <alignment horizontal="center" shrinkToFit="0" vertical="top" wrapText="1"/>
    </xf>
    <xf borderId="4" fillId="6" fontId="8" numFmtId="0" xfId="0" applyAlignment="1" applyBorder="1" applyFill="1" applyFont="1">
      <alignment horizontal="left" shrinkToFit="0" vertical="top" wrapText="1"/>
    </xf>
    <xf borderId="4" fillId="5" fontId="14" numFmtId="0" xfId="0" applyAlignment="1" applyBorder="1" applyFill="1" applyFont="1">
      <alignment horizontal="center" shrinkToFit="0" vertical="top" wrapText="1"/>
    </xf>
    <xf borderId="4" fillId="5" fontId="8" numFmtId="0" xfId="0" applyAlignment="1" applyBorder="1" applyFill="1" applyFont="1">
      <alignment horizontal="left" shrinkToFit="0" vertical="top" wrapText="1"/>
    </xf>
    <xf borderId="1" fillId="10" fontId="17" numFmtId="0" xfId="0" applyAlignment="1" applyBorder="1" applyFill="1" applyFont="1">
      <alignment shrinkToFit="0" vertical="center" wrapText="1"/>
    </xf>
  </cellXfs>
  <cellStyles count="1">
    <cellStyle xfId="0" name="Normal" builtinId="0"/>
  </cellStyles>
  <dxfs count="3">
    <dxf>
      <font>
        <color rgb="FF006100"/>
      </font>
      <fill>
        <patternFill patternType="solid">
          <fgColor rgb="FFC6EFCE"/>
          <bgColor rgb="FFC6EFCE"/>
        </patternFill>
      </fill>
      <border/>
    </dxf>
    <dxf>
      <font>
        <color rgb="FF9C0006"/>
      </font>
      <fill>
        <patternFill patternType="solid">
          <fgColor rgb="FFFFC7CE"/>
          <bgColor rgb="FFFFC7CE"/>
        </patternFill>
      </fill>
      <border/>
    </dxf>
    <dxf>
      <font>
        <color rgb="FF595959"/>
      </font>
      <fill>
        <patternFill patternType="solid">
          <fgColor rgb="FFE7E6E6"/>
          <bgColor rgb="FFE7E6E6"/>
        </patternFill>
      </fill>
      <border/>
    </dxf>
  </dxfs>
</styleSheet>
</file>

<file path=xl/_rels/workbook.xml.rels><?xml version="1.0" encoding="UTF-8" standalone="yes"?><Relationships xmlns="http://schemas.openxmlformats.org/package/2006/relationships"><Relationship Id="rId20" Type="http://customschemas.google.com/relationships/workbookmetadata" Target="metadata"/><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schemas.openxmlformats.org/officeDocument/2006/relationships/worksheet" Target="worksheets/sheet16.xml"/><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31.0"/>
    <col customWidth="1" min="3" max="3" width="95.0"/>
    <col customWidth="1" min="4" max="4" width="0.86"/>
    <col customWidth="1" min="5" max="6" width="8.71"/>
  </cols>
  <sheetData>
    <row r="1" ht="15.0" customHeight="1">
      <c r="A1" s="1"/>
      <c r="B1" s="2"/>
      <c r="C1" s="2"/>
      <c r="D1" s="1"/>
      <c r="E1" s="4"/>
      <c r="F1" s="4"/>
      <c r="G1" s="4"/>
      <c r="H1" s="4"/>
      <c r="I1" s="4"/>
      <c r="J1" s="4"/>
      <c r="K1" s="4"/>
      <c r="L1" s="4"/>
      <c r="M1" s="4"/>
      <c r="N1" s="4"/>
      <c r="O1" s="4"/>
      <c r="P1" s="4"/>
      <c r="Q1" s="4"/>
      <c r="R1" s="4"/>
      <c r="S1" s="4"/>
      <c r="T1" s="4"/>
      <c r="U1" s="4"/>
      <c r="V1" s="4"/>
      <c r="W1" s="4"/>
      <c r="X1" s="4"/>
      <c r="Y1" s="4"/>
      <c r="Z1" s="4"/>
    </row>
    <row r="2" ht="21.0" customHeight="1">
      <c r="A2" s="1"/>
      <c r="B2" s="7" t="s">
        <v>1</v>
      </c>
      <c r="D2" s="1"/>
      <c r="E2" s="4"/>
      <c r="F2" s="4"/>
      <c r="G2" s="4"/>
      <c r="H2" s="4"/>
      <c r="I2" s="4"/>
      <c r="J2" s="4"/>
      <c r="K2" s="4"/>
      <c r="L2" s="4"/>
      <c r="M2" s="4"/>
      <c r="N2" s="4"/>
      <c r="O2" s="4"/>
      <c r="P2" s="4"/>
      <c r="Q2" s="4"/>
      <c r="R2" s="4"/>
      <c r="S2" s="4"/>
      <c r="T2" s="4"/>
      <c r="U2" s="4"/>
      <c r="V2" s="4"/>
      <c r="W2" s="4"/>
      <c r="X2" s="4"/>
      <c r="Y2" s="4"/>
      <c r="Z2" s="4"/>
    </row>
    <row r="3" ht="15.0" customHeight="1">
      <c r="A3" s="1"/>
      <c r="B3" s="8" t="s">
        <v>4</v>
      </c>
      <c r="D3" s="1"/>
      <c r="E3" s="4"/>
      <c r="F3" s="4"/>
      <c r="G3" s="4"/>
      <c r="H3" s="4"/>
      <c r="I3" s="4"/>
      <c r="J3" s="4"/>
      <c r="K3" s="4"/>
      <c r="L3" s="4"/>
      <c r="M3" s="4"/>
      <c r="N3" s="4"/>
      <c r="O3" s="4"/>
      <c r="P3" s="4"/>
      <c r="Q3" s="4"/>
      <c r="R3" s="4"/>
      <c r="S3" s="4"/>
      <c r="T3" s="4"/>
      <c r="U3" s="4"/>
      <c r="V3" s="4"/>
      <c r="W3" s="4"/>
      <c r="X3" s="4"/>
      <c r="Y3" s="4"/>
      <c r="Z3" s="4"/>
    </row>
    <row r="4" ht="15.0" customHeight="1">
      <c r="A4" s="1"/>
      <c r="B4" s="2"/>
      <c r="C4" s="2"/>
      <c r="D4" s="1"/>
      <c r="E4" s="4"/>
      <c r="F4" s="4"/>
      <c r="G4" s="4"/>
      <c r="H4" s="4"/>
      <c r="I4" s="4"/>
      <c r="J4" s="4"/>
      <c r="K4" s="4"/>
      <c r="L4" s="4"/>
      <c r="M4" s="4"/>
      <c r="N4" s="4"/>
      <c r="O4" s="4"/>
      <c r="P4" s="4"/>
      <c r="Q4" s="4"/>
      <c r="R4" s="4"/>
      <c r="S4" s="4"/>
      <c r="T4" s="4"/>
      <c r="U4" s="4"/>
      <c r="V4" s="4"/>
      <c r="W4" s="4"/>
      <c r="X4" s="4"/>
      <c r="Y4" s="4"/>
      <c r="Z4" s="4"/>
    </row>
    <row r="5" ht="15.0" customHeight="1">
      <c r="A5" s="1"/>
      <c r="B5" s="10" t="s">
        <v>8</v>
      </c>
      <c r="C5" s="11" t="s">
        <v>9</v>
      </c>
      <c r="D5" s="1"/>
      <c r="E5" s="4"/>
      <c r="F5" s="4"/>
      <c r="G5" s="4"/>
      <c r="H5" s="4"/>
      <c r="I5" s="4"/>
      <c r="J5" s="4"/>
      <c r="K5" s="4"/>
      <c r="L5" s="4"/>
      <c r="M5" s="4"/>
      <c r="N5" s="4"/>
      <c r="O5" s="4"/>
      <c r="P5" s="4"/>
      <c r="Q5" s="4"/>
      <c r="R5" s="4"/>
      <c r="S5" s="4"/>
      <c r="T5" s="4"/>
      <c r="U5" s="4"/>
      <c r="V5" s="4"/>
      <c r="W5" s="4"/>
      <c r="X5" s="4"/>
      <c r="Y5" s="4"/>
      <c r="Z5" s="4"/>
    </row>
    <row r="6" ht="15.0" customHeight="1">
      <c r="A6" s="1"/>
      <c r="B6" s="13" t="s">
        <v>11</v>
      </c>
      <c r="C6" s="14" t="s">
        <v>13</v>
      </c>
      <c r="D6" s="1"/>
      <c r="E6" s="4"/>
      <c r="F6" s="4"/>
      <c r="G6" s="4"/>
      <c r="H6" s="4"/>
      <c r="I6" s="4"/>
      <c r="J6" s="4"/>
      <c r="K6" s="4"/>
      <c r="L6" s="4"/>
      <c r="M6" s="4"/>
      <c r="N6" s="4"/>
      <c r="O6" s="4"/>
      <c r="P6" s="4"/>
      <c r="Q6" s="4"/>
      <c r="R6" s="4"/>
      <c r="S6" s="4"/>
      <c r="T6" s="4"/>
      <c r="U6" s="4"/>
      <c r="V6" s="4"/>
      <c r="W6" s="4"/>
      <c r="X6" s="4"/>
      <c r="Y6" s="4"/>
      <c r="Z6" s="4"/>
    </row>
    <row r="7" ht="15.0" customHeight="1">
      <c r="A7" s="1"/>
      <c r="B7" s="13" t="s">
        <v>15</v>
      </c>
      <c r="C7" s="14" t="s">
        <v>16</v>
      </c>
      <c r="D7" s="1"/>
      <c r="E7" s="4"/>
      <c r="F7" s="4"/>
      <c r="G7" s="4"/>
      <c r="H7" s="4"/>
      <c r="I7" s="4"/>
      <c r="J7" s="4"/>
      <c r="K7" s="4"/>
      <c r="L7" s="4"/>
      <c r="M7" s="4"/>
      <c r="N7" s="4"/>
      <c r="O7" s="4"/>
      <c r="P7" s="4"/>
      <c r="Q7" s="4"/>
      <c r="R7" s="4"/>
      <c r="S7" s="4"/>
      <c r="T7" s="4"/>
      <c r="U7" s="4"/>
      <c r="V7" s="4"/>
      <c r="W7" s="4"/>
      <c r="X7" s="4"/>
      <c r="Y7" s="4"/>
      <c r="Z7" s="4"/>
    </row>
    <row r="8" ht="27.75" customHeight="1">
      <c r="A8" s="1"/>
      <c r="B8" s="13" t="s">
        <v>19</v>
      </c>
      <c r="C8" s="14" t="s">
        <v>20</v>
      </c>
      <c r="D8" s="17"/>
      <c r="E8" s="4"/>
      <c r="F8" s="4"/>
      <c r="G8" s="4"/>
      <c r="H8" s="4"/>
      <c r="I8" s="4"/>
      <c r="J8" s="4"/>
      <c r="K8" s="4"/>
      <c r="L8" s="4"/>
      <c r="M8" s="4"/>
      <c r="N8" s="4"/>
      <c r="O8" s="4"/>
      <c r="P8" s="4"/>
      <c r="Q8" s="4"/>
      <c r="R8" s="4"/>
      <c r="S8" s="4"/>
      <c r="T8" s="4"/>
      <c r="U8" s="4"/>
      <c r="V8" s="4"/>
      <c r="W8" s="4"/>
      <c r="X8" s="4"/>
      <c r="Y8" s="4"/>
      <c r="Z8" s="4"/>
    </row>
    <row r="9" ht="51.75" customHeight="1">
      <c r="A9" s="1"/>
      <c r="B9" s="13" t="s">
        <v>24</v>
      </c>
      <c r="C9" s="14" t="s">
        <v>28</v>
      </c>
      <c r="D9" s="1"/>
      <c r="E9" s="4"/>
      <c r="F9" s="4"/>
      <c r="G9" s="4"/>
      <c r="H9" s="4"/>
      <c r="I9" s="4"/>
      <c r="J9" s="4"/>
      <c r="K9" s="4"/>
      <c r="L9" s="4"/>
      <c r="M9" s="4"/>
      <c r="N9" s="4"/>
      <c r="O9" s="4"/>
      <c r="P9" s="4"/>
      <c r="Q9" s="4"/>
      <c r="R9" s="4"/>
      <c r="S9" s="4"/>
      <c r="T9" s="4"/>
      <c r="U9" s="4"/>
      <c r="V9" s="4"/>
      <c r="W9" s="4"/>
      <c r="X9" s="4"/>
      <c r="Y9" s="4"/>
      <c r="Z9" s="4"/>
    </row>
    <row r="10" ht="27.75" customHeight="1">
      <c r="A10" s="1"/>
      <c r="B10" s="13" t="s">
        <v>31</v>
      </c>
      <c r="C10" s="14" t="s">
        <v>32</v>
      </c>
      <c r="D10" s="1"/>
      <c r="E10" s="4"/>
      <c r="F10" s="4"/>
      <c r="G10" s="4"/>
      <c r="H10" s="4"/>
      <c r="I10" s="4"/>
      <c r="J10" s="4"/>
      <c r="K10" s="4"/>
      <c r="L10" s="4"/>
      <c r="M10" s="4"/>
      <c r="N10" s="4"/>
      <c r="O10" s="4"/>
      <c r="P10" s="4"/>
      <c r="Q10" s="4"/>
      <c r="R10" s="4"/>
      <c r="S10" s="4"/>
      <c r="T10" s="4"/>
      <c r="U10" s="4"/>
      <c r="V10" s="4"/>
      <c r="W10" s="4"/>
      <c r="X10" s="4"/>
      <c r="Y10" s="4"/>
      <c r="Z10" s="4"/>
    </row>
    <row r="11" ht="24.0" customHeight="1">
      <c r="A11" s="1"/>
      <c r="B11" s="13" t="s">
        <v>37</v>
      </c>
      <c r="C11" s="14" t="s">
        <v>38</v>
      </c>
      <c r="D11" s="1"/>
      <c r="E11" s="4"/>
      <c r="F11" s="4"/>
      <c r="G11" s="4"/>
      <c r="H11" s="4"/>
      <c r="I11" s="4"/>
      <c r="J11" s="4"/>
      <c r="K11" s="4"/>
      <c r="L11" s="4"/>
      <c r="M11" s="4"/>
      <c r="N11" s="4"/>
      <c r="O11" s="4"/>
      <c r="P11" s="4"/>
      <c r="Q11" s="4"/>
      <c r="R11" s="4"/>
      <c r="S11" s="4"/>
      <c r="T11" s="4"/>
      <c r="U11" s="4"/>
      <c r="V11" s="4"/>
      <c r="W11" s="4"/>
      <c r="X11" s="4"/>
      <c r="Y11" s="4"/>
      <c r="Z11" s="4"/>
    </row>
    <row r="12" ht="47.25" customHeight="1">
      <c r="A12" s="1"/>
      <c r="B12" s="13" t="s">
        <v>41</v>
      </c>
      <c r="C12" s="14" t="s">
        <v>43</v>
      </c>
      <c r="D12" s="1"/>
      <c r="E12" s="4"/>
      <c r="F12" s="4"/>
      <c r="G12" s="4"/>
      <c r="H12" s="4"/>
      <c r="I12" s="4"/>
      <c r="J12" s="4"/>
      <c r="K12" s="4"/>
      <c r="L12" s="4"/>
      <c r="M12" s="4"/>
      <c r="N12" s="4"/>
      <c r="O12" s="4"/>
      <c r="P12" s="4"/>
      <c r="Q12" s="4"/>
      <c r="R12" s="4"/>
      <c r="S12" s="4"/>
      <c r="T12" s="4"/>
      <c r="U12" s="4"/>
      <c r="V12" s="4"/>
      <c r="W12" s="4"/>
      <c r="X12" s="4"/>
      <c r="Y12" s="4"/>
      <c r="Z12" s="4"/>
    </row>
    <row r="13" ht="51.75" customHeight="1">
      <c r="A13" s="1"/>
      <c r="B13" s="13" t="s">
        <v>54</v>
      </c>
      <c r="C13" s="14" t="s">
        <v>55</v>
      </c>
      <c r="D13" s="1"/>
      <c r="E13" s="4"/>
      <c r="F13" s="4"/>
      <c r="G13" s="4"/>
      <c r="H13" s="4"/>
      <c r="I13" s="4"/>
      <c r="J13" s="4"/>
      <c r="K13" s="4"/>
      <c r="L13" s="4"/>
      <c r="M13" s="4"/>
      <c r="N13" s="4"/>
      <c r="O13" s="4"/>
      <c r="P13" s="4"/>
      <c r="Q13" s="4"/>
      <c r="R13" s="4"/>
      <c r="S13" s="4"/>
      <c r="T13" s="4"/>
      <c r="U13" s="4"/>
      <c r="V13" s="4"/>
      <c r="W13" s="4"/>
      <c r="X13" s="4"/>
      <c r="Y13" s="4"/>
      <c r="Z13" s="4"/>
    </row>
    <row r="14" ht="42.0" customHeight="1">
      <c r="A14" s="1"/>
      <c r="B14" s="13" t="s">
        <v>59</v>
      </c>
      <c r="C14" s="18" t="s">
        <v>63</v>
      </c>
      <c r="D14" s="1"/>
      <c r="E14" s="4"/>
      <c r="F14" s="4"/>
      <c r="G14" s="4"/>
      <c r="H14" s="4"/>
      <c r="I14" s="4"/>
      <c r="J14" s="4"/>
      <c r="K14" s="4"/>
      <c r="L14" s="4"/>
      <c r="M14" s="4"/>
      <c r="N14" s="4"/>
      <c r="O14" s="4"/>
      <c r="P14" s="4"/>
      <c r="Q14" s="4"/>
      <c r="R14" s="4"/>
      <c r="S14" s="4"/>
      <c r="T14" s="4"/>
      <c r="U14" s="4"/>
      <c r="V14" s="4"/>
      <c r="W14" s="4"/>
      <c r="X14" s="4"/>
      <c r="Y14" s="4"/>
      <c r="Z14" s="4"/>
    </row>
    <row r="15" ht="23.25" customHeight="1">
      <c r="A15" s="1"/>
      <c r="B15" s="13" t="s">
        <v>67</v>
      </c>
      <c r="C15" s="14" t="s">
        <v>69</v>
      </c>
      <c r="D15" s="1"/>
      <c r="E15" s="4"/>
      <c r="F15" s="4"/>
      <c r="G15" s="4"/>
      <c r="H15" s="4"/>
      <c r="I15" s="4"/>
      <c r="J15" s="4"/>
      <c r="K15" s="4"/>
      <c r="L15" s="4"/>
      <c r="M15" s="4"/>
      <c r="N15" s="4"/>
      <c r="O15" s="4"/>
      <c r="P15" s="4"/>
      <c r="Q15" s="4"/>
      <c r="R15" s="4"/>
      <c r="S15" s="4"/>
      <c r="T15" s="4"/>
      <c r="U15" s="4"/>
      <c r="V15" s="4"/>
      <c r="W15" s="4"/>
      <c r="X15" s="4"/>
      <c r="Y15" s="4"/>
      <c r="Z15" s="4"/>
    </row>
    <row r="16" ht="24.0" customHeight="1">
      <c r="A16" s="1"/>
      <c r="B16" s="13" t="s">
        <v>70</v>
      </c>
      <c r="C16" s="14" t="s">
        <v>71</v>
      </c>
      <c r="D16" s="1"/>
      <c r="E16" s="4"/>
      <c r="F16" s="4"/>
      <c r="G16" s="4"/>
      <c r="H16" s="4"/>
      <c r="I16" s="4"/>
      <c r="J16" s="4"/>
      <c r="K16" s="4"/>
      <c r="L16" s="4"/>
      <c r="M16" s="4"/>
      <c r="N16" s="4"/>
      <c r="O16" s="4"/>
      <c r="P16" s="4"/>
      <c r="Q16" s="4"/>
      <c r="R16" s="4"/>
      <c r="S16" s="4"/>
      <c r="T16" s="4"/>
      <c r="U16" s="4"/>
      <c r="V16" s="4"/>
      <c r="W16" s="4"/>
      <c r="X16" s="4"/>
      <c r="Y16" s="4"/>
      <c r="Z16" s="4"/>
    </row>
    <row r="17" ht="15.0" customHeight="1">
      <c r="A17" s="1"/>
      <c r="B17" s="13" t="s">
        <v>75</v>
      </c>
      <c r="C17" s="14" t="s">
        <v>76</v>
      </c>
      <c r="D17" s="1"/>
      <c r="E17" s="4"/>
      <c r="F17" s="4"/>
      <c r="G17" s="4"/>
      <c r="H17" s="4"/>
      <c r="I17" s="4"/>
      <c r="J17" s="4"/>
      <c r="K17" s="4"/>
      <c r="L17" s="4"/>
      <c r="M17" s="4"/>
      <c r="N17" s="4"/>
      <c r="O17" s="4"/>
      <c r="P17" s="4"/>
      <c r="Q17" s="4"/>
      <c r="R17" s="4"/>
      <c r="S17" s="4"/>
      <c r="T17" s="4"/>
      <c r="U17" s="4"/>
      <c r="V17" s="4"/>
      <c r="W17" s="4"/>
      <c r="X17" s="4"/>
      <c r="Y17" s="4"/>
      <c r="Z17" s="4"/>
    </row>
    <row r="18" ht="24.0" customHeight="1">
      <c r="A18" s="1"/>
      <c r="B18" s="19" t="s">
        <v>79</v>
      </c>
      <c r="C18" s="14" t="s">
        <v>57</v>
      </c>
      <c r="D18" s="20"/>
      <c r="E18" s="4"/>
      <c r="F18" s="4"/>
      <c r="G18" s="4"/>
      <c r="H18" s="4"/>
      <c r="I18" s="4"/>
      <c r="J18" s="4"/>
      <c r="K18" s="4"/>
      <c r="L18" s="4"/>
      <c r="M18" s="4"/>
      <c r="N18" s="4"/>
      <c r="O18" s="4"/>
      <c r="P18" s="4"/>
      <c r="Q18" s="4"/>
      <c r="R18" s="4"/>
      <c r="S18" s="4"/>
      <c r="T18" s="4"/>
      <c r="U18" s="4"/>
      <c r="V18" s="4"/>
      <c r="W18" s="4"/>
      <c r="X18" s="4"/>
      <c r="Y18" s="4"/>
      <c r="Z18" s="4"/>
    </row>
    <row r="19" ht="64.5" customHeight="1">
      <c r="A19" s="1"/>
      <c r="B19" s="13" t="s">
        <v>86</v>
      </c>
      <c r="C19" s="14" t="s">
        <v>88</v>
      </c>
      <c r="D19" s="1"/>
      <c r="E19" s="4"/>
      <c r="F19" s="4"/>
      <c r="G19" s="4"/>
      <c r="H19" s="4"/>
      <c r="I19" s="4"/>
      <c r="J19" s="4"/>
      <c r="K19" s="4"/>
      <c r="L19" s="4"/>
      <c r="M19" s="4"/>
      <c r="N19" s="4"/>
      <c r="O19" s="4"/>
      <c r="P19" s="4"/>
      <c r="Q19" s="4"/>
      <c r="R19" s="4"/>
      <c r="S19" s="4"/>
      <c r="T19" s="4"/>
      <c r="U19" s="4"/>
      <c r="V19" s="4"/>
      <c r="W19" s="4"/>
      <c r="X19" s="4"/>
      <c r="Y19" s="4"/>
      <c r="Z19" s="4"/>
    </row>
    <row r="20" ht="79.5" customHeight="1">
      <c r="A20" s="1"/>
      <c r="B20" s="21" t="s">
        <v>89</v>
      </c>
      <c r="C20" s="22" t="s">
        <v>91</v>
      </c>
      <c r="D20" s="1"/>
      <c r="E20" s="4"/>
      <c r="F20" s="4"/>
      <c r="G20" s="4"/>
      <c r="H20" s="4"/>
      <c r="I20" s="4"/>
      <c r="J20" s="4"/>
      <c r="K20" s="4"/>
      <c r="L20" s="4"/>
      <c r="M20" s="4"/>
      <c r="N20" s="4"/>
      <c r="O20" s="4"/>
      <c r="P20" s="4"/>
      <c r="Q20" s="4"/>
      <c r="R20" s="4"/>
      <c r="S20" s="4"/>
      <c r="T20" s="4"/>
      <c r="U20" s="4"/>
      <c r="V20" s="4"/>
      <c r="W20" s="4"/>
      <c r="X20" s="4"/>
      <c r="Y20" s="4"/>
      <c r="Z20" s="4"/>
    </row>
    <row r="21" ht="15.0" customHeight="1">
      <c r="A21" s="1"/>
      <c r="B21" s="23"/>
      <c r="C21" s="24"/>
      <c r="D21" s="1"/>
      <c r="E21" s="4"/>
      <c r="F21" s="4"/>
      <c r="G21" s="4"/>
      <c r="H21" s="4"/>
      <c r="I21" s="4"/>
      <c r="J21" s="4"/>
      <c r="K21" s="4"/>
      <c r="L21" s="4"/>
      <c r="M21" s="4"/>
      <c r="N21" s="4"/>
      <c r="O21" s="4"/>
      <c r="P21" s="4"/>
      <c r="Q21" s="4"/>
      <c r="R21" s="4"/>
      <c r="S21" s="4"/>
      <c r="T21" s="4"/>
      <c r="U21" s="4"/>
      <c r="V21" s="4"/>
      <c r="W21" s="4"/>
      <c r="X21" s="4"/>
      <c r="Y21" s="4"/>
      <c r="Z21" s="4"/>
    </row>
    <row r="22" ht="15.0" customHeight="1">
      <c r="A22" s="1"/>
      <c r="B22" s="25"/>
      <c r="C22" s="26"/>
      <c r="D22" s="1"/>
      <c r="E22" s="4"/>
      <c r="F22" s="4"/>
      <c r="G22" s="4"/>
      <c r="H22" s="4"/>
      <c r="I22" s="4"/>
      <c r="J22" s="4"/>
      <c r="K22" s="4"/>
      <c r="L22" s="4"/>
      <c r="M22" s="4"/>
      <c r="N22" s="4"/>
      <c r="O22" s="4"/>
      <c r="P22" s="4"/>
      <c r="Q22" s="4"/>
      <c r="R22" s="4"/>
      <c r="S22" s="4"/>
      <c r="T22" s="4"/>
      <c r="U22" s="4"/>
      <c r="V22" s="4"/>
      <c r="W22" s="4"/>
      <c r="X22" s="4"/>
      <c r="Y22" s="4"/>
      <c r="Z22" s="4"/>
    </row>
    <row r="23" ht="15.0" customHeight="1">
      <c r="A23" s="1"/>
      <c r="B23" s="23"/>
      <c r="C23" s="24"/>
      <c r="D23" s="1"/>
      <c r="E23" s="4"/>
      <c r="F23" s="4"/>
      <c r="G23" s="4"/>
      <c r="H23" s="4"/>
      <c r="I23" s="4"/>
      <c r="J23" s="4"/>
      <c r="K23" s="4"/>
      <c r="L23" s="4"/>
      <c r="M23" s="4"/>
      <c r="N23" s="4"/>
      <c r="O23" s="4"/>
      <c r="P23" s="4"/>
      <c r="Q23" s="4"/>
      <c r="R23" s="4"/>
      <c r="S23" s="4"/>
      <c r="T23" s="4"/>
      <c r="U23" s="4"/>
      <c r="V23" s="4"/>
      <c r="W23" s="4"/>
      <c r="X23" s="4"/>
      <c r="Y23" s="4"/>
      <c r="Z23" s="4"/>
    </row>
    <row r="24" ht="15.0" customHeight="1">
      <c r="A24" s="1"/>
      <c r="B24" s="25"/>
      <c r="C24" s="26"/>
      <c r="D24" s="1"/>
      <c r="E24" s="4"/>
      <c r="F24" s="4"/>
      <c r="G24" s="4"/>
      <c r="H24" s="4"/>
      <c r="I24" s="4"/>
      <c r="J24" s="4"/>
      <c r="K24" s="4"/>
      <c r="L24" s="4"/>
      <c r="M24" s="4"/>
      <c r="N24" s="4"/>
      <c r="O24" s="4"/>
      <c r="P24" s="4"/>
      <c r="Q24" s="4"/>
      <c r="R24" s="4"/>
      <c r="S24" s="4"/>
      <c r="T24" s="4"/>
      <c r="U24" s="4"/>
      <c r="V24" s="4"/>
      <c r="W24" s="4"/>
      <c r="X24" s="4"/>
      <c r="Y24" s="4"/>
      <c r="Z24" s="4"/>
    </row>
    <row r="25" ht="15.0" customHeight="1">
      <c r="A25" s="1"/>
      <c r="B25" s="23"/>
      <c r="C25" s="24"/>
      <c r="D25" s="1"/>
      <c r="E25" s="4"/>
      <c r="F25" s="4"/>
      <c r="G25" s="4"/>
      <c r="H25" s="4"/>
      <c r="I25" s="4"/>
      <c r="J25" s="4"/>
      <c r="K25" s="4"/>
      <c r="L25" s="4"/>
      <c r="M25" s="4"/>
      <c r="N25" s="4"/>
      <c r="O25" s="4"/>
      <c r="P25" s="4"/>
      <c r="Q25" s="4"/>
      <c r="R25" s="4"/>
      <c r="S25" s="4"/>
      <c r="T25" s="4"/>
      <c r="U25" s="4"/>
      <c r="V25" s="4"/>
      <c r="W25" s="4"/>
      <c r="X25" s="4"/>
      <c r="Y25" s="4"/>
      <c r="Z25" s="4"/>
    </row>
    <row r="26" ht="15.0" customHeight="1">
      <c r="A26" s="1"/>
      <c r="B26" s="2"/>
      <c r="C26" s="2"/>
      <c r="D26" s="1"/>
      <c r="E26" s="4"/>
      <c r="F26" s="4"/>
      <c r="G26" s="4"/>
      <c r="H26" s="4"/>
      <c r="I26" s="4"/>
      <c r="J26" s="4"/>
      <c r="K26" s="4"/>
      <c r="L26" s="4"/>
      <c r="M26" s="4"/>
      <c r="N26" s="4"/>
      <c r="O26" s="4"/>
      <c r="P26" s="4"/>
      <c r="Q26" s="4"/>
      <c r="R26" s="4"/>
      <c r="S26" s="4"/>
      <c r="T26" s="4"/>
      <c r="U26" s="4"/>
      <c r="V26" s="4"/>
      <c r="W26" s="4"/>
      <c r="X26" s="4"/>
      <c r="Y26" s="4"/>
      <c r="Z26" s="4"/>
    </row>
    <row r="27" ht="15.0" customHeight="1">
      <c r="A27" s="1"/>
      <c r="B27" s="2"/>
      <c r="C27" s="2"/>
      <c r="D27" s="1"/>
      <c r="E27" s="4"/>
      <c r="F27" s="4"/>
      <c r="G27" s="4"/>
      <c r="H27" s="4"/>
      <c r="I27" s="4"/>
      <c r="J27" s="4"/>
      <c r="K27" s="4"/>
      <c r="L27" s="4"/>
      <c r="M27" s="4"/>
      <c r="N27" s="4"/>
      <c r="O27" s="4"/>
      <c r="P27" s="4"/>
      <c r="Q27" s="4"/>
      <c r="R27" s="4"/>
      <c r="S27" s="4"/>
      <c r="T27" s="4"/>
      <c r="U27" s="4"/>
      <c r="V27" s="4"/>
      <c r="W27" s="4"/>
      <c r="X27" s="4"/>
      <c r="Y27" s="4"/>
      <c r="Z27" s="4"/>
    </row>
    <row r="28" ht="15.0" customHeight="1">
      <c r="A28" s="1"/>
      <c r="B28" s="2"/>
      <c r="C28" s="2"/>
      <c r="D28" s="1"/>
      <c r="E28" s="4"/>
      <c r="F28" s="4"/>
      <c r="G28" s="4"/>
      <c r="H28" s="4"/>
      <c r="I28" s="4"/>
      <c r="J28" s="4"/>
      <c r="K28" s="4"/>
      <c r="L28" s="4"/>
      <c r="M28" s="4"/>
      <c r="N28" s="4"/>
      <c r="O28" s="4"/>
      <c r="P28" s="4"/>
      <c r="Q28" s="4"/>
      <c r="R28" s="4"/>
      <c r="S28" s="4"/>
      <c r="T28" s="4"/>
      <c r="U28" s="4"/>
      <c r="V28" s="4"/>
      <c r="W28" s="4"/>
      <c r="X28" s="4"/>
      <c r="Y28" s="4"/>
      <c r="Z28" s="4"/>
    </row>
    <row r="29" ht="15.0" customHeight="1">
      <c r="A29" s="1"/>
      <c r="B29" s="2"/>
      <c r="C29" s="2"/>
      <c r="D29" s="1"/>
      <c r="E29" s="4"/>
      <c r="F29" s="4"/>
      <c r="G29" s="4"/>
      <c r="H29" s="4"/>
      <c r="I29" s="4"/>
      <c r="J29" s="4"/>
      <c r="K29" s="4"/>
      <c r="L29" s="4"/>
      <c r="M29" s="4"/>
      <c r="N29" s="4"/>
      <c r="O29" s="4"/>
      <c r="P29" s="4"/>
      <c r="Q29" s="4"/>
      <c r="R29" s="4"/>
      <c r="S29" s="4"/>
      <c r="T29" s="4"/>
      <c r="U29" s="4"/>
      <c r="V29" s="4"/>
      <c r="W29" s="4"/>
      <c r="X29" s="4"/>
      <c r="Y29" s="4"/>
      <c r="Z29" s="4"/>
    </row>
    <row r="30" ht="15.75" customHeight="1">
      <c r="A30" s="1"/>
      <c r="B30" s="1"/>
      <c r="C30" s="1"/>
      <c r="D30" s="1"/>
      <c r="E30" s="4"/>
      <c r="F30" s="4"/>
      <c r="G30" s="4"/>
      <c r="H30" s="4"/>
      <c r="I30" s="4"/>
      <c r="J30" s="4"/>
      <c r="K30" s="4"/>
      <c r="L30" s="4"/>
      <c r="M30" s="4"/>
      <c r="N30" s="4"/>
      <c r="O30" s="4"/>
      <c r="P30" s="4"/>
      <c r="Q30" s="4"/>
      <c r="R30" s="4"/>
      <c r="S30" s="4"/>
      <c r="T30" s="4"/>
      <c r="U30" s="4"/>
      <c r="V30" s="4"/>
      <c r="W30" s="4"/>
      <c r="X30" s="4"/>
      <c r="Y30" s="4"/>
      <c r="Z30" s="4"/>
    </row>
    <row r="31" ht="15.75" customHeight="1">
      <c r="A31" s="1"/>
      <c r="B31" s="1"/>
      <c r="C31" s="1"/>
      <c r="D31" s="1"/>
      <c r="E31" s="4"/>
      <c r="F31" s="4"/>
      <c r="G31" s="4"/>
      <c r="H31" s="4"/>
      <c r="I31" s="4"/>
      <c r="J31" s="4"/>
      <c r="K31" s="4"/>
      <c r="L31" s="4"/>
      <c r="M31" s="4"/>
      <c r="N31" s="4"/>
      <c r="O31" s="4"/>
      <c r="P31" s="4"/>
      <c r="Q31" s="4"/>
      <c r="R31" s="4"/>
      <c r="S31" s="4"/>
      <c r="T31" s="4"/>
      <c r="U31" s="4"/>
      <c r="V31" s="4"/>
      <c r="W31" s="4"/>
      <c r="X31" s="4"/>
      <c r="Y31" s="4"/>
      <c r="Z31" s="4"/>
    </row>
    <row r="32" ht="15.75" customHeight="1">
      <c r="A32" s="1"/>
      <c r="B32" s="1"/>
      <c r="C32" s="1"/>
      <c r="D32" s="1"/>
      <c r="E32" s="4"/>
      <c r="F32" s="4"/>
      <c r="G32" s="4"/>
      <c r="H32" s="4"/>
      <c r="I32" s="4"/>
      <c r="J32" s="4"/>
      <c r="K32" s="4"/>
      <c r="L32" s="4"/>
      <c r="M32" s="4"/>
      <c r="N32" s="4"/>
      <c r="O32" s="4"/>
      <c r="P32" s="4"/>
      <c r="Q32" s="4"/>
      <c r="R32" s="4"/>
      <c r="S32" s="4"/>
      <c r="T32" s="4"/>
      <c r="U32" s="4"/>
      <c r="V32" s="4"/>
      <c r="W32" s="4"/>
      <c r="X32" s="4"/>
      <c r="Y32" s="4"/>
      <c r="Z32" s="4"/>
    </row>
    <row r="33" ht="15.75" customHeight="1">
      <c r="A33" s="1"/>
      <c r="B33" s="1"/>
      <c r="C33" s="1"/>
      <c r="D33" s="1"/>
      <c r="E33" s="4"/>
      <c r="F33" s="4"/>
      <c r="G33" s="4"/>
      <c r="H33" s="4"/>
      <c r="I33" s="4"/>
      <c r="J33" s="4"/>
      <c r="K33" s="4"/>
      <c r="L33" s="4"/>
      <c r="M33" s="4"/>
      <c r="N33" s="4"/>
      <c r="O33" s="4"/>
      <c r="P33" s="4"/>
      <c r="Q33" s="4"/>
      <c r="R33" s="4"/>
      <c r="S33" s="4"/>
      <c r="T33" s="4"/>
      <c r="U33" s="4"/>
      <c r="V33" s="4"/>
      <c r="W33" s="4"/>
      <c r="X33" s="4"/>
      <c r="Y33" s="4"/>
      <c r="Z33" s="4"/>
    </row>
    <row r="34" ht="15.75" customHeight="1">
      <c r="A34" s="1"/>
      <c r="B34" s="1"/>
      <c r="C34" s="1"/>
      <c r="D34" s="1"/>
      <c r="E34" s="4"/>
      <c r="F34" s="4"/>
      <c r="G34" s="4"/>
      <c r="H34" s="4"/>
      <c r="I34" s="4"/>
      <c r="J34" s="4"/>
      <c r="K34" s="4"/>
      <c r="L34" s="4"/>
      <c r="M34" s="4"/>
      <c r="N34" s="4"/>
      <c r="O34" s="4"/>
      <c r="P34" s="4"/>
      <c r="Q34" s="4"/>
      <c r="R34" s="4"/>
      <c r="S34" s="4"/>
      <c r="T34" s="4"/>
      <c r="U34" s="4"/>
      <c r="V34" s="4"/>
      <c r="W34" s="4"/>
      <c r="X34" s="4"/>
      <c r="Y34" s="4"/>
      <c r="Z34" s="4"/>
    </row>
    <row r="35" ht="15.75" customHeight="1">
      <c r="A35" s="1"/>
      <c r="B35" s="1"/>
      <c r="C35" s="1"/>
      <c r="D35" s="1"/>
      <c r="E35" s="4"/>
      <c r="F35" s="4"/>
      <c r="G35" s="4"/>
      <c r="H35" s="4"/>
      <c r="I35" s="4"/>
      <c r="J35" s="4"/>
      <c r="K35" s="4"/>
      <c r="L35" s="4"/>
      <c r="M35" s="4"/>
      <c r="N35" s="4"/>
      <c r="O35" s="4"/>
      <c r="P35" s="4"/>
      <c r="Q35" s="4"/>
      <c r="R35" s="4"/>
      <c r="S35" s="4"/>
      <c r="T35" s="4"/>
      <c r="U35" s="4"/>
      <c r="V35" s="4"/>
      <c r="W35" s="4"/>
      <c r="X35" s="4"/>
      <c r="Y35" s="4"/>
      <c r="Z35" s="4"/>
    </row>
    <row r="36" ht="15.75" customHeight="1">
      <c r="A36" s="1"/>
      <c r="B36" s="1"/>
      <c r="C36" s="1"/>
      <c r="D36" s="1"/>
      <c r="E36" s="4"/>
      <c r="F36" s="4"/>
      <c r="G36" s="4"/>
      <c r="H36" s="4"/>
      <c r="I36" s="4"/>
      <c r="J36" s="4"/>
      <c r="K36" s="4"/>
      <c r="L36" s="4"/>
      <c r="M36" s="4"/>
      <c r="N36" s="4"/>
      <c r="O36" s="4"/>
      <c r="P36" s="4"/>
      <c r="Q36" s="4"/>
      <c r="R36" s="4"/>
      <c r="S36" s="4"/>
      <c r="T36" s="4"/>
      <c r="U36" s="4"/>
      <c r="V36" s="4"/>
      <c r="W36" s="4"/>
      <c r="X36" s="4"/>
      <c r="Y36" s="4"/>
      <c r="Z36" s="4"/>
    </row>
    <row r="37" ht="15.75" customHeight="1">
      <c r="A37" s="1"/>
      <c r="B37" s="1"/>
      <c r="C37" s="1"/>
      <c r="D37" s="1"/>
      <c r="E37" s="4"/>
      <c r="F37" s="4"/>
      <c r="G37" s="4"/>
      <c r="H37" s="4"/>
      <c r="I37" s="4"/>
      <c r="J37" s="4"/>
      <c r="K37" s="4"/>
      <c r="L37" s="4"/>
      <c r="M37" s="4"/>
      <c r="N37" s="4"/>
      <c r="O37" s="4"/>
      <c r="P37" s="4"/>
      <c r="Q37" s="4"/>
      <c r="R37" s="4"/>
      <c r="S37" s="4"/>
      <c r="T37" s="4"/>
      <c r="U37" s="4"/>
      <c r="V37" s="4"/>
      <c r="W37" s="4"/>
      <c r="X37" s="4"/>
      <c r="Y37" s="4"/>
      <c r="Z37" s="4"/>
    </row>
    <row r="38" ht="15.75" customHeight="1">
      <c r="A38" s="1"/>
      <c r="B38" s="1"/>
      <c r="C38" s="1"/>
      <c r="D38" s="1"/>
      <c r="E38" s="4"/>
      <c r="F38" s="4"/>
      <c r="G38" s="4"/>
      <c r="H38" s="4"/>
      <c r="I38" s="4"/>
      <c r="J38" s="4"/>
      <c r="K38" s="4"/>
      <c r="L38" s="4"/>
      <c r="M38" s="4"/>
      <c r="N38" s="4"/>
      <c r="O38" s="4"/>
      <c r="P38" s="4"/>
      <c r="Q38" s="4"/>
      <c r="R38" s="4"/>
      <c r="S38" s="4"/>
      <c r="T38" s="4"/>
      <c r="U38" s="4"/>
      <c r="V38" s="4"/>
      <c r="W38" s="4"/>
      <c r="X38" s="4"/>
      <c r="Y38" s="4"/>
      <c r="Z38" s="4"/>
    </row>
    <row r="39" ht="15.75" customHeight="1">
      <c r="A39" s="1"/>
      <c r="B39" s="1"/>
      <c r="C39" s="1"/>
      <c r="D39" s="1"/>
      <c r="E39" s="4"/>
      <c r="F39" s="4"/>
      <c r="G39" s="4"/>
      <c r="H39" s="4"/>
      <c r="I39" s="4"/>
      <c r="J39" s="4"/>
      <c r="K39" s="4"/>
      <c r="L39" s="4"/>
      <c r="M39" s="4"/>
      <c r="N39" s="4"/>
      <c r="O39" s="4"/>
      <c r="P39" s="4"/>
      <c r="Q39" s="4"/>
      <c r="R39" s="4"/>
      <c r="S39" s="4"/>
      <c r="T39" s="4"/>
      <c r="U39" s="4"/>
      <c r="V39" s="4"/>
      <c r="W39" s="4"/>
      <c r="X39" s="4"/>
      <c r="Y39" s="4"/>
      <c r="Z39" s="4"/>
    </row>
    <row r="40" ht="15.75" customHeight="1">
      <c r="A40" s="1"/>
      <c r="B40" s="1"/>
      <c r="C40" s="1"/>
      <c r="D40" s="1"/>
      <c r="E40" s="4"/>
      <c r="F40" s="4"/>
      <c r="G40" s="4"/>
      <c r="H40" s="4"/>
      <c r="I40" s="4"/>
      <c r="J40" s="4"/>
      <c r="K40" s="4"/>
      <c r="L40" s="4"/>
      <c r="M40" s="4"/>
      <c r="N40" s="4"/>
      <c r="O40" s="4"/>
      <c r="P40" s="4"/>
      <c r="Q40" s="4"/>
      <c r="R40" s="4"/>
      <c r="S40" s="4"/>
      <c r="T40" s="4"/>
      <c r="U40" s="4"/>
      <c r="V40" s="4"/>
      <c r="W40" s="4"/>
      <c r="X40" s="4"/>
      <c r="Y40" s="4"/>
      <c r="Z40" s="4"/>
    </row>
    <row r="41" ht="15.75" customHeight="1">
      <c r="A41" s="1"/>
      <c r="B41" s="1"/>
      <c r="C41" s="1"/>
      <c r="D41" s="1"/>
      <c r="E41" s="4"/>
      <c r="F41" s="4"/>
      <c r="G41" s="4"/>
      <c r="H41" s="4"/>
      <c r="I41" s="4"/>
      <c r="J41" s="4"/>
      <c r="K41" s="4"/>
      <c r="L41" s="4"/>
      <c r="M41" s="4"/>
      <c r="N41" s="4"/>
      <c r="O41" s="4"/>
      <c r="P41" s="4"/>
      <c r="Q41" s="4"/>
      <c r="R41" s="4"/>
      <c r="S41" s="4"/>
      <c r="T41" s="4"/>
      <c r="U41" s="4"/>
      <c r="V41" s="4"/>
      <c r="W41" s="4"/>
      <c r="X41" s="4"/>
      <c r="Y41" s="4"/>
      <c r="Z41" s="4"/>
    </row>
    <row r="42" ht="15.75" customHeight="1">
      <c r="A42" s="1"/>
      <c r="B42" s="1"/>
      <c r="C42" s="1"/>
      <c r="D42" s="1"/>
      <c r="E42" s="4"/>
      <c r="F42" s="4"/>
      <c r="G42" s="4"/>
      <c r="H42" s="4"/>
      <c r="I42" s="4"/>
      <c r="J42" s="4"/>
      <c r="K42" s="4"/>
      <c r="L42" s="4"/>
      <c r="M42" s="4"/>
      <c r="N42" s="4"/>
      <c r="O42" s="4"/>
      <c r="P42" s="4"/>
      <c r="Q42" s="4"/>
      <c r="R42" s="4"/>
      <c r="S42" s="4"/>
      <c r="T42" s="4"/>
      <c r="U42" s="4"/>
      <c r="V42" s="4"/>
      <c r="W42" s="4"/>
      <c r="X42" s="4"/>
      <c r="Y42" s="4"/>
      <c r="Z42" s="4"/>
    </row>
    <row r="43" ht="15.75" customHeight="1">
      <c r="A43" s="1"/>
      <c r="B43" s="1"/>
      <c r="C43" s="1"/>
      <c r="D43" s="1"/>
      <c r="E43" s="4"/>
      <c r="F43" s="4"/>
      <c r="G43" s="4"/>
      <c r="H43" s="4"/>
      <c r="I43" s="4"/>
      <c r="J43" s="4"/>
      <c r="K43" s="4"/>
      <c r="L43" s="4"/>
      <c r="M43" s="4"/>
      <c r="N43" s="4"/>
      <c r="O43" s="4"/>
      <c r="P43" s="4"/>
      <c r="Q43" s="4"/>
      <c r="R43" s="4"/>
      <c r="S43" s="4"/>
      <c r="T43" s="4"/>
      <c r="U43" s="4"/>
      <c r="V43" s="4"/>
      <c r="W43" s="4"/>
      <c r="X43" s="4"/>
      <c r="Y43" s="4"/>
      <c r="Z43" s="4"/>
    </row>
    <row r="44" ht="15.75" customHeight="1">
      <c r="A44" s="1"/>
      <c r="B44" s="1"/>
      <c r="C44" s="1"/>
      <c r="D44" s="1"/>
      <c r="E44" s="4"/>
      <c r="F44" s="4"/>
      <c r="G44" s="4"/>
      <c r="H44" s="4"/>
      <c r="I44" s="4"/>
      <c r="J44" s="4"/>
      <c r="K44" s="4"/>
      <c r="L44" s="4"/>
      <c r="M44" s="4"/>
      <c r="N44" s="4"/>
      <c r="O44" s="4"/>
      <c r="P44" s="4"/>
      <c r="Q44" s="4"/>
      <c r="R44" s="4"/>
      <c r="S44" s="4"/>
      <c r="T44" s="4"/>
      <c r="U44" s="4"/>
      <c r="V44" s="4"/>
      <c r="W44" s="4"/>
      <c r="X44" s="4"/>
      <c r="Y44" s="4"/>
      <c r="Z44" s="4"/>
    </row>
    <row r="45" ht="15.75" customHeight="1">
      <c r="A45" s="1"/>
      <c r="B45" s="1"/>
      <c r="C45" s="1"/>
      <c r="D45" s="1"/>
      <c r="E45" s="4"/>
      <c r="F45" s="4"/>
      <c r="G45" s="4"/>
      <c r="H45" s="4"/>
      <c r="I45" s="4"/>
      <c r="J45" s="4"/>
      <c r="K45" s="4"/>
      <c r="L45" s="4"/>
      <c r="M45" s="4"/>
      <c r="N45" s="4"/>
      <c r="O45" s="4"/>
      <c r="P45" s="4"/>
      <c r="Q45" s="4"/>
      <c r="R45" s="4"/>
      <c r="S45" s="4"/>
      <c r="T45" s="4"/>
      <c r="U45" s="4"/>
      <c r="V45" s="4"/>
      <c r="W45" s="4"/>
      <c r="X45" s="4"/>
      <c r="Y45" s="4"/>
      <c r="Z45" s="4"/>
    </row>
    <row r="46" ht="15.75" customHeight="1">
      <c r="A46" s="1"/>
      <c r="B46" s="1"/>
      <c r="C46" s="1"/>
      <c r="D46" s="1"/>
      <c r="E46" s="4"/>
      <c r="F46" s="4"/>
      <c r="G46" s="4"/>
      <c r="H46" s="4"/>
      <c r="I46" s="4"/>
      <c r="J46" s="4"/>
      <c r="K46" s="4"/>
      <c r="L46" s="4"/>
      <c r="M46" s="4"/>
      <c r="N46" s="4"/>
      <c r="O46" s="4"/>
      <c r="P46" s="4"/>
      <c r="Q46" s="4"/>
      <c r="R46" s="4"/>
      <c r="S46" s="4"/>
      <c r="T46" s="4"/>
      <c r="U46" s="4"/>
      <c r="V46" s="4"/>
      <c r="W46" s="4"/>
      <c r="X46" s="4"/>
      <c r="Y46" s="4"/>
      <c r="Z46" s="4"/>
    </row>
    <row r="47" ht="15.75" customHeight="1">
      <c r="A47" s="1"/>
      <c r="B47" s="1"/>
      <c r="C47" s="1"/>
      <c r="D47" s="1"/>
      <c r="E47" s="4"/>
      <c r="F47" s="4"/>
      <c r="G47" s="4"/>
      <c r="H47" s="4"/>
      <c r="I47" s="4"/>
      <c r="J47" s="4"/>
      <c r="K47" s="4"/>
      <c r="L47" s="4"/>
      <c r="M47" s="4"/>
      <c r="N47" s="4"/>
      <c r="O47" s="4"/>
      <c r="P47" s="4"/>
      <c r="Q47" s="4"/>
      <c r="R47" s="4"/>
      <c r="S47" s="4"/>
      <c r="T47" s="4"/>
      <c r="U47" s="4"/>
      <c r="V47" s="4"/>
      <c r="W47" s="4"/>
      <c r="X47" s="4"/>
      <c r="Y47" s="4"/>
      <c r="Z47" s="4"/>
    </row>
    <row r="48" ht="15.75" customHeight="1">
      <c r="A48" s="1"/>
      <c r="B48" s="1"/>
      <c r="C48" s="1"/>
      <c r="D48" s="1"/>
      <c r="E48" s="4"/>
      <c r="F48" s="4"/>
      <c r="G48" s="4"/>
      <c r="H48" s="4"/>
      <c r="I48" s="4"/>
      <c r="J48" s="4"/>
      <c r="K48" s="4"/>
      <c r="L48" s="4"/>
      <c r="M48" s="4"/>
      <c r="N48" s="4"/>
      <c r="O48" s="4"/>
      <c r="P48" s="4"/>
      <c r="Q48" s="4"/>
      <c r="R48" s="4"/>
      <c r="S48" s="4"/>
      <c r="T48" s="4"/>
      <c r="U48" s="4"/>
      <c r="V48" s="4"/>
      <c r="W48" s="4"/>
      <c r="X48" s="4"/>
      <c r="Y48" s="4"/>
      <c r="Z48" s="4"/>
    </row>
    <row r="49" ht="15.75" customHeight="1">
      <c r="A49" s="1"/>
      <c r="B49" s="1"/>
      <c r="C49" s="1"/>
      <c r="D49" s="1"/>
      <c r="E49" s="4"/>
      <c r="F49" s="4"/>
      <c r="G49" s="4"/>
      <c r="H49" s="4"/>
      <c r="I49" s="4"/>
      <c r="J49" s="4"/>
      <c r="K49" s="4"/>
      <c r="L49" s="4"/>
      <c r="M49" s="4"/>
      <c r="N49" s="4"/>
      <c r="O49" s="4"/>
      <c r="P49" s="4"/>
      <c r="Q49" s="4"/>
      <c r="R49" s="4"/>
      <c r="S49" s="4"/>
      <c r="T49" s="4"/>
      <c r="U49" s="4"/>
      <c r="V49" s="4"/>
      <c r="W49" s="4"/>
      <c r="X49" s="4"/>
      <c r="Y49" s="4"/>
      <c r="Z49" s="4"/>
    </row>
    <row r="50" ht="15.75" customHeight="1">
      <c r="A50" s="1"/>
      <c r="B50" s="1"/>
      <c r="C50" s="1"/>
      <c r="D50" s="1"/>
      <c r="E50" s="4"/>
      <c r="F50" s="4"/>
      <c r="G50" s="4"/>
      <c r="H50" s="4"/>
      <c r="I50" s="4"/>
      <c r="J50" s="4"/>
      <c r="K50" s="4"/>
      <c r="L50" s="4"/>
      <c r="M50" s="4"/>
      <c r="N50" s="4"/>
      <c r="O50" s="4"/>
      <c r="P50" s="4"/>
      <c r="Q50" s="4"/>
      <c r="R50" s="4"/>
      <c r="S50" s="4"/>
      <c r="T50" s="4"/>
      <c r="U50" s="4"/>
      <c r="V50" s="4"/>
      <c r="W50" s="4"/>
      <c r="X50" s="4"/>
      <c r="Y50" s="4"/>
      <c r="Z50" s="4"/>
    </row>
    <row r="51" ht="15.75" customHeight="1">
      <c r="A51" s="1"/>
      <c r="B51" s="1"/>
      <c r="C51" s="1"/>
      <c r="D51" s="1"/>
      <c r="E51" s="4"/>
      <c r="F51" s="4"/>
      <c r="G51" s="4"/>
      <c r="H51" s="4"/>
      <c r="I51" s="4"/>
      <c r="J51" s="4"/>
      <c r="K51" s="4"/>
      <c r="L51" s="4"/>
      <c r="M51" s="4"/>
      <c r="N51" s="4"/>
      <c r="O51" s="4"/>
      <c r="P51" s="4"/>
      <c r="Q51" s="4"/>
      <c r="R51" s="4"/>
      <c r="S51" s="4"/>
      <c r="T51" s="4"/>
      <c r="U51" s="4"/>
      <c r="V51" s="4"/>
      <c r="W51" s="4"/>
      <c r="X51" s="4"/>
      <c r="Y51" s="4"/>
      <c r="Z51" s="4"/>
    </row>
    <row r="52" ht="15.75" customHeight="1">
      <c r="A52" s="1"/>
      <c r="B52" s="1"/>
      <c r="C52" s="1"/>
      <c r="D52" s="1"/>
      <c r="E52" s="4"/>
      <c r="F52" s="4"/>
      <c r="G52" s="4"/>
      <c r="H52" s="4"/>
      <c r="I52" s="4"/>
      <c r="J52" s="4"/>
      <c r="K52" s="4"/>
      <c r="L52" s="4"/>
      <c r="M52" s="4"/>
      <c r="N52" s="4"/>
      <c r="O52" s="4"/>
      <c r="P52" s="4"/>
      <c r="Q52" s="4"/>
      <c r="R52" s="4"/>
      <c r="S52" s="4"/>
      <c r="T52" s="4"/>
      <c r="U52" s="4"/>
      <c r="V52" s="4"/>
      <c r="W52" s="4"/>
      <c r="X52" s="4"/>
      <c r="Y52" s="4"/>
      <c r="Z52" s="4"/>
    </row>
    <row r="53" ht="15.75" customHeight="1">
      <c r="A53" s="1"/>
      <c r="B53" s="1"/>
      <c r="C53" s="1"/>
      <c r="D53" s="1"/>
      <c r="E53" s="4"/>
      <c r="F53" s="4"/>
      <c r="G53" s="4"/>
      <c r="H53" s="4"/>
      <c r="I53" s="4"/>
      <c r="J53" s="4"/>
      <c r="K53" s="4"/>
      <c r="L53" s="4"/>
      <c r="M53" s="4"/>
      <c r="N53" s="4"/>
      <c r="O53" s="4"/>
      <c r="P53" s="4"/>
      <c r="Q53" s="4"/>
      <c r="R53" s="4"/>
      <c r="S53" s="4"/>
      <c r="T53" s="4"/>
      <c r="U53" s="4"/>
      <c r="V53" s="4"/>
      <c r="W53" s="4"/>
      <c r="X53" s="4"/>
      <c r="Y53" s="4"/>
      <c r="Z53" s="4"/>
    </row>
    <row r="54" ht="15.75" customHeight="1">
      <c r="A54" s="1"/>
      <c r="B54" s="1"/>
      <c r="C54" s="1"/>
      <c r="D54" s="1"/>
      <c r="E54" s="4"/>
      <c r="F54" s="4"/>
      <c r="G54" s="4"/>
      <c r="H54" s="4"/>
      <c r="I54" s="4"/>
      <c r="J54" s="4"/>
      <c r="K54" s="4"/>
      <c r="L54" s="4"/>
      <c r="M54" s="4"/>
      <c r="N54" s="4"/>
      <c r="O54" s="4"/>
      <c r="P54" s="4"/>
      <c r="Q54" s="4"/>
      <c r="R54" s="4"/>
      <c r="S54" s="4"/>
      <c r="T54" s="4"/>
      <c r="U54" s="4"/>
      <c r="V54" s="4"/>
      <c r="W54" s="4"/>
      <c r="X54" s="4"/>
      <c r="Y54" s="4"/>
      <c r="Z54" s="4"/>
    </row>
    <row r="55" ht="15.75" customHeight="1">
      <c r="A55" s="1"/>
      <c r="B55" s="1"/>
      <c r="C55" s="1"/>
      <c r="D55" s="1"/>
      <c r="E55" s="4"/>
      <c r="F55" s="4"/>
      <c r="G55" s="4"/>
      <c r="H55" s="4"/>
      <c r="I55" s="4"/>
      <c r="J55" s="4"/>
      <c r="K55" s="4"/>
      <c r="L55" s="4"/>
      <c r="M55" s="4"/>
      <c r="N55" s="4"/>
      <c r="O55" s="4"/>
      <c r="P55" s="4"/>
      <c r="Q55" s="4"/>
      <c r="R55" s="4"/>
      <c r="S55" s="4"/>
      <c r="T55" s="4"/>
      <c r="U55" s="4"/>
      <c r="V55" s="4"/>
      <c r="W55" s="4"/>
      <c r="X55" s="4"/>
      <c r="Y55" s="4"/>
      <c r="Z55" s="4"/>
    </row>
    <row r="56" ht="15.75" customHeight="1">
      <c r="A56" s="1"/>
      <c r="B56" s="1"/>
      <c r="C56" s="1"/>
      <c r="D56" s="1"/>
      <c r="E56" s="4"/>
      <c r="F56" s="4"/>
      <c r="G56" s="4"/>
      <c r="H56" s="4"/>
      <c r="I56" s="4"/>
      <c r="J56" s="4"/>
      <c r="K56" s="4"/>
      <c r="L56" s="4"/>
      <c r="M56" s="4"/>
      <c r="N56" s="4"/>
      <c r="O56" s="4"/>
      <c r="P56" s="4"/>
      <c r="Q56" s="4"/>
      <c r="R56" s="4"/>
      <c r="S56" s="4"/>
      <c r="T56" s="4"/>
      <c r="U56" s="4"/>
      <c r="V56" s="4"/>
      <c r="W56" s="4"/>
      <c r="X56" s="4"/>
      <c r="Y56" s="4"/>
      <c r="Z56" s="4"/>
    </row>
    <row r="57" ht="15.75" customHeight="1">
      <c r="A57" s="1"/>
      <c r="B57" s="1"/>
      <c r="C57" s="1"/>
      <c r="D57" s="1"/>
      <c r="E57" s="4"/>
      <c r="F57" s="4"/>
      <c r="G57" s="4"/>
      <c r="H57" s="4"/>
      <c r="I57" s="4"/>
      <c r="J57" s="4"/>
      <c r="K57" s="4"/>
      <c r="L57" s="4"/>
      <c r="M57" s="4"/>
      <c r="N57" s="4"/>
      <c r="O57" s="4"/>
      <c r="P57" s="4"/>
      <c r="Q57" s="4"/>
      <c r="R57" s="4"/>
      <c r="S57" s="4"/>
      <c r="T57" s="4"/>
      <c r="U57" s="4"/>
      <c r="V57" s="4"/>
      <c r="W57" s="4"/>
      <c r="X57" s="4"/>
      <c r="Y57" s="4"/>
      <c r="Z57" s="4"/>
    </row>
    <row r="58" ht="15.75" customHeight="1">
      <c r="A58" s="1"/>
      <c r="B58" s="1"/>
      <c r="C58" s="1"/>
      <c r="D58" s="1"/>
      <c r="E58" s="4"/>
      <c r="F58" s="4"/>
      <c r="G58" s="4"/>
      <c r="H58" s="4"/>
      <c r="I58" s="4"/>
      <c r="J58" s="4"/>
      <c r="K58" s="4"/>
      <c r="L58" s="4"/>
      <c r="M58" s="4"/>
      <c r="N58" s="4"/>
      <c r="O58" s="4"/>
      <c r="P58" s="4"/>
      <c r="Q58" s="4"/>
      <c r="R58" s="4"/>
      <c r="S58" s="4"/>
      <c r="T58" s="4"/>
      <c r="U58" s="4"/>
      <c r="V58" s="4"/>
      <c r="W58" s="4"/>
      <c r="X58" s="4"/>
      <c r="Y58" s="4"/>
      <c r="Z58" s="4"/>
    </row>
    <row r="59" ht="15.75" customHeight="1">
      <c r="A59" s="1"/>
      <c r="B59" s="1"/>
      <c r="C59" s="1"/>
      <c r="D59" s="1"/>
      <c r="E59" s="4"/>
      <c r="F59" s="4"/>
      <c r="G59" s="4"/>
      <c r="H59" s="4"/>
      <c r="I59" s="4"/>
      <c r="J59" s="4"/>
      <c r="K59" s="4"/>
      <c r="L59" s="4"/>
      <c r="M59" s="4"/>
      <c r="N59" s="4"/>
      <c r="O59" s="4"/>
      <c r="P59" s="4"/>
      <c r="Q59" s="4"/>
      <c r="R59" s="4"/>
      <c r="S59" s="4"/>
      <c r="T59" s="4"/>
      <c r="U59" s="4"/>
      <c r="V59" s="4"/>
      <c r="W59" s="4"/>
      <c r="X59" s="4"/>
      <c r="Y59" s="4"/>
      <c r="Z59" s="4"/>
    </row>
    <row r="60" ht="15.75" customHeight="1">
      <c r="A60" s="1"/>
      <c r="B60" s="1"/>
      <c r="C60" s="1"/>
      <c r="D60" s="1"/>
      <c r="E60" s="4"/>
      <c r="F60" s="4"/>
      <c r="G60" s="4"/>
      <c r="H60" s="4"/>
      <c r="I60" s="4"/>
      <c r="J60" s="4"/>
      <c r="K60" s="4"/>
      <c r="L60" s="4"/>
      <c r="M60" s="4"/>
      <c r="N60" s="4"/>
      <c r="O60" s="4"/>
      <c r="P60" s="4"/>
      <c r="Q60" s="4"/>
      <c r="R60" s="4"/>
      <c r="S60" s="4"/>
      <c r="T60" s="4"/>
      <c r="U60" s="4"/>
      <c r="V60" s="4"/>
      <c r="W60" s="4"/>
      <c r="X60" s="4"/>
      <c r="Y60" s="4"/>
      <c r="Z60" s="4"/>
    </row>
    <row r="61" ht="15.75" customHeight="1">
      <c r="A61" s="1"/>
      <c r="B61" s="1"/>
      <c r="C61" s="1"/>
      <c r="D61" s="1"/>
      <c r="E61" s="4"/>
      <c r="F61" s="4"/>
      <c r="G61" s="4"/>
      <c r="H61" s="4"/>
      <c r="I61" s="4"/>
      <c r="J61" s="4"/>
      <c r="K61" s="4"/>
      <c r="L61" s="4"/>
      <c r="M61" s="4"/>
      <c r="N61" s="4"/>
      <c r="O61" s="4"/>
      <c r="P61" s="4"/>
      <c r="Q61" s="4"/>
      <c r="R61" s="4"/>
      <c r="S61" s="4"/>
      <c r="T61" s="4"/>
      <c r="U61" s="4"/>
      <c r="V61" s="4"/>
      <c r="W61" s="4"/>
      <c r="X61" s="4"/>
      <c r="Y61" s="4"/>
      <c r="Z61" s="4"/>
    </row>
    <row r="62" ht="15.75" customHeight="1">
      <c r="A62" s="1"/>
      <c r="B62" s="1"/>
      <c r="C62" s="1"/>
      <c r="D62" s="1"/>
      <c r="E62" s="4"/>
      <c r="F62" s="4"/>
      <c r="G62" s="4"/>
      <c r="H62" s="4"/>
      <c r="I62" s="4"/>
      <c r="J62" s="4"/>
      <c r="K62" s="4"/>
      <c r="L62" s="4"/>
      <c r="M62" s="4"/>
      <c r="N62" s="4"/>
      <c r="O62" s="4"/>
      <c r="P62" s="4"/>
      <c r="Q62" s="4"/>
      <c r="R62" s="4"/>
      <c r="S62" s="4"/>
      <c r="T62" s="4"/>
      <c r="U62" s="4"/>
      <c r="V62" s="4"/>
      <c r="W62" s="4"/>
      <c r="X62" s="4"/>
      <c r="Y62" s="4"/>
      <c r="Z62" s="4"/>
    </row>
    <row r="63" ht="15.75" customHeight="1">
      <c r="A63" s="1"/>
      <c r="B63" s="1"/>
      <c r="C63" s="1"/>
      <c r="D63" s="1"/>
      <c r="E63" s="4"/>
      <c r="F63" s="4"/>
      <c r="G63" s="4"/>
      <c r="H63" s="4"/>
      <c r="I63" s="4"/>
      <c r="J63" s="4"/>
      <c r="K63" s="4"/>
      <c r="L63" s="4"/>
      <c r="M63" s="4"/>
      <c r="N63" s="4"/>
      <c r="O63" s="4"/>
      <c r="P63" s="4"/>
      <c r="Q63" s="4"/>
      <c r="R63" s="4"/>
      <c r="S63" s="4"/>
      <c r="T63" s="4"/>
      <c r="U63" s="4"/>
      <c r="V63" s="4"/>
      <c r="W63" s="4"/>
      <c r="X63" s="4"/>
      <c r="Y63" s="4"/>
      <c r="Z63" s="4"/>
    </row>
    <row r="64" ht="15.75" customHeight="1">
      <c r="A64" s="1"/>
      <c r="B64" s="1"/>
      <c r="C64" s="1"/>
      <c r="D64" s="1"/>
      <c r="E64" s="4"/>
      <c r="F64" s="4"/>
      <c r="G64" s="4"/>
      <c r="H64" s="4"/>
      <c r="I64" s="4"/>
      <c r="J64" s="4"/>
      <c r="K64" s="4"/>
      <c r="L64" s="4"/>
      <c r="M64" s="4"/>
      <c r="N64" s="4"/>
      <c r="O64" s="4"/>
      <c r="P64" s="4"/>
      <c r="Q64" s="4"/>
      <c r="R64" s="4"/>
      <c r="S64" s="4"/>
      <c r="T64" s="4"/>
      <c r="U64" s="4"/>
      <c r="V64" s="4"/>
      <c r="W64" s="4"/>
      <c r="X64" s="4"/>
      <c r="Y64" s="4"/>
      <c r="Z64" s="4"/>
    </row>
    <row r="65" ht="15.75" customHeight="1">
      <c r="A65" s="1"/>
      <c r="B65" s="1"/>
      <c r="C65" s="1"/>
      <c r="D65" s="1"/>
      <c r="E65" s="4"/>
      <c r="F65" s="4"/>
      <c r="G65" s="4"/>
      <c r="H65" s="4"/>
      <c r="I65" s="4"/>
      <c r="J65" s="4"/>
      <c r="K65" s="4"/>
      <c r="L65" s="4"/>
      <c r="M65" s="4"/>
      <c r="N65" s="4"/>
      <c r="O65" s="4"/>
      <c r="P65" s="4"/>
      <c r="Q65" s="4"/>
      <c r="R65" s="4"/>
      <c r="S65" s="4"/>
      <c r="T65" s="4"/>
      <c r="U65" s="4"/>
      <c r="V65" s="4"/>
      <c r="W65" s="4"/>
      <c r="X65" s="4"/>
      <c r="Y65" s="4"/>
      <c r="Z65" s="4"/>
    </row>
    <row r="66" ht="15.75" customHeight="1">
      <c r="A66" s="1"/>
      <c r="B66" s="1"/>
      <c r="C66" s="1"/>
      <c r="D66" s="1"/>
      <c r="E66" s="4"/>
      <c r="F66" s="4"/>
      <c r="G66" s="4"/>
      <c r="H66" s="4"/>
      <c r="I66" s="4"/>
      <c r="J66" s="4"/>
      <c r="K66" s="4"/>
      <c r="L66" s="4"/>
      <c r="M66" s="4"/>
      <c r="N66" s="4"/>
      <c r="O66" s="4"/>
      <c r="P66" s="4"/>
      <c r="Q66" s="4"/>
      <c r="R66" s="4"/>
      <c r="S66" s="4"/>
      <c r="T66" s="4"/>
      <c r="U66" s="4"/>
      <c r="V66" s="4"/>
      <c r="W66" s="4"/>
      <c r="X66" s="4"/>
      <c r="Y66" s="4"/>
      <c r="Z66" s="4"/>
    </row>
    <row r="67" ht="15.75" customHeight="1">
      <c r="A67" s="1"/>
      <c r="B67" s="1"/>
      <c r="C67" s="1"/>
      <c r="D67" s="1"/>
      <c r="E67" s="4"/>
      <c r="F67" s="4"/>
      <c r="G67" s="4"/>
      <c r="H67" s="4"/>
      <c r="I67" s="4"/>
      <c r="J67" s="4"/>
      <c r="K67" s="4"/>
      <c r="L67" s="4"/>
      <c r="M67" s="4"/>
      <c r="N67" s="4"/>
      <c r="O67" s="4"/>
      <c r="P67" s="4"/>
      <c r="Q67" s="4"/>
      <c r="R67" s="4"/>
      <c r="S67" s="4"/>
      <c r="T67" s="4"/>
      <c r="U67" s="4"/>
      <c r="V67" s="4"/>
      <c r="W67" s="4"/>
      <c r="X67" s="4"/>
      <c r="Y67" s="4"/>
      <c r="Z67" s="4"/>
    </row>
    <row r="68" ht="15.75" customHeight="1">
      <c r="A68" s="1"/>
      <c r="B68" s="1"/>
      <c r="C68" s="1"/>
      <c r="D68" s="1"/>
      <c r="E68" s="4"/>
      <c r="F68" s="4"/>
      <c r="G68" s="4"/>
      <c r="H68" s="4"/>
      <c r="I68" s="4"/>
      <c r="J68" s="4"/>
      <c r="K68" s="4"/>
      <c r="L68" s="4"/>
      <c r="M68" s="4"/>
      <c r="N68" s="4"/>
      <c r="O68" s="4"/>
      <c r="P68" s="4"/>
      <c r="Q68" s="4"/>
      <c r="R68" s="4"/>
      <c r="S68" s="4"/>
      <c r="T68" s="4"/>
      <c r="U68" s="4"/>
      <c r="V68" s="4"/>
      <c r="W68" s="4"/>
      <c r="X68" s="4"/>
      <c r="Y68" s="4"/>
      <c r="Z68" s="4"/>
    </row>
    <row r="69" ht="15.75" customHeight="1">
      <c r="A69" s="1"/>
      <c r="B69" s="1"/>
      <c r="C69" s="1"/>
      <c r="D69" s="1"/>
      <c r="E69" s="4"/>
      <c r="F69" s="4"/>
      <c r="G69" s="4"/>
      <c r="H69" s="4"/>
      <c r="I69" s="4"/>
      <c r="J69" s="4"/>
      <c r="K69" s="4"/>
      <c r="L69" s="4"/>
      <c r="M69" s="4"/>
      <c r="N69" s="4"/>
      <c r="O69" s="4"/>
      <c r="P69" s="4"/>
      <c r="Q69" s="4"/>
      <c r="R69" s="4"/>
      <c r="S69" s="4"/>
      <c r="T69" s="4"/>
      <c r="U69" s="4"/>
      <c r="V69" s="4"/>
      <c r="W69" s="4"/>
      <c r="X69" s="4"/>
      <c r="Y69" s="4"/>
      <c r="Z69" s="4"/>
    </row>
    <row r="70" ht="15.75" customHeight="1">
      <c r="A70" s="1"/>
      <c r="B70" s="1"/>
      <c r="C70" s="1"/>
      <c r="D70" s="1"/>
      <c r="E70" s="4"/>
      <c r="F70" s="4"/>
      <c r="G70" s="4"/>
      <c r="H70" s="4"/>
      <c r="I70" s="4"/>
      <c r="J70" s="4"/>
      <c r="K70" s="4"/>
      <c r="L70" s="4"/>
      <c r="M70" s="4"/>
      <c r="N70" s="4"/>
      <c r="O70" s="4"/>
      <c r="P70" s="4"/>
      <c r="Q70" s="4"/>
      <c r="R70" s="4"/>
      <c r="S70" s="4"/>
      <c r="T70" s="4"/>
      <c r="U70" s="4"/>
      <c r="V70" s="4"/>
      <c r="W70" s="4"/>
      <c r="X70" s="4"/>
      <c r="Y70" s="4"/>
      <c r="Z70" s="4"/>
    </row>
    <row r="71" ht="15.75" customHeight="1">
      <c r="A71" s="1"/>
      <c r="B71" s="1"/>
      <c r="C71" s="1"/>
      <c r="D71" s="1"/>
      <c r="E71" s="4"/>
      <c r="F71" s="4"/>
      <c r="G71" s="4"/>
      <c r="H71" s="4"/>
      <c r="I71" s="4"/>
      <c r="J71" s="4"/>
      <c r="K71" s="4"/>
      <c r="L71" s="4"/>
      <c r="M71" s="4"/>
      <c r="N71" s="4"/>
      <c r="O71" s="4"/>
      <c r="P71" s="4"/>
      <c r="Q71" s="4"/>
      <c r="R71" s="4"/>
      <c r="S71" s="4"/>
      <c r="T71" s="4"/>
      <c r="U71" s="4"/>
      <c r="V71" s="4"/>
      <c r="W71" s="4"/>
      <c r="X71" s="4"/>
      <c r="Y71" s="4"/>
      <c r="Z71" s="4"/>
    </row>
    <row r="72" ht="15.75" customHeight="1">
      <c r="A72" s="1"/>
      <c r="B72" s="1"/>
      <c r="C72" s="1"/>
      <c r="D72" s="1"/>
      <c r="E72" s="4"/>
      <c r="F72" s="4"/>
      <c r="G72" s="4"/>
      <c r="H72" s="4"/>
      <c r="I72" s="4"/>
      <c r="J72" s="4"/>
      <c r="K72" s="4"/>
      <c r="L72" s="4"/>
      <c r="M72" s="4"/>
      <c r="N72" s="4"/>
      <c r="O72" s="4"/>
      <c r="P72" s="4"/>
      <c r="Q72" s="4"/>
      <c r="R72" s="4"/>
      <c r="S72" s="4"/>
      <c r="T72" s="4"/>
      <c r="U72" s="4"/>
      <c r="V72" s="4"/>
      <c r="W72" s="4"/>
      <c r="X72" s="4"/>
      <c r="Y72" s="4"/>
      <c r="Z72" s="4"/>
    </row>
    <row r="73" ht="15.75" customHeight="1">
      <c r="A73" s="1"/>
      <c r="B73" s="1"/>
      <c r="C73" s="1"/>
      <c r="D73" s="1"/>
      <c r="E73" s="4"/>
      <c r="F73" s="4"/>
      <c r="G73" s="4"/>
      <c r="H73" s="4"/>
      <c r="I73" s="4"/>
      <c r="J73" s="4"/>
      <c r="K73" s="4"/>
      <c r="L73" s="4"/>
      <c r="M73" s="4"/>
      <c r="N73" s="4"/>
      <c r="O73" s="4"/>
      <c r="P73" s="4"/>
      <c r="Q73" s="4"/>
      <c r="R73" s="4"/>
      <c r="S73" s="4"/>
      <c r="T73" s="4"/>
      <c r="U73" s="4"/>
      <c r="V73" s="4"/>
      <c r="W73" s="4"/>
      <c r="X73" s="4"/>
      <c r="Y73" s="4"/>
      <c r="Z73" s="4"/>
    </row>
    <row r="74" ht="15.75" customHeight="1">
      <c r="A74" s="1"/>
      <c r="B74" s="1"/>
      <c r="C74" s="1"/>
      <c r="D74" s="1"/>
      <c r="E74" s="4"/>
      <c r="F74" s="4"/>
      <c r="G74" s="4"/>
      <c r="H74" s="4"/>
      <c r="I74" s="4"/>
      <c r="J74" s="4"/>
      <c r="K74" s="4"/>
      <c r="L74" s="4"/>
      <c r="M74" s="4"/>
      <c r="N74" s="4"/>
      <c r="O74" s="4"/>
      <c r="P74" s="4"/>
      <c r="Q74" s="4"/>
      <c r="R74" s="4"/>
      <c r="S74" s="4"/>
      <c r="T74" s="4"/>
      <c r="U74" s="4"/>
      <c r="V74" s="4"/>
      <c r="W74" s="4"/>
      <c r="X74" s="4"/>
      <c r="Y74" s="4"/>
      <c r="Z74" s="4"/>
    </row>
    <row r="75" ht="15.75" customHeight="1">
      <c r="A75" s="1"/>
      <c r="B75" s="1"/>
      <c r="C75" s="1"/>
      <c r="D75" s="1"/>
      <c r="E75" s="4"/>
      <c r="F75" s="4"/>
      <c r="G75" s="4"/>
      <c r="H75" s="4"/>
      <c r="I75" s="4"/>
      <c r="J75" s="4"/>
      <c r="K75" s="4"/>
      <c r="L75" s="4"/>
      <c r="M75" s="4"/>
      <c r="N75" s="4"/>
      <c r="O75" s="4"/>
      <c r="P75" s="4"/>
      <c r="Q75" s="4"/>
      <c r="R75" s="4"/>
      <c r="S75" s="4"/>
      <c r="T75" s="4"/>
      <c r="U75" s="4"/>
      <c r="V75" s="4"/>
      <c r="W75" s="4"/>
      <c r="X75" s="4"/>
      <c r="Y75" s="4"/>
      <c r="Z75" s="4"/>
    </row>
    <row r="76" ht="15.75" customHeight="1">
      <c r="A76" s="1"/>
      <c r="B76" s="1"/>
      <c r="C76" s="1"/>
      <c r="D76" s="1"/>
      <c r="E76" s="4"/>
      <c r="F76" s="4"/>
      <c r="G76" s="4"/>
      <c r="H76" s="4"/>
      <c r="I76" s="4"/>
      <c r="J76" s="4"/>
      <c r="K76" s="4"/>
      <c r="L76" s="4"/>
      <c r="M76" s="4"/>
      <c r="N76" s="4"/>
      <c r="O76" s="4"/>
      <c r="P76" s="4"/>
      <c r="Q76" s="4"/>
      <c r="R76" s="4"/>
      <c r="S76" s="4"/>
      <c r="T76" s="4"/>
      <c r="U76" s="4"/>
      <c r="V76" s="4"/>
      <c r="W76" s="4"/>
      <c r="X76" s="4"/>
      <c r="Y76" s="4"/>
      <c r="Z76" s="4"/>
    </row>
    <row r="77" ht="15.75" customHeight="1">
      <c r="A77" s="1"/>
      <c r="B77" s="1"/>
      <c r="C77" s="1"/>
      <c r="D77" s="1"/>
      <c r="E77" s="4"/>
      <c r="F77" s="4"/>
      <c r="G77" s="4"/>
      <c r="H77" s="4"/>
      <c r="I77" s="4"/>
      <c r="J77" s="4"/>
      <c r="K77" s="4"/>
      <c r="L77" s="4"/>
      <c r="M77" s="4"/>
      <c r="N77" s="4"/>
      <c r="O77" s="4"/>
      <c r="P77" s="4"/>
      <c r="Q77" s="4"/>
      <c r="R77" s="4"/>
      <c r="S77" s="4"/>
      <c r="T77" s="4"/>
      <c r="U77" s="4"/>
      <c r="V77" s="4"/>
      <c r="W77" s="4"/>
      <c r="X77" s="4"/>
      <c r="Y77" s="4"/>
      <c r="Z77" s="4"/>
    </row>
    <row r="78" ht="15.75" customHeight="1">
      <c r="A78" s="1"/>
      <c r="B78" s="1"/>
      <c r="C78" s="1"/>
      <c r="D78" s="1"/>
      <c r="E78" s="4"/>
      <c r="F78" s="4"/>
      <c r="G78" s="4"/>
      <c r="H78" s="4"/>
      <c r="I78" s="4"/>
      <c r="J78" s="4"/>
      <c r="K78" s="4"/>
      <c r="L78" s="4"/>
      <c r="M78" s="4"/>
      <c r="N78" s="4"/>
      <c r="O78" s="4"/>
      <c r="P78" s="4"/>
      <c r="Q78" s="4"/>
      <c r="R78" s="4"/>
      <c r="S78" s="4"/>
      <c r="T78" s="4"/>
      <c r="U78" s="4"/>
      <c r="V78" s="4"/>
      <c r="W78" s="4"/>
      <c r="X78" s="4"/>
      <c r="Y78" s="4"/>
      <c r="Z78" s="4"/>
    </row>
    <row r="79" ht="15.75" customHeight="1">
      <c r="A79" s="1"/>
      <c r="B79" s="1"/>
      <c r="C79" s="1"/>
      <c r="D79" s="1"/>
      <c r="E79" s="4"/>
      <c r="F79" s="4"/>
      <c r="G79" s="4"/>
      <c r="H79" s="4"/>
      <c r="I79" s="4"/>
      <c r="J79" s="4"/>
      <c r="K79" s="4"/>
      <c r="L79" s="4"/>
      <c r="M79" s="4"/>
      <c r="N79" s="4"/>
      <c r="O79" s="4"/>
      <c r="P79" s="4"/>
      <c r="Q79" s="4"/>
      <c r="R79" s="4"/>
      <c r="S79" s="4"/>
      <c r="T79" s="4"/>
      <c r="U79" s="4"/>
      <c r="V79" s="4"/>
      <c r="W79" s="4"/>
      <c r="X79" s="4"/>
      <c r="Y79" s="4"/>
      <c r="Z79" s="4"/>
    </row>
    <row r="80" ht="15.75" customHeight="1">
      <c r="A80" s="1"/>
      <c r="B80" s="1"/>
      <c r="C80" s="1"/>
      <c r="D80" s="1"/>
      <c r="E80" s="4"/>
      <c r="F80" s="4"/>
      <c r="G80" s="4"/>
      <c r="H80" s="4"/>
      <c r="I80" s="4"/>
      <c r="J80" s="4"/>
      <c r="K80" s="4"/>
      <c r="L80" s="4"/>
      <c r="M80" s="4"/>
      <c r="N80" s="4"/>
      <c r="O80" s="4"/>
      <c r="P80" s="4"/>
      <c r="Q80" s="4"/>
      <c r="R80" s="4"/>
      <c r="S80" s="4"/>
      <c r="T80" s="4"/>
      <c r="U80" s="4"/>
      <c r="V80" s="4"/>
      <c r="W80" s="4"/>
      <c r="X80" s="4"/>
      <c r="Y80" s="4"/>
      <c r="Z80" s="4"/>
    </row>
    <row r="81" ht="15.75" customHeight="1">
      <c r="A81" s="1"/>
      <c r="B81" s="1"/>
      <c r="C81" s="1"/>
      <c r="D81" s="1"/>
      <c r="E81" s="4"/>
      <c r="F81" s="4"/>
      <c r="G81" s="4"/>
      <c r="H81" s="4"/>
      <c r="I81" s="4"/>
      <c r="J81" s="4"/>
      <c r="K81" s="4"/>
      <c r="L81" s="4"/>
      <c r="M81" s="4"/>
      <c r="N81" s="4"/>
      <c r="O81" s="4"/>
      <c r="P81" s="4"/>
      <c r="Q81" s="4"/>
      <c r="R81" s="4"/>
      <c r="S81" s="4"/>
      <c r="T81" s="4"/>
      <c r="U81" s="4"/>
      <c r="V81" s="4"/>
      <c r="W81" s="4"/>
      <c r="X81" s="4"/>
      <c r="Y81" s="4"/>
      <c r="Z81" s="4"/>
    </row>
    <row r="82" ht="15.75" customHeight="1">
      <c r="A82" s="1"/>
      <c r="B82" s="1"/>
      <c r="C82" s="1"/>
      <c r="D82" s="1"/>
      <c r="E82" s="4"/>
      <c r="F82" s="4"/>
      <c r="G82" s="4"/>
      <c r="H82" s="4"/>
      <c r="I82" s="4"/>
      <c r="J82" s="4"/>
      <c r="K82" s="4"/>
      <c r="L82" s="4"/>
      <c r="M82" s="4"/>
      <c r="N82" s="4"/>
      <c r="O82" s="4"/>
      <c r="P82" s="4"/>
      <c r="Q82" s="4"/>
      <c r="R82" s="4"/>
      <c r="S82" s="4"/>
      <c r="T82" s="4"/>
      <c r="U82" s="4"/>
      <c r="V82" s="4"/>
      <c r="W82" s="4"/>
      <c r="X82" s="4"/>
      <c r="Y82" s="4"/>
      <c r="Z82" s="4"/>
    </row>
    <row r="83" ht="15.75" customHeight="1">
      <c r="A83" s="1"/>
      <c r="B83" s="1"/>
      <c r="C83" s="1"/>
      <c r="D83" s="1"/>
      <c r="E83" s="4"/>
      <c r="F83" s="4"/>
      <c r="G83" s="4"/>
      <c r="H83" s="4"/>
      <c r="I83" s="4"/>
      <c r="J83" s="4"/>
      <c r="K83" s="4"/>
      <c r="L83" s="4"/>
      <c r="M83" s="4"/>
      <c r="N83" s="4"/>
      <c r="O83" s="4"/>
      <c r="P83" s="4"/>
      <c r="Q83" s="4"/>
      <c r="R83" s="4"/>
      <c r="S83" s="4"/>
      <c r="T83" s="4"/>
      <c r="U83" s="4"/>
      <c r="V83" s="4"/>
      <c r="W83" s="4"/>
      <c r="X83" s="4"/>
      <c r="Y83" s="4"/>
      <c r="Z83" s="4"/>
    </row>
    <row r="84" ht="15.75" customHeight="1">
      <c r="A84" s="1"/>
      <c r="B84" s="1"/>
      <c r="C84" s="1"/>
      <c r="D84" s="1"/>
      <c r="E84" s="4"/>
      <c r="F84" s="4"/>
      <c r="G84" s="4"/>
      <c r="H84" s="4"/>
      <c r="I84" s="4"/>
      <c r="J84" s="4"/>
      <c r="K84" s="4"/>
      <c r="L84" s="4"/>
      <c r="M84" s="4"/>
      <c r="N84" s="4"/>
      <c r="O84" s="4"/>
      <c r="P84" s="4"/>
      <c r="Q84" s="4"/>
      <c r="R84" s="4"/>
      <c r="S84" s="4"/>
      <c r="T84" s="4"/>
      <c r="U84" s="4"/>
      <c r="V84" s="4"/>
      <c r="W84" s="4"/>
      <c r="X84" s="4"/>
      <c r="Y84" s="4"/>
      <c r="Z84" s="4"/>
    </row>
    <row r="85" ht="15.75" customHeight="1">
      <c r="A85" s="1"/>
      <c r="B85" s="1"/>
      <c r="C85" s="1"/>
      <c r="D85" s="1"/>
      <c r="E85" s="4"/>
      <c r="F85" s="4"/>
      <c r="G85" s="4"/>
      <c r="H85" s="4"/>
      <c r="I85" s="4"/>
      <c r="J85" s="4"/>
      <c r="K85" s="4"/>
      <c r="L85" s="4"/>
      <c r="M85" s="4"/>
      <c r="N85" s="4"/>
      <c r="O85" s="4"/>
      <c r="P85" s="4"/>
      <c r="Q85" s="4"/>
      <c r="R85" s="4"/>
      <c r="S85" s="4"/>
      <c r="T85" s="4"/>
      <c r="U85" s="4"/>
      <c r="V85" s="4"/>
      <c r="W85" s="4"/>
      <c r="X85" s="4"/>
      <c r="Y85" s="4"/>
      <c r="Z85" s="4"/>
    </row>
    <row r="86" ht="15.75" customHeight="1">
      <c r="A86" s="1"/>
      <c r="B86" s="1"/>
      <c r="C86" s="1"/>
      <c r="D86" s="1"/>
      <c r="E86" s="4"/>
      <c r="F86" s="4"/>
      <c r="G86" s="4"/>
      <c r="H86" s="4"/>
      <c r="I86" s="4"/>
      <c r="J86" s="4"/>
      <c r="K86" s="4"/>
      <c r="L86" s="4"/>
      <c r="M86" s="4"/>
      <c r="N86" s="4"/>
      <c r="O86" s="4"/>
      <c r="P86" s="4"/>
      <c r="Q86" s="4"/>
      <c r="R86" s="4"/>
      <c r="S86" s="4"/>
      <c r="T86" s="4"/>
      <c r="U86" s="4"/>
      <c r="V86" s="4"/>
      <c r="W86" s="4"/>
      <c r="X86" s="4"/>
      <c r="Y86" s="4"/>
      <c r="Z86" s="4"/>
    </row>
    <row r="87" ht="15.75" customHeight="1">
      <c r="A87" s="1"/>
      <c r="B87" s="1"/>
      <c r="C87" s="1"/>
      <c r="D87" s="1"/>
      <c r="E87" s="4"/>
      <c r="F87" s="4"/>
      <c r="G87" s="4"/>
      <c r="H87" s="4"/>
      <c r="I87" s="4"/>
      <c r="J87" s="4"/>
      <c r="K87" s="4"/>
      <c r="L87" s="4"/>
      <c r="M87" s="4"/>
      <c r="N87" s="4"/>
      <c r="O87" s="4"/>
      <c r="P87" s="4"/>
      <c r="Q87" s="4"/>
      <c r="R87" s="4"/>
      <c r="S87" s="4"/>
      <c r="T87" s="4"/>
      <c r="U87" s="4"/>
      <c r="V87" s="4"/>
      <c r="W87" s="4"/>
      <c r="X87" s="4"/>
      <c r="Y87" s="4"/>
      <c r="Z87" s="4"/>
    </row>
    <row r="88" ht="15.75" customHeight="1">
      <c r="A88" s="1"/>
      <c r="B88" s="1"/>
      <c r="C88" s="1"/>
      <c r="D88" s="1"/>
      <c r="E88" s="4"/>
      <c r="F88" s="4"/>
      <c r="G88" s="4"/>
      <c r="H88" s="4"/>
      <c r="I88" s="4"/>
      <c r="J88" s="4"/>
      <c r="K88" s="4"/>
      <c r="L88" s="4"/>
      <c r="M88" s="4"/>
      <c r="N88" s="4"/>
      <c r="O88" s="4"/>
      <c r="P88" s="4"/>
      <c r="Q88" s="4"/>
      <c r="R88" s="4"/>
      <c r="S88" s="4"/>
      <c r="T88" s="4"/>
      <c r="U88" s="4"/>
      <c r="V88" s="4"/>
      <c r="W88" s="4"/>
      <c r="X88" s="4"/>
      <c r="Y88" s="4"/>
      <c r="Z88" s="4"/>
    </row>
    <row r="89" ht="15.75" customHeight="1">
      <c r="A89" s="1"/>
      <c r="B89" s="1"/>
      <c r="C89" s="1"/>
      <c r="D89" s="1"/>
      <c r="E89" s="4"/>
      <c r="F89" s="4"/>
      <c r="G89" s="4"/>
      <c r="H89" s="4"/>
      <c r="I89" s="4"/>
      <c r="J89" s="4"/>
      <c r="K89" s="4"/>
      <c r="L89" s="4"/>
      <c r="M89" s="4"/>
      <c r="N89" s="4"/>
      <c r="O89" s="4"/>
      <c r="P89" s="4"/>
      <c r="Q89" s="4"/>
      <c r="R89" s="4"/>
      <c r="S89" s="4"/>
      <c r="T89" s="4"/>
      <c r="U89" s="4"/>
      <c r="V89" s="4"/>
      <c r="W89" s="4"/>
      <c r="X89" s="4"/>
      <c r="Y89" s="4"/>
      <c r="Z89" s="4"/>
    </row>
    <row r="90" ht="15.75" customHeight="1">
      <c r="A90" s="1"/>
      <c r="B90" s="1"/>
      <c r="C90" s="1"/>
      <c r="D90" s="1"/>
      <c r="E90" s="4"/>
      <c r="F90" s="4"/>
      <c r="G90" s="4"/>
      <c r="H90" s="4"/>
      <c r="I90" s="4"/>
      <c r="J90" s="4"/>
      <c r="K90" s="4"/>
      <c r="L90" s="4"/>
      <c r="M90" s="4"/>
      <c r="N90" s="4"/>
      <c r="O90" s="4"/>
      <c r="P90" s="4"/>
      <c r="Q90" s="4"/>
      <c r="R90" s="4"/>
      <c r="S90" s="4"/>
      <c r="T90" s="4"/>
      <c r="U90" s="4"/>
      <c r="V90" s="4"/>
      <c r="W90" s="4"/>
      <c r="X90" s="4"/>
      <c r="Y90" s="4"/>
      <c r="Z90" s="4"/>
    </row>
    <row r="91" ht="15.75" customHeight="1">
      <c r="A91" s="1"/>
      <c r="B91" s="1"/>
      <c r="C91" s="1"/>
      <c r="D91" s="1"/>
      <c r="E91" s="4"/>
      <c r="F91" s="4"/>
      <c r="G91" s="4"/>
      <c r="H91" s="4"/>
      <c r="I91" s="4"/>
      <c r="J91" s="4"/>
      <c r="K91" s="4"/>
      <c r="L91" s="4"/>
      <c r="M91" s="4"/>
      <c r="N91" s="4"/>
      <c r="O91" s="4"/>
      <c r="P91" s="4"/>
      <c r="Q91" s="4"/>
      <c r="R91" s="4"/>
      <c r="S91" s="4"/>
      <c r="T91" s="4"/>
      <c r="U91" s="4"/>
      <c r="V91" s="4"/>
      <c r="W91" s="4"/>
      <c r="X91" s="4"/>
      <c r="Y91" s="4"/>
      <c r="Z91" s="4"/>
    </row>
    <row r="92" ht="15.75" customHeight="1">
      <c r="A92" s="1"/>
      <c r="B92" s="1"/>
      <c r="C92" s="1"/>
      <c r="D92" s="1"/>
      <c r="E92" s="4"/>
      <c r="F92" s="4"/>
      <c r="G92" s="4"/>
      <c r="H92" s="4"/>
      <c r="I92" s="4"/>
      <c r="J92" s="4"/>
      <c r="K92" s="4"/>
      <c r="L92" s="4"/>
      <c r="M92" s="4"/>
      <c r="N92" s="4"/>
      <c r="O92" s="4"/>
      <c r="P92" s="4"/>
      <c r="Q92" s="4"/>
      <c r="R92" s="4"/>
      <c r="S92" s="4"/>
      <c r="T92" s="4"/>
      <c r="U92" s="4"/>
      <c r="V92" s="4"/>
      <c r="W92" s="4"/>
      <c r="X92" s="4"/>
      <c r="Y92" s="4"/>
      <c r="Z92" s="4"/>
    </row>
    <row r="93" ht="15.75" customHeight="1">
      <c r="A93" s="1"/>
      <c r="B93" s="1"/>
      <c r="C93" s="1"/>
      <c r="D93" s="1"/>
      <c r="E93" s="4"/>
      <c r="F93" s="4"/>
      <c r="G93" s="4"/>
      <c r="H93" s="4"/>
      <c r="I93" s="4"/>
      <c r="J93" s="4"/>
      <c r="K93" s="4"/>
      <c r="L93" s="4"/>
      <c r="M93" s="4"/>
      <c r="N93" s="4"/>
      <c r="O93" s="4"/>
      <c r="P93" s="4"/>
      <c r="Q93" s="4"/>
      <c r="R93" s="4"/>
      <c r="S93" s="4"/>
      <c r="T93" s="4"/>
      <c r="U93" s="4"/>
      <c r="V93" s="4"/>
      <c r="W93" s="4"/>
      <c r="X93" s="4"/>
      <c r="Y93" s="4"/>
      <c r="Z93" s="4"/>
    </row>
    <row r="94" ht="15.75" customHeight="1">
      <c r="A94" s="1"/>
      <c r="B94" s="1"/>
      <c r="C94" s="1"/>
      <c r="D94" s="1"/>
      <c r="E94" s="4"/>
      <c r="F94" s="4"/>
      <c r="G94" s="4"/>
      <c r="H94" s="4"/>
      <c r="I94" s="4"/>
      <c r="J94" s="4"/>
      <c r="K94" s="4"/>
      <c r="L94" s="4"/>
      <c r="M94" s="4"/>
      <c r="N94" s="4"/>
      <c r="O94" s="4"/>
      <c r="P94" s="4"/>
      <c r="Q94" s="4"/>
      <c r="R94" s="4"/>
      <c r="S94" s="4"/>
      <c r="T94" s="4"/>
      <c r="U94" s="4"/>
      <c r="V94" s="4"/>
      <c r="W94" s="4"/>
      <c r="X94" s="4"/>
      <c r="Y94" s="4"/>
      <c r="Z94" s="4"/>
    </row>
    <row r="95" ht="15.75" customHeight="1">
      <c r="A95" s="1"/>
      <c r="B95" s="1"/>
      <c r="C95" s="1"/>
      <c r="D95" s="1"/>
      <c r="E95" s="4"/>
      <c r="F95" s="4"/>
      <c r="G95" s="4"/>
      <c r="H95" s="4"/>
      <c r="I95" s="4"/>
      <c r="J95" s="4"/>
      <c r="K95" s="4"/>
      <c r="L95" s="4"/>
      <c r="M95" s="4"/>
      <c r="N95" s="4"/>
      <c r="O95" s="4"/>
      <c r="P95" s="4"/>
      <c r="Q95" s="4"/>
      <c r="R95" s="4"/>
      <c r="S95" s="4"/>
      <c r="T95" s="4"/>
      <c r="U95" s="4"/>
      <c r="V95" s="4"/>
      <c r="W95" s="4"/>
      <c r="X95" s="4"/>
      <c r="Y95" s="4"/>
      <c r="Z95" s="4"/>
    </row>
    <row r="96" ht="15.75" customHeight="1">
      <c r="A96" s="1"/>
      <c r="B96" s="1"/>
      <c r="C96" s="1"/>
      <c r="D96" s="1"/>
      <c r="E96" s="4"/>
      <c r="F96" s="4"/>
      <c r="G96" s="4"/>
      <c r="H96" s="4"/>
      <c r="I96" s="4"/>
      <c r="J96" s="4"/>
      <c r="K96" s="4"/>
      <c r="L96" s="4"/>
      <c r="M96" s="4"/>
      <c r="N96" s="4"/>
      <c r="O96" s="4"/>
      <c r="P96" s="4"/>
      <c r="Q96" s="4"/>
      <c r="R96" s="4"/>
      <c r="S96" s="4"/>
      <c r="T96" s="4"/>
      <c r="U96" s="4"/>
      <c r="V96" s="4"/>
      <c r="W96" s="4"/>
      <c r="X96" s="4"/>
      <c r="Y96" s="4"/>
      <c r="Z96" s="4"/>
    </row>
    <row r="97" ht="15.75" customHeight="1">
      <c r="A97" s="1"/>
      <c r="B97" s="1"/>
      <c r="C97" s="1"/>
      <c r="D97" s="1"/>
      <c r="E97" s="4"/>
      <c r="F97" s="4"/>
      <c r="G97" s="4"/>
      <c r="H97" s="4"/>
      <c r="I97" s="4"/>
      <c r="J97" s="4"/>
      <c r="K97" s="4"/>
      <c r="L97" s="4"/>
      <c r="M97" s="4"/>
      <c r="N97" s="4"/>
      <c r="O97" s="4"/>
      <c r="P97" s="4"/>
      <c r="Q97" s="4"/>
      <c r="R97" s="4"/>
      <c r="S97" s="4"/>
      <c r="T97" s="4"/>
      <c r="U97" s="4"/>
      <c r="V97" s="4"/>
      <c r="W97" s="4"/>
      <c r="X97" s="4"/>
      <c r="Y97" s="4"/>
      <c r="Z97" s="4"/>
    </row>
    <row r="98" ht="15.75" customHeight="1">
      <c r="A98" s="1"/>
      <c r="B98" s="1"/>
      <c r="C98" s="1"/>
      <c r="D98" s="1"/>
      <c r="E98" s="4"/>
      <c r="F98" s="4"/>
      <c r="G98" s="4"/>
      <c r="H98" s="4"/>
      <c r="I98" s="4"/>
      <c r="J98" s="4"/>
      <c r="K98" s="4"/>
      <c r="L98" s="4"/>
      <c r="M98" s="4"/>
      <c r="N98" s="4"/>
      <c r="O98" s="4"/>
      <c r="P98" s="4"/>
      <c r="Q98" s="4"/>
      <c r="R98" s="4"/>
      <c r="S98" s="4"/>
      <c r="T98" s="4"/>
      <c r="U98" s="4"/>
      <c r="V98" s="4"/>
      <c r="W98" s="4"/>
      <c r="X98" s="4"/>
      <c r="Y98" s="4"/>
      <c r="Z98" s="4"/>
    </row>
    <row r="99" ht="15.75" customHeight="1">
      <c r="A99" s="1"/>
      <c r="B99" s="1"/>
      <c r="C99" s="1"/>
      <c r="D99" s="1"/>
      <c r="E99" s="4"/>
      <c r="F99" s="4"/>
      <c r="G99" s="4"/>
      <c r="H99" s="4"/>
      <c r="I99" s="4"/>
      <c r="J99" s="4"/>
      <c r="K99" s="4"/>
      <c r="L99" s="4"/>
      <c r="M99" s="4"/>
      <c r="N99" s="4"/>
      <c r="O99" s="4"/>
      <c r="P99" s="4"/>
      <c r="Q99" s="4"/>
      <c r="R99" s="4"/>
      <c r="S99" s="4"/>
      <c r="T99" s="4"/>
      <c r="U99" s="4"/>
      <c r="V99" s="4"/>
      <c r="W99" s="4"/>
      <c r="X99" s="4"/>
      <c r="Y99" s="4"/>
      <c r="Z99" s="4"/>
    </row>
    <row r="100" ht="15.75" customHeight="1">
      <c r="A100" s="1"/>
      <c r="B100" s="1"/>
      <c r="C100" s="1"/>
      <c r="D100" s="1"/>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1"/>
      <c r="B101" s="1"/>
      <c r="C101" s="1"/>
      <c r="D101" s="1"/>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1"/>
      <c r="B102" s="1"/>
      <c r="C102" s="1"/>
      <c r="D102" s="1"/>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1"/>
      <c r="B103" s="1"/>
      <c r="C103" s="1"/>
      <c r="D103" s="1"/>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1"/>
      <c r="B104" s="1"/>
      <c r="C104" s="1"/>
      <c r="D104" s="1"/>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1"/>
      <c r="B105" s="1"/>
      <c r="C105" s="1"/>
      <c r="D105" s="1"/>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1"/>
      <c r="B106" s="1"/>
      <c r="C106" s="1"/>
      <c r="D106" s="1"/>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1"/>
      <c r="B107" s="1"/>
      <c r="C107" s="1"/>
      <c r="D107" s="1"/>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1"/>
      <c r="B108" s="1"/>
      <c r="C108" s="1"/>
      <c r="D108" s="1"/>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1"/>
      <c r="B109" s="1"/>
      <c r="C109" s="1"/>
      <c r="D109" s="1"/>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1"/>
      <c r="B110" s="1"/>
      <c r="C110" s="1"/>
      <c r="D110" s="1"/>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1"/>
      <c r="B111" s="1"/>
      <c r="C111" s="1"/>
      <c r="D111" s="1"/>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1"/>
      <c r="B112" s="1"/>
      <c r="C112" s="1"/>
      <c r="D112" s="1"/>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1"/>
      <c r="B113" s="1"/>
      <c r="C113" s="1"/>
      <c r="D113" s="1"/>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1"/>
      <c r="B114" s="1"/>
      <c r="C114" s="1"/>
      <c r="D114" s="1"/>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1"/>
      <c r="B115" s="1"/>
      <c r="C115" s="1"/>
      <c r="D115" s="1"/>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1"/>
      <c r="B116" s="1"/>
      <c r="C116" s="1"/>
      <c r="D116" s="1"/>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1"/>
      <c r="B117" s="1"/>
      <c r="C117" s="1"/>
      <c r="D117" s="1"/>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1"/>
      <c r="B118" s="1"/>
      <c r="C118" s="1"/>
      <c r="D118" s="1"/>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1"/>
      <c r="B119" s="1"/>
      <c r="C119" s="1"/>
      <c r="D119" s="1"/>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1"/>
      <c r="B120" s="1"/>
      <c r="C120" s="1"/>
      <c r="D120" s="1"/>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1"/>
      <c r="B121" s="1"/>
      <c r="C121" s="1"/>
      <c r="D121" s="1"/>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1"/>
      <c r="B122" s="1"/>
      <c r="C122" s="1"/>
      <c r="D122" s="1"/>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1"/>
      <c r="B123" s="1"/>
      <c r="C123" s="1"/>
      <c r="D123" s="1"/>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1"/>
      <c r="B124" s="1"/>
      <c r="C124" s="1"/>
      <c r="D124" s="1"/>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1"/>
      <c r="B125" s="1"/>
      <c r="C125" s="1"/>
      <c r="D125" s="1"/>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1"/>
      <c r="B126" s="1"/>
      <c r="C126" s="1"/>
      <c r="D126" s="1"/>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1"/>
      <c r="B127" s="1"/>
      <c r="C127" s="1"/>
      <c r="D127" s="1"/>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1"/>
      <c r="B128" s="1"/>
      <c r="C128" s="1"/>
      <c r="D128" s="1"/>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1"/>
      <c r="B129" s="1"/>
      <c r="C129" s="1"/>
      <c r="D129" s="1"/>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1"/>
      <c r="B130" s="1"/>
      <c r="C130" s="1"/>
      <c r="D130" s="1"/>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1"/>
      <c r="B131" s="1"/>
      <c r="C131" s="1"/>
      <c r="D131" s="1"/>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1"/>
      <c r="B132" s="1"/>
      <c r="C132" s="1"/>
      <c r="D132" s="1"/>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1"/>
      <c r="B133" s="1"/>
      <c r="C133" s="1"/>
      <c r="D133" s="1"/>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1"/>
      <c r="B134" s="1"/>
      <c r="C134" s="1"/>
      <c r="D134" s="1"/>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1"/>
      <c r="B135" s="1"/>
      <c r="C135" s="1"/>
      <c r="D135" s="1"/>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1"/>
      <c r="B136" s="1"/>
      <c r="C136" s="1"/>
      <c r="D136" s="1"/>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1"/>
      <c r="B137" s="1"/>
      <c r="C137" s="1"/>
      <c r="D137" s="1"/>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1"/>
      <c r="B138" s="1"/>
      <c r="C138" s="1"/>
      <c r="D138" s="1"/>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1"/>
      <c r="B139" s="1"/>
      <c r="C139" s="1"/>
      <c r="D139" s="1"/>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1"/>
      <c r="B140" s="1"/>
      <c r="C140" s="1"/>
      <c r="D140" s="1"/>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1"/>
      <c r="B141" s="1"/>
      <c r="C141" s="1"/>
      <c r="D141" s="1"/>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1"/>
      <c r="B142" s="1"/>
      <c r="C142" s="1"/>
      <c r="D142" s="1"/>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1"/>
      <c r="B143" s="1"/>
      <c r="C143" s="1"/>
      <c r="D143" s="1"/>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1"/>
      <c r="B144" s="1"/>
      <c r="C144" s="1"/>
      <c r="D144" s="1"/>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1"/>
      <c r="B145" s="1"/>
      <c r="C145" s="1"/>
      <c r="D145" s="1"/>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1"/>
      <c r="B146" s="1"/>
      <c r="C146" s="1"/>
      <c r="D146" s="1"/>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1"/>
      <c r="B147" s="1"/>
      <c r="C147" s="1"/>
      <c r="D147" s="1"/>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1"/>
      <c r="B148" s="1"/>
      <c r="C148" s="1"/>
      <c r="D148" s="1"/>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1"/>
      <c r="B149" s="1"/>
      <c r="C149" s="1"/>
      <c r="D149" s="1"/>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1"/>
      <c r="B150" s="1"/>
      <c r="C150" s="1"/>
      <c r="D150" s="1"/>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1"/>
      <c r="B151" s="1"/>
      <c r="C151" s="1"/>
      <c r="D151" s="1"/>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1"/>
      <c r="B152" s="1"/>
      <c r="C152" s="1"/>
      <c r="D152" s="1"/>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1"/>
      <c r="B153" s="1"/>
      <c r="C153" s="1"/>
      <c r="D153" s="1"/>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1"/>
      <c r="B154" s="1"/>
      <c r="C154" s="1"/>
      <c r="D154" s="1"/>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1"/>
      <c r="B155" s="1"/>
      <c r="C155" s="1"/>
      <c r="D155" s="1"/>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1"/>
      <c r="B156" s="1"/>
      <c r="C156" s="1"/>
      <c r="D156" s="1"/>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1"/>
      <c r="B157" s="1"/>
      <c r="C157" s="1"/>
      <c r="D157" s="1"/>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1"/>
      <c r="B158" s="1"/>
      <c r="C158" s="1"/>
      <c r="D158" s="1"/>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1"/>
      <c r="B159" s="1"/>
      <c r="C159" s="1"/>
      <c r="D159" s="1"/>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1"/>
      <c r="B160" s="1"/>
      <c r="C160" s="1"/>
      <c r="D160" s="1"/>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1"/>
      <c r="B161" s="1"/>
      <c r="C161" s="1"/>
      <c r="D161" s="1"/>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1"/>
      <c r="B162" s="1"/>
      <c r="C162" s="1"/>
      <c r="D162" s="1"/>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1"/>
      <c r="B163" s="1"/>
      <c r="C163" s="1"/>
      <c r="D163" s="1"/>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1"/>
      <c r="B164" s="1"/>
      <c r="C164" s="1"/>
      <c r="D164" s="1"/>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1"/>
      <c r="B165" s="1"/>
      <c r="C165" s="1"/>
      <c r="D165" s="1"/>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1"/>
      <c r="B166" s="1"/>
      <c r="C166" s="1"/>
      <c r="D166" s="1"/>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1"/>
      <c r="B167" s="1"/>
      <c r="C167" s="1"/>
      <c r="D167" s="1"/>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1"/>
      <c r="B168" s="1"/>
      <c r="C168" s="1"/>
      <c r="D168" s="1"/>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1"/>
      <c r="B169" s="1"/>
      <c r="C169" s="1"/>
      <c r="D169" s="1"/>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1"/>
      <c r="B170" s="1"/>
      <c r="C170" s="1"/>
      <c r="D170" s="1"/>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1"/>
      <c r="B171" s="1"/>
      <c r="C171" s="1"/>
      <c r="D171" s="1"/>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1"/>
      <c r="B172" s="1"/>
      <c r="C172" s="1"/>
      <c r="D172" s="1"/>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1"/>
      <c r="B173" s="1"/>
      <c r="C173" s="1"/>
      <c r="D173" s="1"/>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1"/>
      <c r="B174" s="1"/>
      <c r="C174" s="1"/>
      <c r="D174" s="1"/>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1"/>
      <c r="B175" s="1"/>
      <c r="C175" s="1"/>
      <c r="D175" s="1"/>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1"/>
      <c r="B176" s="1"/>
      <c r="C176" s="1"/>
      <c r="D176" s="1"/>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1"/>
      <c r="B177" s="1"/>
      <c r="C177" s="1"/>
      <c r="D177" s="1"/>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1"/>
      <c r="B178" s="1"/>
      <c r="C178" s="1"/>
      <c r="D178" s="1"/>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1"/>
      <c r="B179" s="1"/>
      <c r="C179" s="1"/>
      <c r="D179" s="1"/>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1"/>
      <c r="B180" s="1"/>
      <c r="C180" s="1"/>
      <c r="D180" s="1"/>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1"/>
      <c r="B181" s="1"/>
      <c r="C181" s="1"/>
      <c r="D181" s="1"/>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1"/>
      <c r="B182" s="1"/>
      <c r="C182" s="1"/>
      <c r="D182" s="1"/>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1"/>
      <c r="B183" s="1"/>
      <c r="C183" s="1"/>
      <c r="D183" s="1"/>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1"/>
      <c r="B184" s="1"/>
      <c r="C184" s="1"/>
      <c r="D184" s="1"/>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1"/>
      <c r="B185" s="1"/>
      <c r="C185" s="1"/>
      <c r="D185" s="1"/>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1"/>
      <c r="B186" s="1"/>
      <c r="C186" s="1"/>
      <c r="D186" s="1"/>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1"/>
      <c r="B187" s="1"/>
      <c r="C187" s="1"/>
      <c r="D187" s="1"/>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1"/>
      <c r="B188" s="1"/>
      <c r="C188" s="1"/>
      <c r="D188" s="1"/>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1"/>
      <c r="B189" s="1"/>
      <c r="C189" s="1"/>
      <c r="D189" s="1"/>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1"/>
      <c r="B190" s="1"/>
      <c r="C190" s="1"/>
      <c r="D190" s="1"/>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1"/>
      <c r="B191" s="1"/>
      <c r="C191" s="1"/>
      <c r="D191" s="1"/>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1"/>
      <c r="B192" s="1"/>
      <c r="C192" s="1"/>
      <c r="D192" s="1"/>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1"/>
      <c r="B193" s="1"/>
      <c r="C193" s="1"/>
      <c r="D193" s="1"/>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1"/>
      <c r="B194" s="1"/>
      <c r="C194" s="1"/>
      <c r="D194" s="1"/>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1"/>
      <c r="B195" s="1"/>
      <c r="C195" s="1"/>
      <c r="D195" s="1"/>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1"/>
      <c r="B196" s="1"/>
      <c r="C196" s="1"/>
      <c r="D196" s="1"/>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1"/>
      <c r="B197" s="1"/>
      <c r="C197" s="1"/>
      <c r="D197" s="1"/>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1"/>
      <c r="B198" s="1"/>
      <c r="C198" s="1"/>
      <c r="D198" s="1"/>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1"/>
      <c r="B199" s="1"/>
      <c r="C199" s="1"/>
      <c r="D199" s="1"/>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1"/>
      <c r="B200" s="1"/>
      <c r="C200" s="1"/>
      <c r="D200" s="1"/>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1"/>
      <c r="B201" s="1"/>
      <c r="C201" s="1"/>
      <c r="D201" s="1"/>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1"/>
      <c r="B202" s="1"/>
      <c r="C202" s="1"/>
      <c r="D202" s="1"/>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1"/>
      <c r="B203" s="1"/>
      <c r="C203" s="1"/>
      <c r="D203" s="1"/>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1"/>
      <c r="B204" s="1"/>
      <c r="C204" s="1"/>
      <c r="D204" s="1"/>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1"/>
      <c r="B205" s="1"/>
      <c r="C205" s="1"/>
      <c r="D205" s="1"/>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1"/>
      <c r="B206" s="1"/>
      <c r="C206" s="1"/>
      <c r="D206" s="1"/>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1"/>
      <c r="B207" s="1"/>
      <c r="C207" s="1"/>
      <c r="D207" s="1"/>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1"/>
      <c r="B208" s="1"/>
      <c r="C208" s="1"/>
      <c r="D208" s="1"/>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1"/>
      <c r="B209" s="1"/>
      <c r="C209" s="1"/>
      <c r="D209" s="1"/>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1"/>
      <c r="B210" s="1"/>
      <c r="C210" s="1"/>
      <c r="D210" s="1"/>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1"/>
      <c r="B211" s="1"/>
      <c r="C211" s="1"/>
      <c r="D211" s="1"/>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1"/>
      <c r="B212" s="1"/>
      <c r="C212" s="1"/>
      <c r="D212" s="1"/>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1"/>
      <c r="B213" s="1"/>
      <c r="C213" s="1"/>
      <c r="D213" s="1"/>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1"/>
      <c r="B214" s="1"/>
      <c r="C214" s="1"/>
      <c r="D214" s="1"/>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1"/>
      <c r="B215" s="1"/>
      <c r="C215" s="1"/>
      <c r="D215" s="1"/>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1"/>
      <c r="B216" s="1"/>
      <c r="C216" s="1"/>
      <c r="D216" s="1"/>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1"/>
      <c r="B217" s="1"/>
      <c r="C217" s="1"/>
      <c r="D217" s="1"/>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1"/>
      <c r="B218" s="1"/>
      <c r="C218" s="1"/>
      <c r="D218" s="1"/>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1"/>
      <c r="B219" s="1"/>
      <c r="C219" s="1"/>
      <c r="D219" s="1"/>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1"/>
      <c r="B220" s="1"/>
      <c r="C220" s="1"/>
      <c r="D220" s="1"/>
      <c r="E220" s="4"/>
      <c r="F220" s="4"/>
      <c r="G220" s="4"/>
      <c r="H220" s="4"/>
      <c r="I220" s="4"/>
      <c r="J220" s="4"/>
      <c r="K220" s="4"/>
      <c r="L220" s="4"/>
      <c r="M220" s="4"/>
      <c r="N220" s="4"/>
      <c r="O220" s="4"/>
      <c r="P220" s="4"/>
      <c r="Q220" s="4"/>
      <c r="R220" s="4"/>
      <c r="S220" s="4"/>
      <c r="T220" s="4"/>
      <c r="U220" s="4"/>
      <c r="V220" s="4"/>
      <c r="W220" s="4"/>
      <c r="X220" s="4"/>
      <c r="Y220" s="4"/>
      <c r="Z220" s="4"/>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B2:C2"/>
    <mergeCell ref="B3:C3"/>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55.57"/>
    <col customWidth="1" min="3" max="3" width="46.0"/>
    <col customWidth="1" min="4" max="6" width="8.71"/>
  </cols>
  <sheetData>
    <row r="1" ht="21.75" customHeight="1">
      <c r="A1" s="3" t="s">
        <v>0</v>
      </c>
      <c r="B1" s="5"/>
      <c r="C1" s="6"/>
      <c r="D1" s="4"/>
      <c r="E1" s="4"/>
      <c r="F1" s="4"/>
      <c r="G1" s="4"/>
      <c r="H1" s="4"/>
      <c r="I1" s="4"/>
      <c r="J1" s="4"/>
      <c r="K1" s="4"/>
      <c r="L1" s="4"/>
      <c r="M1" s="4"/>
      <c r="N1" s="4"/>
      <c r="O1" s="4"/>
      <c r="P1" s="4"/>
      <c r="Q1" s="4"/>
      <c r="R1" s="4"/>
      <c r="S1" s="4"/>
      <c r="T1" s="4"/>
      <c r="U1" s="4"/>
      <c r="V1" s="4"/>
      <c r="W1" s="4"/>
      <c r="X1" s="4"/>
      <c r="Y1" s="4"/>
      <c r="Z1" s="4"/>
    </row>
    <row r="2" ht="30.0" customHeight="1">
      <c r="A2" s="9" t="s">
        <v>5</v>
      </c>
      <c r="B2" s="9" t="s">
        <v>6</v>
      </c>
      <c r="C2" s="9" t="s">
        <v>7</v>
      </c>
      <c r="D2" s="4"/>
      <c r="E2" s="4"/>
      <c r="F2" s="4"/>
      <c r="G2" s="4"/>
      <c r="H2" s="4"/>
      <c r="I2" s="4"/>
      <c r="J2" s="4"/>
      <c r="K2" s="4"/>
      <c r="L2" s="4"/>
      <c r="M2" s="4"/>
      <c r="N2" s="4"/>
      <c r="O2" s="4"/>
      <c r="P2" s="4"/>
      <c r="Q2" s="4"/>
      <c r="R2" s="4"/>
      <c r="S2" s="4"/>
      <c r="T2" s="4"/>
      <c r="U2" s="4"/>
      <c r="V2" s="4"/>
      <c r="W2" s="4"/>
      <c r="X2" s="4"/>
      <c r="Y2" s="4"/>
      <c r="Z2" s="4"/>
    </row>
    <row r="3" ht="27.75" customHeight="1">
      <c r="A3" s="12" t="s">
        <v>10</v>
      </c>
      <c r="B3" s="12" t="s">
        <v>12</v>
      </c>
      <c r="C3" s="12"/>
      <c r="D3" s="4"/>
      <c r="E3" s="4"/>
      <c r="F3" s="4"/>
      <c r="G3" s="4"/>
      <c r="H3" s="4"/>
      <c r="I3" s="4"/>
      <c r="J3" s="4"/>
      <c r="K3" s="4"/>
      <c r="L3" s="4"/>
      <c r="M3" s="4"/>
      <c r="N3" s="4"/>
      <c r="O3" s="4"/>
      <c r="P3" s="4"/>
      <c r="Q3" s="4"/>
      <c r="R3" s="4"/>
      <c r="S3" s="4"/>
      <c r="T3" s="4"/>
      <c r="U3" s="4"/>
      <c r="V3" s="4"/>
      <c r="W3" s="4"/>
      <c r="X3" s="4"/>
      <c r="Y3" s="4"/>
      <c r="Z3" s="4"/>
    </row>
    <row r="4" ht="27.75" customHeight="1">
      <c r="A4" s="16" t="s">
        <v>17</v>
      </c>
      <c r="B4" s="16" t="s">
        <v>21</v>
      </c>
      <c r="C4" s="16"/>
      <c r="D4" s="4"/>
      <c r="E4" s="4"/>
      <c r="F4" s="4"/>
      <c r="G4" s="4"/>
      <c r="H4" s="4"/>
      <c r="I4" s="4"/>
      <c r="J4" s="4"/>
      <c r="K4" s="4"/>
      <c r="L4" s="4"/>
      <c r="M4" s="4"/>
      <c r="N4" s="4"/>
      <c r="O4" s="4"/>
      <c r="P4" s="4"/>
      <c r="Q4" s="4"/>
      <c r="R4" s="4"/>
      <c r="S4" s="4"/>
      <c r="T4" s="4"/>
      <c r="U4" s="4"/>
      <c r="V4" s="4"/>
      <c r="W4" s="4"/>
      <c r="X4" s="4"/>
      <c r="Y4" s="4"/>
      <c r="Z4" s="4"/>
    </row>
    <row r="5" ht="27.75" customHeight="1">
      <c r="A5" s="12" t="s">
        <v>25</v>
      </c>
      <c r="B5" s="12" t="s">
        <v>27</v>
      </c>
      <c r="C5" s="12"/>
      <c r="D5" s="4"/>
      <c r="E5" s="4"/>
      <c r="F5" s="4"/>
      <c r="G5" s="4"/>
      <c r="H5" s="4"/>
      <c r="I5" s="4"/>
      <c r="J5" s="4"/>
      <c r="K5" s="4"/>
      <c r="L5" s="4"/>
      <c r="M5" s="4"/>
      <c r="N5" s="4"/>
      <c r="O5" s="4"/>
      <c r="P5" s="4"/>
      <c r="Q5" s="4"/>
      <c r="R5" s="4"/>
      <c r="S5" s="4"/>
      <c r="T5" s="4"/>
      <c r="U5" s="4"/>
      <c r="V5" s="4"/>
      <c r="W5" s="4"/>
      <c r="X5" s="4"/>
      <c r="Y5" s="4"/>
      <c r="Z5" s="4"/>
    </row>
    <row r="6" ht="27.75" customHeight="1">
      <c r="A6" s="16" t="s">
        <v>33</v>
      </c>
      <c r="B6" s="16" t="s">
        <v>34</v>
      </c>
      <c r="C6" s="16"/>
      <c r="D6" s="4"/>
      <c r="E6" s="4"/>
      <c r="F6" s="4"/>
      <c r="G6" s="4"/>
      <c r="H6" s="4"/>
      <c r="I6" s="4"/>
      <c r="J6" s="4"/>
      <c r="K6" s="4"/>
      <c r="L6" s="4"/>
      <c r="M6" s="4"/>
      <c r="N6" s="4"/>
      <c r="O6" s="4"/>
      <c r="P6" s="4"/>
      <c r="Q6" s="4"/>
      <c r="R6" s="4"/>
      <c r="S6" s="4"/>
      <c r="T6" s="4"/>
      <c r="U6" s="4"/>
      <c r="V6" s="4"/>
      <c r="W6" s="4"/>
      <c r="X6" s="4"/>
      <c r="Y6" s="4"/>
      <c r="Z6" s="4"/>
    </row>
    <row r="7" ht="27.75" customHeight="1">
      <c r="A7" s="12" t="s">
        <v>40</v>
      </c>
      <c r="B7" s="12" t="s">
        <v>42</v>
      </c>
      <c r="C7" s="12"/>
      <c r="D7" s="4"/>
      <c r="E7" s="4"/>
      <c r="F7" s="4"/>
      <c r="G7" s="4"/>
      <c r="H7" s="4"/>
      <c r="I7" s="4"/>
      <c r="J7" s="4"/>
      <c r="K7" s="4"/>
      <c r="L7" s="4"/>
      <c r="M7" s="4"/>
      <c r="N7" s="4"/>
      <c r="O7" s="4"/>
      <c r="P7" s="4"/>
      <c r="Q7" s="4"/>
      <c r="R7" s="4"/>
      <c r="S7" s="4"/>
      <c r="T7" s="4"/>
      <c r="U7" s="4"/>
      <c r="V7" s="4"/>
      <c r="W7" s="4"/>
      <c r="X7" s="4"/>
      <c r="Y7" s="4"/>
      <c r="Z7" s="4"/>
    </row>
    <row r="8" ht="27.75" customHeight="1">
      <c r="A8" s="16" t="s">
        <v>49</v>
      </c>
      <c r="B8" s="16" t="s">
        <v>50</v>
      </c>
      <c r="C8" s="16"/>
      <c r="D8" s="4"/>
      <c r="E8" s="4"/>
      <c r="F8" s="4"/>
      <c r="G8" s="4"/>
      <c r="H8" s="4"/>
      <c r="I8" s="4"/>
      <c r="J8" s="4"/>
      <c r="K8" s="4"/>
      <c r="L8" s="4"/>
      <c r="M8" s="4"/>
      <c r="N8" s="4"/>
      <c r="O8" s="4"/>
      <c r="P8" s="4"/>
      <c r="Q8" s="4"/>
      <c r="R8" s="4"/>
      <c r="S8" s="4"/>
      <c r="T8" s="4"/>
      <c r="U8" s="4"/>
      <c r="V8" s="4"/>
      <c r="W8" s="4"/>
      <c r="X8" s="4"/>
      <c r="Y8" s="4"/>
      <c r="Z8" s="4"/>
    </row>
    <row r="9" ht="27.75" customHeight="1">
      <c r="A9" s="12" t="s">
        <v>56</v>
      </c>
      <c r="B9" s="12" t="s">
        <v>57</v>
      </c>
      <c r="C9" s="12"/>
      <c r="D9" s="4"/>
      <c r="E9" s="4"/>
      <c r="F9" s="4"/>
      <c r="G9" s="4"/>
      <c r="H9" s="4"/>
      <c r="I9" s="4"/>
      <c r="J9" s="4"/>
      <c r="K9" s="4"/>
      <c r="L9" s="4"/>
      <c r="M9" s="4"/>
      <c r="N9" s="4"/>
      <c r="O9" s="4"/>
      <c r="P9" s="4"/>
      <c r="Q9" s="4"/>
      <c r="R9" s="4"/>
      <c r="S9" s="4"/>
      <c r="T9" s="4"/>
      <c r="U9" s="4"/>
      <c r="V9" s="4"/>
      <c r="W9" s="4"/>
      <c r="X9" s="4"/>
      <c r="Y9" s="4"/>
      <c r="Z9" s="4"/>
    </row>
    <row r="10" ht="27.75" customHeight="1">
      <c r="A10" s="16" t="s">
        <v>64</v>
      </c>
      <c r="B10" s="16" t="s">
        <v>65</v>
      </c>
      <c r="C10" s="16"/>
      <c r="D10" s="4"/>
      <c r="E10" s="4"/>
      <c r="F10" s="4"/>
      <c r="G10" s="4"/>
      <c r="H10" s="4"/>
      <c r="I10" s="4"/>
      <c r="J10" s="4"/>
      <c r="K10" s="4"/>
      <c r="L10" s="4"/>
      <c r="M10" s="4"/>
      <c r="N10" s="4"/>
      <c r="O10" s="4"/>
      <c r="P10" s="4"/>
      <c r="Q10" s="4"/>
      <c r="R10" s="4"/>
      <c r="S10" s="4"/>
      <c r="T10" s="4"/>
      <c r="U10" s="4"/>
      <c r="V10" s="4"/>
      <c r="W10" s="4"/>
      <c r="X10" s="4"/>
      <c r="Y10" s="4"/>
      <c r="Z10" s="4"/>
    </row>
    <row r="11" ht="27.75" customHeight="1">
      <c r="A11" s="12" t="s">
        <v>15</v>
      </c>
      <c r="B11" s="12" t="s">
        <v>16</v>
      </c>
      <c r="C11" s="12"/>
      <c r="D11" s="4"/>
      <c r="E11" s="4"/>
      <c r="F11" s="4"/>
      <c r="G11" s="4"/>
      <c r="H11" s="4"/>
      <c r="I11" s="4"/>
      <c r="J11" s="4"/>
      <c r="K11" s="4"/>
      <c r="L11" s="4"/>
      <c r="M11" s="4"/>
      <c r="N11" s="4"/>
      <c r="O11" s="4"/>
      <c r="P11" s="4"/>
      <c r="Q11" s="4"/>
      <c r="R11" s="4"/>
      <c r="S11" s="4"/>
      <c r="T11" s="4"/>
      <c r="U11" s="4"/>
      <c r="V11" s="4"/>
      <c r="W11" s="4"/>
      <c r="X11" s="4"/>
      <c r="Y11" s="4"/>
      <c r="Z11" s="4"/>
    </row>
    <row r="12" ht="27.75" customHeight="1">
      <c r="A12" s="16" t="s">
        <v>67</v>
      </c>
      <c r="B12" s="16" t="s">
        <v>69</v>
      </c>
      <c r="C12" s="16"/>
      <c r="D12" s="4"/>
      <c r="E12" s="4"/>
      <c r="F12" s="4"/>
      <c r="G12" s="4"/>
      <c r="H12" s="4"/>
      <c r="I12" s="4"/>
      <c r="J12" s="4"/>
      <c r="K12" s="4"/>
      <c r="L12" s="4"/>
      <c r="M12" s="4"/>
      <c r="N12" s="4"/>
      <c r="O12" s="4"/>
      <c r="P12" s="4"/>
      <c r="Q12" s="4"/>
      <c r="R12" s="4"/>
      <c r="S12" s="4"/>
      <c r="T12" s="4"/>
      <c r="U12" s="4"/>
      <c r="V12" s="4"/>
      <c r="W12" s="4"/>
      <c r="X12" s="4"/>
      <c r="Y12" s="4"/>
      <c r="Z12" s="4"/>
    </row>
    <row r="13" ht="27.75" customHeight="1">
      <c r="A13" s="12" t="s">
        <v>80</v>
      </c>
      <c r="B13" s="12" t="s">
        <v>81</v>
      </c>
      <c r="C13" s="12"/>
      <c r="D13" s="4"/>
      <c r="E13" s="4"/>
      <c r="F13" s="4"/>
      <c r="G13" s="4"/>
      <c r="H13" s="4"/>
      <c r="I13" s="4"/>
      <c r="J13" s="4"/>
      <c r="K13" s="4"/>
      <c r="L13" s="4"/>
      <c r="M13" s="4"/>
      <c r="N13" s="4"/>
      <c r="O13" s="4"/>
      <c r="P13" s="4"/>
      <c r="Q13" s="4"/>
      <c r="R13" s="4"/>
      <c r="S13" s="4"/>
      <c r="T13" s="4"/>
      <c r="U13" s="4"/>
      <c r="V13" s="4"/>
      <c r="W13" s="4"/>
      <c r="X13" s="4"/>
      <c r="Y13" s="4"/>
      <c r="Z13" s="4"/>
    </row>
    <row r="14">
      <c r="A14" s="4"/>
      <c r="B14" s="4"/>
      <c r="C14" s="4"/>
      <c r="D14" s="4"/>
      <c r="E14" s="4"/>
      <c r="F14" s="4"/>
      <c r="G14" s="4"/>
      <c r="H14" s="4"/>
      <c r="I14" s="4"/>
      <c r="J14" s="4"/>
      <c r="K14" s="4"/>
      <c r="L14" s="4"/>
      <c r="M14" s="4"/>
      <c r="N14" s="4"/>
      <c r="O14" s="4"/>
      <c r="P14" s="4"/>
      <c r="Q14" s="4"/>
      <c r="R14" s="4"/>
      <c r="S14" s="4"/>
      <c r="T14" s="4"/>
      <c r="U14" s="4"/>
      <c r="V14" s="4"/>
      <c r="W14" s="4"/>
      <c r="X14" s="4"/>
      <c r="Y14" s="4"/>
      <c r="Z14" s="4"/>
    </row>
    <row r="15">
      <c r="A15" s="4"/>
      <c r="B15" s="4"/>
      <c r="C15" s="4"/>
      <c r="D15" s="4"/>
      <c r="E15" s="4"/>
      <c r="F15" s="4"/>
      <c r="G15" s="4"/>
      <c r="H15" s="4"/>
      <c r="I15" s="4"/>
      <c r="J15" s="4"/>
      <c r="K15" s="4"/>
      <c r="L15" s="4"/>
      <c r="M15" s="4"/>
      <c r="N15" s="4"/>
      <c r="O15" s="4"/>
      <c r="P15" s="4"/>
      <c r="Q15" s="4"/>
      <c r="R15" s="4"/>
      <c r="S15" s="4"/>
      <c r="T15" s="4"/>
      <c r="U15" s="4"/>
      <c r="V15" s="4"/>
      <c r="W15" s="4"/>
      <c r="X15" s="4"/>
      <c r="Y15" s="4"/>
      <c r="Z15" s="4"/>
    </row>
    <row r="16">
      <c r="A16" s="4"/>
      <c r="B16" s="4"/>
      <c r="C16" s="4"/>
      <c r="D16" s="4"/>
      <c r="E16" s="4"/>
      <c r="F16" s="4"/>
      <c r="G16" s="4"/>
      <c r="H16" s="4"/>
      <c r="I16" s="4"/>
      <c r="J16" s="4"/>
      <c r="K16" s="4"/>
      <c r="L16" s="4"/>
      <c r="M16" s="4"/>
      <c r="N16" s="4"/>
      <c r="O16" s="4"/>
      <c r="P16" s="4"/>
      <c r="Q16" s="4"/>
      <c r="R16" s="4"/>
      <c r="S16" s="4"/>
      <c r="T16" s="4"/>
      <c r="U16" s="4"/>
      <c r="V16" s="4"/>
      <c r="W16" s="4"/>
      <c r="X16" s="4"/>
      <c r="Y16" s="4"/>
      <c r="Z16" s="4"/>
    </row>
    <row r="17">
      <c r="A17" s="4"/>
      <c r="B17" s="4"/>
      <c r="C17" s="4"/>
      <c r="D17" s="4"/>
      <c r="E17" s="4"/>
      <c r="F17" s="4"/>
      <c r="G17" s="4"/>
      <c r="H17" s="4"/>
      <c r="I17" s="4"/>
      <c r="J17" s="4"/>
      <c r="K17" s="4"/>
      <c r="L17" s="4"/>
      <c r="M17" s="4"/>
      <c r="N17" s="4"/>
      <c r="O17" s="4"/>
      <c r="P17" s="4"/>
      <c r="Q17" s="4"/>
      <c r="R17" s="4"/>
      <c r="S17" s="4"/>
      <c r="T17" s="4"/>
      <c r="U17" s="4"/>
      <c r="V17" s="4"/>
      <c r="W17" s="4"/>
      <c r="X17" s="4"/>
      <c r="Y17" s="4"/>
      <c r="Z17" s="4"/>
    </row>
    <row r="18">
      <c r="A18" s="4"/>
      <c r="B18" s="4"/>
      <c r="C18" s="4"/>
      <c r="D18" s="4"/>
      <c r="E18" s="4"/>
      <c r="F18" s="4"/>
      <c r="G18" s="4"/>
      <c r="H18" s="4"/>
      <c r="I18" s="4"/>
      <c r="J18" s="4"/>
      <c r="K18" s="4"/>
      <c r="L18" s="4"/>
      <c r="M18" s="4"/>
      <c r="N18" s="4"/>
      <c r="O18" s="4"/>
      <c r="P18" s="4"/>
      <c r="Q18" s="4"/>
      <c r="R18" s="4"/>
      <c r="S18" s="4"/>
      <c r="T18" s="4"/>
      <c r="U18" s="4"/>
      <c r="V18" s="4"/>
      <c r="W18" s="4"/>
      <c r="X18" s="4"/>
      <c r="Y18" s="4"/>
      <c r="Z18" s="4"/>
    </row>
    <row r="19">
      <c r="A19" s="4"/>
      <c r="B19" s="4"/>
      <c r="C19" s="4"/>
      <c r="D19" s="4"/>
      <c r="E19" s="4"/>
      <c r="F19" s="4"/>
      <c r="G19" s="4"/>
      <c r="H19" s="4"/>
      <c r="I19" s="4"/>
      <c r="J19" s="4"/>
      <c r="K19" s="4"/>
      <c r="L19" s="4"/>
      <c r="M19" s="4"/>
      <c r="N19" s="4"/>
      <c r="O19" s="4"/>
      <c r="P19" s="4"/>
      <c r="Q19" s="4"/>
      <c r="R19" s="4"/>
      <c r="S19" s="4"/>
      <c r="T19" s="4"/>
      <c r="U19" s="4"/>
      <c r="V19" s="4"/>
      <c r="W19" s="4"/>
      <c r="X19" s="4"/>
      <c r="Y19" s="4"/>
      <c r="Z19" s="4"/>
    </row>
    <row r="20">
      <c r="A20" s="4"/>
      <c r="B20" s="4"/>
      <c r="C20" s="4"/>
      <c r="D20" s="4"/>
      <c r="E20" s="4"/>
      <c r="F20" s="4"/>
      <c r="G20" s="4"/>
      <c r="H20" s="4"/>
      <c r="I20" s="4"/>
      <c r="J20" s="4"/>
      <c r="K20" s="4"/>
      <c r="L20" s="4"/>
      <c r="M20" s="4"/>
      <c r="N20" s="4"/>
      <c r="O20" s="4"/>
      <c r="P20" s="4"/>
      <c r="Q20" s="4"/>
      <c r="R20" s="4"/>
      <c r="S20" s="4"/>
      <c r="T20" s="4"/>
      <c r="U20" s="4"/>
      <c r="V20" s="4"/>
      <c r="W20" s="4"/>
      <c r="X20" s="4"/>
      <c r="Y20" s="4"/>
      <c r="Z20" s="4"/>
    </row>
    <row r="21" ht="15.75" customHeight="1">
      <c r="A21" s="4"/>
      <c r="B21" s="4"/>
      <c r="C21" s="4"/>
      <c r="D21" s="4"/>
      <c r="E21" s="4"/>
      <c r="F21" s="4"/>
      <c r="G21" s="4"/>
      <c r="H21" s="4"/>
      <c r="I21" s="4"/>
      <c r="J21" s="4"/>
      <c r="K21" s="4"/>
      <c r="L21" s="4"/>
      <c r="M21" s="4"/>
      <c r="N21" s="4"/>
      <c r="O21" s="4"/>
      <c r="P21" s="4"/>
      <c r="Q21" s="4"/>
      <c r="R21" s="4"/>
      <c r="S21" s="4"/>
      <c r="T21" s="4"/>
      <c r="U21" s="4"/>
      <c r="V21" s="4"/>
      <c r="W21" s="4"/>
      <c r="X21" s="4"/>
      <c r="Y21" s="4"/>
      <c r="Z21" s="4"/>
    </row>
    <row r="22" ht="15.75" customHeight="1">
      <c r="A22" s="4"/>
      <c r="B22" s="4"/>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C1"/>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3.43"/>
    <col customWidth="1" min="2" max="2" width="41.14"/>
    <col customWidth="1" min="3" max="3" width="52.0"/>
    <col customWidth="1" min="4" max="6" width="8.71"/>
  </cols>
  <sheetData>
    <row r="1" ht="21.75" customHeight="1">
      <c r="A1" s="3" t="s">
        <v>2</v>
      </c>
      <c r="B1" s="5"/>
      <c r="C1" s="6"/>
      <c r="D1" s="4"/>
      <c r="E1" s="4"/>
      <c r="F1" s="4"/>
      <c r="G1" s="4"/>
      <c r="H1" s="4"/>
      <c r="I1" s="4"/>
      <c r="J1" s="4"/>
      <c r="K1" s="4"/>
      <c r="L1" s="4"/>
      <c r="M1" s="4"/>
      <c r="N1" s="4"/>
      <c r="O1" s="4"/>
      <c r="P1" s="4"/>
      <c r="Q1" s="4"/>
      <c r="R1" s="4"/>
      <c r="S1" s="4"/>
      <c r="T1" s="4"/>
      <c r="U1" s="4"/>
      <c r="V1" s="4"/>
      <c r="W1" s="4"/>
      <c r="X1" s="4"/>
      <c r="Y1" s="4"/>
      <c r="Z1" s="4"/>
    </row>
    <row r="2">
      <c r="A2" s="4"/>
      <c r="B2" s="4"/>
      <c r="C2" s="4"/>
      <c r="D2" s="4"/>
      <c r="E2" s="4"/>
      <c r="F2" s="4"/>
      <c r="G2" s="4"/>
      <c r="H2" s="4"/>
      <c r="I2" s="4"/>
      <c r="J2" s="4"/>
      <c r="K2" s="4"/>
      <c r="L2" s="4"/>
      <c r="M2" s="4"/>
      <c r="N2" s="4"/>
      <c r="O2" s="4"/>
      <c r="P2" s="4"/>
      <c r="Q2" s="4"/>
      <c r="R2" s="4"/>
      <c r="S2" s="4"/>
      <c r="T2" s="4"/>
      <c r="U2" s="4"/>
      <c r="V2" s="4"/>
      <c r="W2" s="4"/>
      <c r="X2" s="4"/>
      <c r="Y2" s="4"/>
      <c r="Z2" s="4"/>
    </row>
    <row r="3" ht="21.75" customHeight="1">
      <c r="A3" s="15" t="s">
        <v>14</v>
      </c>
      <c r="B3" s="5"/>
      <c r="C3" s="6"/>
      <c r="D3" s="4"/>
      <c r="E3" s="4"/>
      <c r="F3" s="4"/>
      <c r="G3" s="4"/>
      <c r="H3" s="4"/>
      <c r="I3" s="4"/>
      <c r="J3" s="4"/>
      <c r="K3" s="4"/>
      <c r="L3" s="4"/>
      <c r="M3" s="4"/>
      <c r="N3" s="4"/>
      <c r="O3" s="4"/>
      <c r="P3" s="4"/>
      <c r="Q3" s="4"/>
      <c r="R3" s="4"/>
      <c r="S3" s="4"/>
      <c r="T3" s="4"/>
      <c r="U3" s="4"/>
      <c r="V3" s="4"/>
      <c r="W3" s="4"/>
      <c r="X3" s="4"/>
      <c r="Y3" s="4"/>
      <c r="Z3" s="4"/>
    </row>
    <row r="4" ht="30.0" customHeight="1">
      <c r="A4" s="9" t="s">
        <v>22</v>
      </c>
      <c r="B4" s="9" t="s">
        <v>23</v>
      </c>
      <c r="C4" s="9" t="s">
        <v>7</v>
      </c>
      <c r="D4" s="4"/>
      <c r="E4" s="4"/>
      <c r="F4" s="4"/>
      <c r="G4" s="4"/>
      <c r="H4" s="4"/>
      <c r="I4" s="4"/>
      <c r="J4" s="4"/>
      <c r="K4" s="4"/>
      <c r="L4" s="4"/>
      <c r="M4" s="4"/>
      <c r="N4" s="4"/>
      <c r="O4" s="4"/>
      <c r="P4" s="4"/>
      <c r="Q4" s="4"/>
      <c r="R4" s="4"/>
      <c r="S4" s="4"/>
      <c r="T4" s="4"/>
      <c r="U4" s="4"/>
      <c r="V4" s="4"/>
      <c r="W4" s="4"/>
      <c r="X4" s="4"/>
      <c r="Y4" s="4"/>
      <c r="Z4" s="4"/>
    </row>
    <row r="5" ht="27.75" customHeight="1">
      <c r="A5" s="12" t="s">
        <v>29</v>
      </c>
      <c r="B5" s="12" t="s">
        <v>30</v>
      </c>
      <c r="C5" s="12"/>
      <c r="D5" s="4"/>
      <c r="E5" s="4"/>
      <c r="F5" s="4"/>
      <c r="G5" s="4"/>
      <c r="H5" s="4"/>
      <c r="I5" s="4"/>
      <c r="J5" s="4"/>
      <c r="K5" s="4"/>
      <c r="L5" s="4"/>
      <c r="M5" s="4"/>
      <c r="N5" s="4"/>
      <c r="O5" s="4"/>
      <c r="P5" s="4"/>
      <c r="Q5" s="4"/>
      <c r="R5" s="4"/>
      <c r="S5" s="4"/>
      <c r="T5" s="4"/>
      <c r="U5" s="4"/>
      <c r="V5" s="4"/>
      <c r="W5" s="4"/>
      <c r="X5" s="4"/>
      <c r="Y5" s="4"/>
      <c r="Z5" s="4"/>
    </row>
    <row r="6" ht="27.75" customHeight="1">
      <c r="A6" s="16" t="s">
        <v>36</v>
      </c>
      <c r="B6" s="16" t="s">
        <v>39</v>
      </c>
      <c r="C6" s="16"/>
      <c r="D6" s="4"/>
      <c r="E6" s="4"/>
      <c r="F6" s="4"/>
      <c r="G6" s="4"/>
      <c r="H6" s="4"/>
      <c r="I6" s="4"/>
      <c r="J6" s="4"/>
      <c r="K6" s="4"/>
      <c r="L6" s="4"/>
      <c r="M6" s="4"/>
      <c r="N6" s="4"/>
      <c r="O6" s="4"/>
      <c r="P6" s="4"/>
      <c r="Q6" s="4"/>
      <c r="R6" s="4"/>
      <c r="S6" s="4"/>
      <c r="T6" s="4"/>
      <c r="U6" s="4"/>
      <c r="V6" s="4"/>
      <c r="W6" s="4"/>
      <c r="X6" s="4"/>
      <c r="Y6" s="4"/>
      <c r="Z6" s="4"/>
    </row>
    <row r="7" ht="27.75" customHeight="1">
      <c r="A7" s="12" t="s">
        <v>44</v>
      </c>
      <c r="B7" s="12" t="s">
        <v>45</v>
      </c>
      <c r="C7" s="12"/>
      <c r="D7" s="4"/>
      <c r="E7" s="4"/>
      <c r="F7" s="4"/>
      <c r="G7" s="4"/>
      <c r="H7" s="4"/>
      <c r="I7" s="4"/>
      <c r="J7" s="4"/>
      <c r="K7" s="4"/>
      <c r="L7" s="4"/>
      <c r="M7" s="4"/>
      <c r="N7" s="4"/>
      <c r="O7" s="4"/>
      <c r="P7" s="4"/>
      <c r="Q7" s="4"/>
      <c r="R7" s="4"/>
      <c r="S7" s="4"/>
      <c r="T7" s="4"/>
      <c r="U7" s="4"/>
      <c r="V7" s="4"/>
      <c r="W7" s="4"/>
      <c r="X7" s="4"/>
      <c r="Y7" s="4"/>
      <c r="Z7" s="4"/>
    </row>
    <row r="8" ht="27.75" customHeight="1">
      <c r="A8" s="16" t="s">
        <v>47</v>
      </c>
      <c r="B8" s="16" t="s">
        <v>48</v>
      </c>
      <c r="C8" s="16"/>
      <c r="D8" s="4"/>
      <c r="E8" s="4"/>
      <c r="F8" s="4"/>
      <c r="G8" s="4"/>
      <c r="H8" s="4"/>
      <c r="I8" s="4"/>
      <c r="J8" s="4"/>
      <c r="K8" s="4"/>
      <c r="L8" s="4"/>
      <c r="M8" s="4"/>
      <c r="N8" s="4"/>
      <c r="O8" s="4"/>
      <c r="P8" s="4"/>
      <c r="Q8" s="4"/>
      <c r="R8" s="4"/>
      <c r="S8" s="4"/>
      <c r="T8" s="4"/>
      <c r="U8" s="4"/>
      <c r="V8" s="4"/>
      <c r="W8" s="4"/>
      <c r="X8" s="4"/>
      <c r="Y8" s="4"/>
      <c r="Z8" s="4"/>
    </row>
    <row r="9" ht="27.75" customHeight="1">
      <c r="A9" s="12" t="s">
        <v>52</v>
      </c>
      <c r="B9" s="12" t="s">
        <v>53</v>
      </c>
      <c r="C9" s="12"/>
      <c r="D9" s="4"/>
      <c r="E9" s="4"/>
      <c r="F9" s="4"/>
      <c r="G9" s="4"/>
      <c r="H9" s="4"/>
      <c r="I9" s="4"/>
      <c r="J9" s="4"/>
      <c r="K9" s="4"/>
      <c r="L9" s="4"/>
      <c r="M9" s="4"/>
      <c r="N9" s="4"/>
      <c r="O9" s="4"/>
      <c r="P9" s="4"/>
      <c r="Q9" s="4"/>
      <c r="R9" s="4"/>
      <c r="S9" s="4"/>
      <c r="T9" s="4"/>
      <c r="U9" s="4"/>
      <c r="V9" s="4"/>
      <c r="W9" s="4"/>
      <c r="X9" s="4"/>
      <c r="Y9" s="4"/>
      <c r="Z9" s="4"/>
    </row>
    <row r="10">
      <c r="A10" s="12" t="s">
        <v>58</v>
      </c>
      <c r="B10" s="12" t="s">
        <v>60</v>
      </c>
      <c r="C10" s="12" t="s">
        <v>62</v>
      </c>
      <c r="D10" s="4"/>
      <c r="E10" s="4"/>
      <c r="F10" s="4"/>
      <c r="G10" s="4"/>
      <c r="H10" s="4"/>
      <c r="I10" s="4"/>
      <c r="J10" s="4"/>
      <c r="K10" s="4"/>
      <c r="L10" s="4"/>
      <c r="M10" s="4"/>
      <c r="N10" s="4"/>
      <c r="O10" s="4"/>
      <c r="P10" s="4"/>
      <c r="Q10" s="4"/>
      <c r="R10" s="4"/>
      <c r="S10" s="4"/>
      <c r="T10" s="4"/>
      <c r="U10" s="4"/>
      <c r="V10" s="4"/>
      <c r="W10" s="4"/>
      <c r="X10" s="4"/>
      <c r="Y10" s="4"/>
      <c r="Z10" s="4"/>
    </row>
    <row r="11" ht="21.75" customHeight="1">
      <c r="A11" s="15" t="s">
        <v>66</v>
      </c>
      <c r="B11" s="5"/>
      <c r="C11" s="6"/>
      <c r="D11" s="4"/>
      <c r="E11" s="4"/>
      <c r="F11" s="4"/>
      <c r="G11" s="4"/>
      <c r="H11" s="4"/>
      <c r="I11" s="4"/>
      <c r="J11" s="4"/>
      <c r="K11" s="4"/>
      <c r="L11" s="4"/>
      <c r="M11" s="4"/>
      <c r="N11" s="4"/>
      <c r="O11" s="4"/>
      <c r="P11" s="4"/>
      <c r="Q11" s="4"/>
      <c r="R11" s="4"/>
      <c r="S11" s="4"/>
      <c r="T11" s="4"/>
      <c r="U11" s="4"/>
      <c r="V11" s="4"/>
      <c r="W11" s="4"/>
      <c r="X11" s="4"/>
      <c r="Y11" s="4"/>
      <c r="Z11" s="4"/>
    </row>
    <row r="12" ht="30.0" customHeight="1">
      <c r="A12" s="9" t="s">
        <v>72</v>
      </c>
      <c r="B12" s="9" t="s">
        <v>73</v>
      </c>
      <c r="C12" s="9" t="s">
        <v>74</v>
      </c>
      <c r="D12" s="4"/>
      <c r="E12" s="4"/>
      <c r="F12" s="4"/>
      <c r="G12" s="4"/>
      <c r="H12" s="4"/>
      <c r="I12" s="4"/>
      <c r="J12" s="4"/>
      <c r="K12" s="4"/>
      <c r="L12" s="4"/>
      <c r="M12" s="4"/>
      <c r="N12" s="4"/>
      <c r="O12" s="4"/>
      <c r="P12" s="4"/>
      <c r="Q12" s="4"/>
      <c r="R12" s="4"/>
      <c r="S12" s="4"/>
      <c r="T12" s="4"/>
      <c r="U12" s="4"/>
      <c r="V12" s="4"/>
      <c r="W12" s="4"/>
      <c r="X12" s="4"/>
      <c r="Y12" s="4"/>
      <c r="Z12" s="4"/>
    </row>
    <row r="13" ht="21.75" customHeight="1">
      <c r="A13" s="12" t="s">
        <v>77</v>
      </c>
      <c r="B13" s="12" t="s">
        <v>78</v>
      </c>
      <c r="C13" s="12" t="s">
        <v>29</v>
      </c>
      <c r="D13" s="4"/>
      <c r="E13" s="4"/>
      <c r="F13" s="4"/>
      <c r="G13" s="4"/>
      <c r="H13" s="4"/>
      <c r="I13" s="4"/>
      <c r="J13" s="4"/>
      <c r="K13" s="4"/>
      <c r="L13" s="4"/>
      <c r="M13" s="4"/>
      <c r="N13" s="4"/>
      <c r="O13" s="4"/>
      <c r="P13" s="4"/>
      <c r="Q13" s="4"/>
      <c r="R13" s="4"/>
      <c r="S13" s="4"/>
      <c r="T13" s="4"/>
      <c r="U13" s="4"/>
      <c r="V13" s="4"/>
      <c r="W13" s="4"/>
      <c r="X13" s="4"/>
      <c r="Y13" s="4"/>
      <c r="Z13" s="4"/>
    </row>
    <row r="14" ht="31.5" customHeight="1">
      <c r="A14" s="16" t="s">
        <v>82</v>
      </c>
      <c r="B14" s="16" t="s">
        <v>84</v>
      </c>
      <c r="C14" s="16" t="s">
        <v>44</v>
      </c>
      <c r="D14" s="4"/>
      <c r="E14" s="4"/>
      <c r="F14" s="4"/>
      <c r="G14" s="4"/>
      <c r="H14" s="4"/>
      <c r="I14" s="4"/>
      <c r="J14" s="4"/>
      <c r="K14" s="4"/>
      <c r="L14" s="4"/>
      <c r="M14" s="4"/>
      <c r="N14" s="4"/>
      <c r="O14" s="4"/>
      <c r="P14" s="4"/>
      <c r="Q14" s="4"/>
      <c r="R14" s="4"/>
      <c r="S14" s="4"/>
      <c r="T14" s="4"/>
      <c r="U14" s="4"/>
      <c r="V14" s="4"/>
      <c r="W14" s="4"/>
      <c r="X14" s="4"/>
      <c r="Y14" s="4"/>
      <c r="Z14" s="4"/>
    </row>
    <row r="15" ht="21.75" customHeight="1">
      <c r="A15" s="12" t="s">
        <v>85</v>
      </c>
      <c r="B15" s="12" t="s">
        <v>87</v>
      </c>
      <c r="C15" s="12" t="s">
        <v>36</v>
      </c>
      <c r="D15" s="4"/>
      <c r="E15" s="4"/>
      <c r="F15" s="4"/>
      <c r="G15" s="4"/>
      <c r="H15" s="4"/>
      <c r="I15" s="4"/>
      <c r="J15" s="4"/>
      <c r="K15" s="4"/>
      <c r="L15" s="4"/>
      <c r="M15" s="4"/>
      <c r="N15" s="4"/>
      <c r="O15" s="4"/>
      <c r="P15" s="4"/>
      <c r="Q15" s="4"/>
      <c r="R15" s="4"/>
      <c r="S15" s="4"/>
      <c r="T15" s="4"/>
      <c r="U15" s="4"/>
      <c r="V15" s="4"/>
      <c r="W15" s="4"/>
      <c r="X15" s="4"/>
      <c r="Y15" s="4"/>
      <c r="Z15" s="4"/>
    </row>
    <row r="16" ht="32.25" customHeight="1">
      <c r="A16" s="16" t="s">
        <v>90</v>
      </c>
      <c r="B16" s="16" t="s">
        <v>87</v>
      </c>
      <c r="C16" s="16" t="s">
        <v>44</v>
      </c>
      <c r="D16" s="4"/>
      <c r="E16" s="4"/>
      <c r="F16" s="4"/>
      <c r="G16" s="4"/>
      <c r="H16" s="4"/>
      <c r="I16" s="4"/>
      <c r="J16" s="4"/>
      <c r="K16" s="4"/>
      <c r="L16" s="4"/>
      <c r="M16" s="4"/>
      <c r="N16" s="4"/>
      <c r="O16" s="4"/>
      <c r="P16" s="4"/>
      <c r="Q16" s="4"/>
      <c r="R16" s="4"/>
      <c r="S16" s="4"/>
      <c r="T16" s="4"/>
      <c r="U16" s="4"/>
      <c r="V16" s="4"/>
      <c r="W16" s="4"/>
      <c r="X16" s="4"/>
      <c r="Y16" s="4"/>
      <c r="Z16" s="4"/>
    </row>
    <row r="17" ht="21.75" customHeight="1">
      <c r="A17" s="12" t="s">
        <v>93</v>
      </c>
      <c r="B17" s="12" t="s">
        <v>94</v>
      </c>
      <c r="C17" s="12" t="s">
        <v>52</v>
      </c>
      <c r="D17" s="4"/>
      <c r="E17" s="4"/>
      <c r="F17" s="4"/>
      <c r="G17" s="4"/>
      <c r="H17" s="4"/>
      <c r="I17" s="4"/>
      <c r="J17" s="4"/>
      <c r="K17" s="4"/>
      <c r="L17" s="4"/>
      <c r="M17" s="4"/>
      <c r="N17" s="4"/>
      <c r="O17" s="4"/>
      <c r="P17" s="4"/>
      <c r="Q17" s="4"/>
      <c r="R17" s="4"/>
      <c r="S17" s="4"/>
      <c r="T17" s="4"/>
      <c r="U17" s="4"/>
      <c r="V17" s="4"/>
      <c r="W17" s="4"/>
      <c r="X17" s="4"/>
      <c r="Y17" s="4"/>
      <c r="Z17" s="4"/>
    </row>
    <row r="18" ht="21.75" customHeight="1">
      <c r="A18" s="16" t="s">
        <v>95</v>
      </c>
      <c r="B18" s="16" t="s">
        <v>96</v>
      </c>
      <c r="C18" s="16" t="s">
        <v>47</v>
      </c>
      <c r="D18" s="4"/>
      <c r="E18" s="4"/>
      <c r="F18" s="4"/>
      <c r="G18" s="4"/>
      <c r="H18" s="4"/>
      <c r="I18" s="4"/>
      <c r="J18" s="4"/>
      <c r="K18" s="4"/>
      <c r="L18" s="4"/>
      <c r="M18" s="4"/>
      <c r="N18" s="4"/>
      <c r="O18" s="4"/>
      <c r="P18" s="4"/>
      <c r="Q18" s="4"/>
      <c r="R18" s="4"/>
      <c r="S18" s="4"/>
      <c r="T18" s="4"/>
      <c r="U18" s="4"/>
      <c r="V18" s="4"/>
      <c r="W18" s="4"/>
      <c r="X18" s="4"/>
      <c r="Y18" s="4"/>
      <c r="Z18" s="4"/>
    </row>
    <row r="19" ht="21.75" customHeight="1">
      <c r="A19" s="12" t="s">
        <v>98</v>
      </c>
      <c r="B19" s="12" t="s">
        <v>99</v>
      </c>
      <c r="C19" s="12" t="s">
        <v>100</v>
      </c>
      <c r="D19" s="4"/>
      <c r="E19" s="4"/>
      <c r="F19" s="4"/>
      <c r="G19" s="4"/>
      <c r="H19" s="4"/>
      <c r="I19" s="4"/>
      <c r="J19" s="4"/>
      <c r="K19" s="4"/>
      <c r="L19" s="4"/>
      <c r="M19" s="4"/>
      <c r="N19" s="4"/>
      <c r="O19" s="4"/>
      <c r="P19" s="4"/>
      <c r="Q19" s="4"/>
      <c r="R19" s="4"/>
      <c r="S19" s="4"/>
      <c r="T19" s="4"/>
      <c r="U19" s="4"/>
      <c r="V19" s="4"/>
      <c r="W19" s="4"/>
      <c r="X19" s="4"/>
      <c r="Y19" s="4"/>
      <c r="Z19" s="4"/>
    </row>
    <row r="20" ht="51.75" customHeight="1">
      <c r="A20" s="27" t="s">
        <v>102</v>
      </c>
      <c r="B20" s="5"/>
      <c r="C20" s="6"/>
      <c r="D20" s="4"/>
      <c r="E20" s="4"/>
      <c r="F20" s="4"/>
      <c r="G20" s="4"/>
      <c r="H20" s="4"/>
      <c r="I20" s="4"/>
      <c r="J20" s="4"/>
      <c r="K20" s="4"/>
      <c r="L20" s="4"/>
      <c r="M20" s="4"/>
      <c r="N20" s="4"/>
      <c r="O20" s="4"/>
      <c r="P20" s="4"/>
      <c r="Q20" s="4"/>
      <c r="R20" s="4"/>
      <c r="S20" s="4"/>
      <c r="T20" s="4"/>
      <c r="U20" s="4"/>
      <c r="V20" s="4"/>
      <c r="W20" s="4"/>
      <c r="X20" s="4"/>
      <c r="Y20" s="4"/>
      <c r="Z20" s="4"/>
    </row>
    <row r="21" ht="15.75" customHeight="1">
      <c r="A21" s="4"/>
      <c r="B21" s="4"/>
      <c r="C21" s="4"/>
      <c r="D21" s="4"/>
      <c r="E21" s="4"/>
      <c r="F21" s="4"/>
      <c r="G21" s="4"/>
      <c r="H21" s="4"/>
      <c r="I21" s="4"/>
      <c r="J21" s="4"/>
      <c r="K21" s="4"/>
      <c r="L21" s="4"/>
      <c r="M21" s="4"/>
      <c r="N21" s="4"/>
      <c r="O21" s="4"/>
      <c r="P21" s="4"/>
      <c r="Q21" s="4"/>
      <c r="R21" s="4"/>
      <c r="S21" s="4"/>
      <c r="T21" s="4"/>
      <c r="U21" s="4"/>
      <c r="V21" s="4"/>
      <c r="W21" s="4"/>
      <c r="X21" s="4"/>
      <c r="Y21" s="4"/>
      <c r="Z21" s="4"/>
    </row>
    <row r="22" ht="15.75" customHeight="1">
      <c r="A22" s="4"/>
      <c r="B22" s="4"/>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C1"/>
    <mergeCell ref="A3:C3"/>
    <mergeCell ref="A11:C11"/>
    <mergeCell ref="A20:C20"/>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53.57"/>
    <col customWidth="1" min="2" max="2" width="38.0"/>
    <col customWidth="1" min="3" max="3" width="42.0"/>
    <col customWidth="1" min="4" max="6" width="8.71"/>
  </cols>
  <sheetData>
    <row r="1" ht="15.0" customHeight="1">
      <c r="A1" s="3" t="s">
        <v>3</v>
      </c>
      <c r="B1" s="5"/>
      <c r="C1" s="6"/>
      <c r="D1" s="4"/>
      <c r="E1" s="4"/>
      <c r="F1" s="4"/>
      <c r="G1" s="4"/>
      <c r="H1" s="4"/>
      <c r="I1" s="4"/>
      <c r="J1" s="4"/>
      <c r="K1" s="4"/>
      <c r="L1" s="4"/>
      <c r="M1" s="4"/>
      <c r="N1" s="4"/>
      <c r="O1" s="4"/>
      <c r="P1" s="4"/>
      <c r="Q1" s="4"/>
      <c r="R1" s="4"/>
      <c r="S1" s="4"/>
      <c r="T1" s="4"/>
      <c r="U1" s="4"/>
      <c r="V1" s="4"/>
      <c r="W1" s="4"/>
      <c r="X1" s="4"/>
      <c r="Y1" s="4"/>
      <c r="Z1" s="4"/>
    </row>
    <row r="2" ht="15.0" customHeight="1">
      <c r="A2" s="4"/>
      <c r="B2" s="4"/>
      <c r="C2" s="4"/>
      <c r="D2" s="4"/>
      <c r="E2" s="4"/>
      <c r="F2" s="4"/>
      <c r="G2" s="4"/>
      <c r="H2" s="4"/>
      <c r="I2" s="4"/>
      <c r="J2" s="4"/>
      <c r="K2" s="4"/>
      <c r="L2" s="4"/>
      <c r="M2" s="4"/>
      <c r="N2" s="4"/>
      <c r="O2" s="4"/>
      <c r="P2" s="4"/>
      <c r="Q2" s="4"/>
      <c r="R2" s="4"/>
      <c r="S2" s="4"/>
      <c r="T2" s="4"/>
      <c r="U2" s="4"/>
      <c r="V2" s="4"/>
      <c r="W2" s="4"/>
      <c r="X2" s="4"/>
      <c r="Y2" s="4"/>
      <c r="Z2" s="4"/>
    </row>
    <row r="3" ht="15.0" customHeight="1">
      <c r="A3" s="15" t="s">
        <v>18</v>
      </c>
      <c r="B3" s="5"/>
      <c r="C3" s="6"/>
      <c r="D3" s="4"/>
      <c r="E3" s="4"/>
      <c r="F3" s="4"/>
      <c r="G3" s="4"/>
      <c r="H3" s="4"/>
      <c r="I3" s="4"/>
      <c r="J3" s="4"/>
      <c r="K3" s="4"/>
      <c r="L3" s="4"/>
      <c r="M3" s="4"/>
      <c r="N3" s="4"/>
      <c r="O3" s="4"/>
      <c r="P3" s="4"/>
      <c r="Q3" s="4"/>
      <c r="R3" s="4"/>
      <c r="S3" s="4"/>
      <c r="T3" s="4"/>
      <c r="U3" s="4"/>
      <c r="V3" s="4"/>
      <c r="W3" s="4"/>
      <c r="X3" s="4"/>
      <c r="Y3" s="4"/>
      <c r="Z3" s="4"/>
    </row>
    <row r="4" ht="15.0" customHeight="1">
      <c r="A4" s="9" t="s">
        <v>5</v>
      </c>
      <c r="B4" s="9" t="s">
        <v>26</v>
      </c>
      <c r="C4" s="9" t="s">
        <v>7</v>
      </c>
      <c r="D4" s="4"/>
      <c r="E4" s="4"/>
      <c r="F4" s="4"/>
      <c r="G4" s="4"/>
      <c r="H4" s="4"/>
      <c r="I4" s="4"/>
      <c r="J4" s="4"/>
      <c r="K4" s="4"/>
      <c r="L4" s="4"/>
      <c r="M4" s="4"/>
      <c r="N4" s="4"/>
      <c r="O4" s="4"/>
      <c r="P4" s="4"/>
      <c r="Q4" s="4"/>
      <c r="R4" s="4"/>
      <c r="S4" s="4"/>
      <c r="T4" s="4"/>
      <c r="U4" s="4"/>
      <c r="V4" s="4"/>
      <c r="W4" s="4"/>
      <c r="X4" s="4"/>
      <c r="Y4" s="4"/>
      <c r="Z4" s="4"/>
    </row>
    <row r="5" ht="15.0" customHeight="1">
      <c r="A5" s="12" t="s">
        <v>35</v>
      </c>
      <c r="B5" s="12"/>
      <c r="C5" s="12"/>
      <c r="D5" s="4"/>
      <c r="E5" s="4"/>
      <c r="F5" s="4"/>
      <c r="G5" s="4"/>
      <c r="H5" s="4"/>
      <c r="I5" s="4"/>
      <c r="J5" s="4"/>
      <c r="K5" s="4"/>
      <c r="L5" s="4"/>
      <c r="M5" s="4"/>
      <c r="N5" s="4"/>
      <c r="O5" s="4"/>
      <c r="P5" s="4"/>
      <c r="Q5" s="4"/>
      <c r="R5" s="4"/>
      <c r="S5" s="4"/>
      <c r="T5" s="4"/>
      <c r="U5" s="4"/>
      <c r="V5" s="4"/>
      <c r="W5" s="4"/>
      <c r="X5" s="4"/>
      <c r="Y5" s="4"/>
      <c r="Z5" s="4"/>
    </row>
    <row r="6" ht="15.0" customHeight="1">
      <c r="A6" s="16" t="s">
        <v>46</v>
      </c>
      <c r="B6" s="16"/>
      <c r="C6" s="16"/>
      <c r="D6" s="4"/>
      <c r="E6" s="4"/>
      <c r="F6" s="4"/>
      <c r="G6" s="4"/>
      <c r="H6" s="4"/>
      <c r="I6" s="4"/>
      <c r="J6" s="4"/>
      <c r="K6" s="4"/>
      <c r="L6" s="4"/>
      <c r="M6" s="4"/>
      <c r="N6" s="4"/>
      <c r="O6" s="4"/>
      <c r="P6" s="4"/>
      <c r="Q6" s="4"/>
      <c r="R6" s="4"/>
      <c r="S6" s="4"/>
      <c r="T6" s="4"/>
      <c r="U6" s="4"/>
      <c r="V6" s="4"/>
      <c r="W6" s="4"/>
      <c r="X6" s="4"/>
      <c r="Y6" s="4"/>
      <c r="Z6" s="4"/>
    </row>
    <row r="7" ht="15.0" customHeight="1">
      <c r="A7" s="12" t="s">
        <v>51</v>
      </c>
      <c r="B7" s="12"/>
      <c r="C7" s="12" t="s">
        <v>29</v>
      </c>
      <c r="D7" s="4"/>
      <c r="E7" s="4"/>
      <c r="F7" s="4"/>
      <c r="G7" s="4"/>
      <c r="H7" s="4"/>
      <c r="I7" s="4"/>
      <c r="J7" s="4"/>
      <c r="K7" s="4"/>
      <c r="L7" s="4"/>
      <c r="M7" s="4"/>
      <c r="N7" s="4"/>
      <c r="O7" s="4"/>
      <c r="P7" s="4"/>
      <c r="Q7" s="4"/>
      <c r="R7" s="4"/>
      <c r="S7" s="4"/>
      <c r="T7" s="4"/>
      <c r="U7" s="4"/>
      <c r="V7" s="4"/>
      <c r="W7" s="4"/>
      <c r="X7" s="4"/>
      <c r="Y7" s="4"/>
      <c r="Z7" s="4"/>
    </row>
    <row r="8" ht="15.0" customHeight="1">
      <c r="A8" s="16" t="s">
        <v>61</v>
      </c>
      <c r="B8" s="16"/>
      <c r="C8" s="16"/>
      <c r="D8" s="4"/>
      <c r="E8" s="4"/>
      <c r="F8" s="4"/>
      <c r="G8" s="4"/>
      <c r="H8" s="4"/>
      <c r="I8" s="4"/>
      <c r="J8" s="4"/>
      <c r="K8" s="4"/>
      <c r="L8" s="4"/>
      <c r="M8" s="4"/>
      <c r="N8" s="4"/>
      <c r="O8" s="4"/>
      <c r="P8" s="4"/>
      <c r="Q8" s="4"/>
      <c r="R8" s="4"/>
      <c r="S8" s="4"/>
      <c r="T8" s="4"/>
      <c r="U8" s="4"/>
      <c r="V8" s="4"/>
      <c r="W8" s="4"/>
      <c r="X8" s="4"/>
      <c r="Y8" s="4"/>
      <c r="Z8" s="4"/>
    </row>
    <row r="9" ht="15.0" customHeight="1">
      <c r="A9" s="12" t="s">
        <v>68</v>
      </c>
      <c r="B9" s="12"/>
      <c r="C9" s="12"/>
      <c r="D9" s="4"/>
      <c r="E9" s="4"/>
      <c r="F9" s="4"/>
      <c r="G9" s="4"/>
      <c r="H9" s="4"/>
      <c r="I9" s="4"/>
      <c r="J9" s="4"/>
      <c r="K9" s="4"/>
      <c r="L9" s="4"/>
      <c r="M9" s="4"/>
      <c r="N9" s="4"/>
      <c r="O9" s="4"/>
      <c r="P9" s="4"/>
      <c r="Q9" s="4"/>
      <c r="R9" s="4"/>
      <c r="S9" s="4"/>
      <c r="T9" s="4"/>
      <c r="U9" s="4"/>
      <c r="V9" s="4"/>
      <c r="W9" s="4"/>
      <c r="X9" s="4"/>
      <c r="Y9" s="4"/>
      <c r="Z9" s="4"/>
    </row>
    <row r="10" ht="15.0" customHeight="1">
      <c r="A10" s="4"/>
      <c r="B10" s="4"/>
      <c r="C10" s="4"/>
      <c r="D10" s="4"/>
      <c r="E10" s="4"/>
      <c r="F10" s="4"/>
      <c r="G10" s="4"/>
      <c r="H10" s="4"/>
      <c r="I10" s="4"/>
      <c r="J10" s="4"/>
      <c r="K10" s="4"/>
      <c r="L10" s="4"/>
      <c r="M10" s="4"/>
      <c r="N10" s="4"/>
      <c r="O10" s="4"/>
      <c r="P10" s="4"/>
      <c r="Q10" s="4"/>
      <c r="R10" s="4"/>
      <c r="S10" s="4"/>
      <c r="T10" s="4"/>
      <c r="U10" s="4"/>
      <c r="V10" s="4"/>
      <c r="W10" s="4"/>
      <c r="X10" s="4"/>
      <c r="Y10" s="4"/>
      <c r="Z10" s="4"/>
    </row>
    <row r="11" ht="15.0" customHeight="1">
      <c r="A11" s="15" t="s">
        <v>83</v>
      </c>
      <c r="B11" s="5"/>
      <c r="C11" s="6"/>
      <c r="D11" s="4"/>
      <c r="E11" s="4"/>
      <c r="F11" s="4"/>
      <c r="G11" s="4"/>
      <c r="H11" s="4"/>
      <c r="I11" s="4"/>
      <c r="J11" s="4"/>
      <c r="K11" s="4"/>
      <c r="L11" s="4"/>
      <c r="M11" s="4"/>
      <c r="N11" s="4"/>
      <c r="O11" s="4"/>
      <c r="P11" s="4"/>
      <c r="Q11" s="4"/>
      <c r="R11" s="4"/>
      <c r="S11" s="4"/>
      <c r="T11" s="4"/>
      <c r="U11" s="4"/>
      <c r="V11" s="4"/>
      <c r="W11" s="4"/>
      <c r="X11" s="4"/>
      <c r="Y11" s="4"/>
      <c r="Z11" s="4"/>
    </row>
    <row r="12" ht="15.0" customHeight="1">
      <c r="A12" s="9" t="s">
        <v>5</v>
      </c>
      <c r="B12" s="9" t="s">
        <v>26</v>
      </c>
      <c r="C12" s="9" t="s">
        <v>7</v>
      </c>
      <c r="D12" s="4"/>
      <c r="E12" s="4"/>
      <c r="F12" s="4"/>
      <c r="G12" s="4"/>
      <c r="H12" s="4"/>
      <c r="I12" s="4"/>
      <c r="J12" s="4"/>
      <c r="K12" s="4"/>
      <c r="L12" s="4"/>
      <c r="M12" s="4"/>
      <c r="N12" s="4"/>
      <c r="O12" s="4"/>
      <c r="P12" s="4"/>
      <c r="Q12" s="4"/>
      <c r="R12" s="4"/>
      <c r="S12" s="4"/>
      <c r="T12" s="4"/>
      <c r="U12" s="4"/>
      <c r="V12" s="4"/>
      <c r="W12" s="4"/>
      <c r="X12" s="4"/>
      <c r="Y12" s="4"/>
      <c r="Z12" s="4"/>
    </row>
    <row r="13" ht="15.0" customHeight="1">
      <c r="A13" s="12" t="s">
        <v>92</v>
      </c>
      <c r="B13" s="12"/>
      <c r="C13" s="12"/>
      <c r="D13" s="4"/>
      <c r="E13" s="4"/>
      <c r="F13" s="4"/>
      <c r="G13" s="4"/>
      <c r="H13" s="4"/>
      <c r="I13" s="4"/>
      <c r="J13" s="4"/>
      <c r="K13" s="4"/>
      <c r="L13" s="4"/>
      <c r="M13" s="4"/>
      <c r="N13" s="4"/>
      <c r="O13" s="4"/>
      <c r="P13" s="4"/>
      <c r="Q13" s="4"/>
      <c r="R13" s="4"/>
      <c r="S13" s="4"/>
      <c r="T13" s="4"/>
      <c r="U13" s="4"/>
      <c r="V13" s="4"/>
      <c r="W13" s="4"/>
      <c r="X13" s="4"/>
      <c r="Y13" s="4"/>
      <c r="Z13" s="4"/>
    </row>
    <row r="14" ht="15.0" customHeight="1">
      <c r="A14" s="16" t="s">
        <v>97</v>
      </c>
      <c r="B14" s="16"/>
      <c r="C14" s="16"/>
      <c r="D14" s="4"/>
      <c r="E14" s="4"/>
      <c r="F14" s="4"/>
      <c r="G14" s="4"/>
      <c r="H14" s="4"/>
      <c r="I14" s="4"/>
      <c r="J14" s="4"/>
      <c r="K14" s="4"/>
      <c r="L14" s="4"/>
      <c r="M14" s="4"/>
      <c r="N14" s="4"/>
      <c r="O14" s="4"/>
      <c r="P14" s="4"/>
      <c r="Q14" s="4"/>
      <c r="R14" s="4"/>
      <c r="S14" s="4"/>
      <c r="T14" s="4"/>
      <c r="U14" s="4"/>
      <c r="V14" s="4"/>
      <c r="W14" s="4"/>
      <c r="X14" s="4"/>
      <c r="Y14" s="4"/>
      <c r="Z14" s="4"/>
    </row>
    <row r="15" ht="15.0" customHeight="1">
      <c r="A15" s="12" t="s">
        <v>101</v>
      </c>
      <c r="B15" s="12"/>
      <c r="C15" s="12"/>
      <c r="D15" s="4"/>
      <c r="E15" s="4"/>
      <c r="F15" s="4"/>
      <c r="G15" s="4"/>
      <c r="H15" s="4"/>
      <c r="I15" s="4"/>
      <c r="J15" s="4"/>
      <c r="K15" s="4"/>
      <c r="L15" s="4"/>
      <c r="M15" s="4"/>
      <c r="N15" s="4"/>
      <c r="O15" s="4"/>
      <c r="P15" s="4"/>
      <c r="Q15" s="4"/>
      <c r="R15" s="4"/>
      <c r="S15" s="4"/>
      <c r="T15" s="4"/>
      <c r="U15" s="4"/>
      <c r="V15" s="4"/>
      <c r="W15" s="4"/>
      <c r="X15" s="4"/>
      <c r="Y15" s="4"/>
      <c r="Z15" s="4"/>
    </row>
    <row r="16" ht="15.0" customHeight="1">
      <c r="A16" s="16" t="s">
        <v>103</v>
      </c>
      <c r="B16" s="16"/>
      <c r="C16" s="16" t="s">
        <v>104</v>
      </c>
      <c r="D16" s="4"/>
      <c r="E16" s="4"/>
      <c r="F16" s="4"/>
      <c r="G16" s="4"/>
      <c r="H16" s="4"/>
      <c r="I16" s="4"/>
      <c r="J16" s="4"/>
      <c r="K16" s="4"/>
      <c r="L16" s="4"/>
      <c r="M16" s="4"/>
      <c r="N16" s="4"/>
      <c r="O16" s="4"/>
      <c r="P16" s="4"/>
      <c r="Q16" s="4"/>
      <c r="R16" s="4"/>
      <c r="S16" s="4"/>
      <c r="T16" s="4"/>
      <c r="U16" s="4"/>
      <c r="V16" s="4"/>
      <c r="W16" s="4"/>
      <c r="X16" s="4"/>
      <c r="Y16" s="4"/>
      <c r="Z16" s="4"/>
    </row>
    <row r="17" ht="15.0" customHeight="1">
      <c r="A17" s="4"/>
      <c r="B17" s="4"/>
      <c r="C17" s="4"/>
      <c r="D17" s="4"/>
      <c r="E17" s="4"/>
      <c r="F17" s="4"/>
      <c r="G17" s="4"/>
      <c r="H17" s="4"/>
      <c r="I17" s="4"/>
      <c r="J17" s="4"/>
      <c r="K17" s="4"/>
      <c r="L17" s="4"/>
      <c r="M17" s="4"/>
      <c r="N17" s="4"/>
      <c r="O17" s="4"/>
      <c r="P17" s="4"/>
      <c r="Q17" s="4"/>
      <c r="R17" s="4"/>
      <c r="S17" s="4"/>
      <c r="T17" s="4"/>
      <c r="U17" s="4"/>
      <c r="V17" s="4"/>
      <c r="W17" s="4"/>
      <c r="X17" s="4"/>
      <c r="Y17" s="4"/>
      <c r="Z17" s="4"/>
    </row>
    <row r="18" ht="15.0" customHeight="1">
      <c r="A18" s="15" t="s">
        <v>105</v>
      </c>
      <c r="B18" s="5"/>
      <c r="C18" s="6"/>
      <c r="D18" s="4"/>
      <c r="E18" s="4"/>
      <c r="F18" s="4"/>
      <c r="G18" s="4"/>
      <c r="H18" s="4"/>
      <c r="I18" s="4"/>
      <c r="J18" s="4"/>
      <c r="K18" s="4"/>
      <c r="L18" s="4"/>
      <c r="M18" s="4"/>
      <c r="N18" s="4"/>
      <c r="O18" s="4"/>
      <c r="P18" s="4"/>
      <c r="Q18" s="4"/>
      <c r="R18" s="4"/>
      <c r="S18" s="4"/>
      <c r="T18" s="4"/>
      <c r="U18" s="4"/>
      <c r="V18" s="4"/>
      <c r="W18" s="4"/>
      <c r="X18" s="4"/>
      <c r="Y18" s="4"/>
      <c r="Z18" s="4"/>
    </row>
    <row r="19" ht="15.0" customHeight="1">
      <c r="A19" s="9" t="s">
        <v>5</v>
      </c>
      <c r="B19" s="9" t="s">
        <v>106</v>
      </c>
      <c r="C19" s="9" t="s">
        <v>7</v>
      </c>
      <c r="D19" s="4"/>
      <c r="E19" s="4"/>
      <c r="F19" s="4"/>
      <c r="G19" s="4"/>
      <c r="H19" s="4"/>
      <c r="I19" s="4"/>
      <c r="J19" s="4"/>
      <c r="K19" s="4"/>
      <c r="L19" s="4"/>
      <c r="M19" s="4"/>
      <c r="N19" s="4"/>
      <c r="O19" s="4"/>
      <c r="P19" s="4"/>
      <c r="Q19" s="4"/>
      <c r="R19" s="4"/>
      <c r="S19" s="4"/>
      <c r="T19" s="4"/>
      <c r="U19" s="4"/>
      <c r="V19" s="4"/>
      <c r="W19" s="4"/>
      <c r="X19" s="4"/>
      <c r="Y19" s="4"/>
      <c r="Z19" s="4"/>
    </row>
    <row r="20" ht="15.0" customHeight="1">
      <c r="A20" s="12" t="s">
        <v>107</v>
      </c>
      <c r="B20" s="12"/>
      <c r="C20" s="12" t="s">
        <v>108</v>
      </c>
      <c r="D20" s="4"/>
      <c r="E20" s="4"/>
      <c r="F20" s="4"/>
      <c r="G20" s="4"/>
      <c r="H20" s="4"/>
      <c r="I20" s="4"/>
      <c r="J20" s="4"/>
      <c r="K20" s="4"/>
      <c r="L20" s="4"/>
      <c r="M20" s="4"/>
      <c r="N20" s="4"/>
      <c r="O20" s="4"/>
      <c r="P20" s="4"/>
      <c r="Q20" s="4"/>
      <c r="R20" s="4"/>
      <c r="S20" s="4"/>
      <c r="T20" s="4"/>
      <c r="U20" s="4"/>
      <c r="V20" s="4"/>
      <c r="W20" s="4"/>
      <c r="X20" s="4"/>
      <c r="Y20" s="4"/>
      <c r="Z20" s="4"/>
    </row>
    <row r="21" ht="15.0" customHeight="1">
      <c r="A21" s="16" t="s">
        <v>109</v>
      </c>
      <c r="B21" s="16"/>
      <c r="C21" s="16" t="s">
        <v>108</v>
      </c>
      <c r="D21" s="4"/>
      <c r="E21" s="4"/>
      <c r="F21" s="4"/>
      <c r="G21" s="4"/>
      <c r="H21" s="4"/>
      <c r="I21" s="4"/>
      <c r="J21" s="4"/>
      <c r="K21" s="4"/>
      <c r="L21" s="4"/>
      <c r="M21" s="4"/>
      <c r="N21" s="4"/>
      <c r="O21" s="4"/>
      <c r="P21" s="4"/>
      <c r="Q21" s="4"/>
      <c r="R21" s="4"/>
      <c r="S21" s="4"/>
      <c r="T21" s="4"/>
      <c r="U21" s="4"/>
      <c r="V21" s="4"/>
      <c r="W21" s="4"/>
      <c r="X21" s="4"/>
      <c r="Y21" s="4"/>
      <c r="Z21" s="4"/>
    </row>
    <row r="22" ht="15.0" customHeight="1">
      <c r="A22" s="12" t="s">
        <v>110</v>
      </c>
      <c r="B22" s="12"/>
      <c r="C22" s="12" t="s">
        <v>108</v>
      </c>
      <c r="D22" s="4"/>
      <c r="E22" s="4"/>
      <c r="F22" s="4"/>
      <c r="G22" s="4"/>
      <c r="H22" s="4"/>
      <c r="I22" s="4"/>
      <c r="J22" s="4"/>
      <c r="K22" s="4"/>
      <c r="L22" s="4"/>
      <c r="M22" s="4"/>
      <c r="N22" s="4"/>
      <c r="O22" s="4"/>
      <c r="P22" s="4"/>
      <c r="Q22" s="4"/>
      <c r="R22" s="4"/>
      <c r="S22" s="4"/>
      <c r="T22" s="4"/>
      <c r="U22" s="4"/>
      <c r="V22" s="4"/>
      <c r="W22" s="4"/>
      <c r="X22" s="4"/>
      <c r="Y22" s="4"/>
      <c r="Z22" s="4"/>
    </row>
    <row r="23" ht="15.0" customHeight="1">
      <c r="A23" s="16" t="s">
        <v>111</v>
      </c>
      <c r="B23" s="16"/>
      <c r="C23" s="16"/>
      <c r="D23" s="4"/>
      <c r="E23" s="4"/>
      <c r="F23" s="4"/>
      <c r="G23" s="4"/>
      <c r="H23" s="4"/>
      <c r="I23" s="4"/>
      <c r="J23" s="4"/>
      <c r="K23" s="4"/>
      <c r="L23" s="4"/>
      <c r="M23" s="4"/>
      <c r="N23" s="4"/>
      <c r="O23" s="4"/>
      <c r="P23" s="4"/>
      <c r="Q23" s="4"/>
      <c r="R23" s="4"/>
      <c r="S23" s="4"/>
      <c r="T23" s="4"/>
      <c r="U23" s="4"/>
      <c r="V23" s="4"/>
      <c r="W23" s="4"/>
      <c r="X23" s="4"/>
      <c r="Y23" s="4"/>
      <c r="Z23" s="4"/>
    </row>
    <row r="24" ht="15.0" customHeight="1">
      <c r="A24" s="12" t="s">
        <v>112</v>
      </c>
      <c r="B24" s="12"/>
      <c r="C24" s="12"/>
      <c r="D24" s="4"/>
      <c r="E24" s="4"/>
      <c r="F24" s="4"/>
      <c r="G24" s="4"/>
      <c r="H24" s="4"/>
      <c r="I24" s="4"/>
      <c r="J24" s="4"/>
      <c r="K24" s="4"/>
      <c r="L24" s="4"/>
      <c r="M24" s="4"/>
      <c r="N24" s="4"/>
      <c r="O24" s="4"/>
      <c r="P24" s="4"/>
      <c r="Q24" s="4"/>
      <c r="R24" s="4"/>
      <c r="S24" s="4"/>
      <c r="T24" s="4"/>
      <c r="U24" s="4"/>
      <c r="V24" s="4"/>
      <c r="W24" s="4"/>
      <c r="X24" s="4"/>
      <c r="Y24" s="4"/>
      <c r="Z24" s="4"/>
    </row>
    <row r="25" ht="15.0" customHeight="1">
      <c r="A25" s="28" t="s">
        <v>113</v>
      </c>
      <c r="B25" s="28"/>
      <c r="C25" s="28" t="s">
        <v>114</v>
      </c>
      <c r="D25" s="4"/>
      <c r="E25" s="4"/>
      <c r="F25" s="4"/>
      <c r="G25" s="4"/>
      <c r="H25" s="4"/>
      <c r="I25" s="4"/>
      <c r="J25" s="4"/>
      <c r="K25" s="4"/>
      <c r="L25" s="4"/>
      <c r="M25" s="4"/>
      <c r="N25" s="4"/>
      <c r="O25" s="4"/>
      <c r="P25" s="4"/>
      <c r="Q25" s="4"/>
      <c r="R25" s="4"/>
      <c r="S25" s="4"/>
      <c r="T25" s="4"/>
      <c r="U25" s="4"/>
      <c r="V25" s="4"/>
      <c r="W25" s="4"/>
      <c r="X25" s="4"/>
      <c r="Y25" s="4"/>
      <c r="Z25" s="4"/>
    </row>
    <row r="26" ht="26.25" customHeight="1">
      <c r="A26" s="28" t="s">
        <v>115</v>
      </c>
      <c r="B26" s="28"/>
      <c r="C26" s="28" t="s">
        <v>116</v>
      </c>
      <c r="D26" s="4"/>
      <c r="E26" s="4"/>
      <c r="F26" s="4"/>
      <c r="G26" s="4"/>
      <c r="H26" s="4"/>
      <c r="I26" s="4"/>
      <c r="J26" s="4"/>
      <c r="K26" s="4"/>
      <c r="L26" s="4"/>
      <c r="M26" s="4"/>
      <c r="N26" s="4"/>
      <c r="O26" s="4"/>
      <c r="P26" s="4"/>
      <c r="Q26" s="4"/>
      <c r="R26" s="4"/>
      <c r="S26" s="4"/>
      <c r="T26" s="4"/>
      <c r="U26" s="4"/>
      <c r="V26" s="4"/>
      <c r="W26" s="4"/>
      <c r="X26" s="4"/>
      <c r="Y26" s="4"/>
      <c r="Z26" s="4"/>
    </row>
    <row r="27" ht="15.0" customHeight="1">
      <c r="A27" s="28" t="s">
        <v>117</v>
      </c>
      <c r="B27" s="28"/>
      <c r="C27" s="28" t="s">
        <v>118</v>
      </c>
      <c r="D27" s="4"/>
      <c r="E27" s="4"/>
      <c r="F27" s="4"/>
      <c r="G27" s="4"/>
      <c r="H27" s="4"/>
      <c r="I27" s="4"/>
      <c r="J27" s="4"/>
      <c r="K27" s="4"/>
      <c r="L27" s="4"/>
      <c r="M27" s="4"/>
      <c r="N27" s="4"/>
      <c r="O27" s="4"/>
      <c r="P27" s="4"/>
      <c r="Q27" s="4"/>
      <c r="R27" s="4"/>
      <c r="S27" s="4"/>
      <c r="T27" s="4"/>
      <c r="U27" s="4"/>
      <c r="V27" s="4"/>
      <c r="W27" s="4"/>
      <c r="X27" s="4"/>
      <c r="Y27" s="4"/>
      <c r="Z27" s="4"/>
    </row>
    <row r="28" ht="15.75" customHeight="1">
      <c r="A28" s="29" t="s">
        <v>119</v>
      </c>
      <c r="B28" s="29"/>
      <c r="C28" s="29" t="s">
        <v>120</v>
      </c>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C1"/>
    <mergeCell ref="A3:C3"/>
    <mergeCell ref="A11:C11"/>
    <mergeCell ref="A18:C18"/>
  </mergeCells>
  <dataValidations>
    <dataValidation type="list" allowBlank="1" sqref="B13">
      <formula1>"Q1,Q2,Q3,Q4"</formula1>
    </dataValidation>
    <dataValidation type="list" allowBlank="1" sqref="B23">
      <formula1>"Yes,No"</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8.29"/>
    <col customWidth="1" min="2" max="2" width="30.0"/>
    <col customWidth="1" min="3" max="4" width="22.0"/>
    <col customWidth="1" min="5" max="5" width="18.0"/>
    <col customWidth="1" min="6" max="6" width="8.71"/>
  </cols>
  <sheetData>
    <row r="1" ht="15.0" customHeight="1">
      <c r="A1" s="3" t="s">
        <v>121</v>
      </c>
      <c r="B1" s="5"/>
      <c r="C1" s="5"/>
      <c r="D1" s="5"/>
      <c r="E1" s="6"/>
      <c r="F1" s="4"/>
      <c r="G1" s="4"/>
      <c r="H1" s="4"/>
      <c r="I1" s="4"/>
      <c r="J1" s="4"/>
      <c r="K1" s="4"/>
      <c r="L1" s="4"/>
      <c r="M1" s="4"/>
      <c r="N1" s="4"/>
      <c r="O1" s="4"/>
      <c r="P1" s="4"/>
      <c r="Q1" s="4"/>
      <c r="R1" s="4"/>
      <c r="S1" s="4"/>
      <c r="T1" s="4"/>
      <c r="U1" s="4"/>
      <c r="V1" s="4"/>
      <c r="W1" s="4"/>
      <c r="X1" s="4"/>
      <c r="Y1" s="4"/>
      <c r="Z1" s="4"/>
    </row>
    <row r="2" ht="15.0" customHeight="1">
      <c r="A2" s="30" t="s">
        <v>122</v>
      </c>
      <c r="B2" s="5"/>
      <c r="C2" s="5"/>
      <c r="D2" s="5"/>
      <c r="E2" s="6"/>
      <c r="F2" s="4"/>
      <c r="G2" s="4"/>
      <c r="H2" s="4"/>
      <c r="I2" s="4"/>
      <c r="J2" s="4"/>
      <c r="K2" s="4"/>
      <c r="L2" s="4"/>
      <c r="M2" s="4"/>
      <c r="N2" s="4"/>
      <c r="O2" s="4"/>
      <c r="P2" s="4"/>
      <c r="Q2" s="4"/>
      <c r="R2" s="4"/>
      <c r="S2" s="4"/>
      <c r="T2" s="4"/>
      <c r="U2" s="4"/>
      <c r="V2" s="4"/>
      <c r="W2" s="4"/>
      <c r="X2" s="4"/>
      <c r="Y2" s="4"/>
      <c r="Z2" s="4"/>
    </row>
    <row r="3" ht="15.0" customHeight="1">
      <c r="A3" s="4"/>
      <c r="B3" s="4"/>
      <c r="C3" s="4"/>
      <c r="D3" s="4"/>
      <c r="E3" s="4"/>
      <c r="F3" s="4"/>
      <c r="G3" s="4"/>
      <c r="H3" s="4"/>
      <c r="I3" s="4"/>
      <c r="J3" s="4"/>
      <c r="K3" s="4"/>
      <c r="L3" s="4"/>
      <c r="M3" s="4"/>
      <c r="N3" s="4"/>
      <c r="O3" s="4"/>
      <c r="P3" s="4"/>
      <c r="Q3" s="4"/>
      <c r="R3" s="4"/>
      <c r="S3" s="4"/>
      <c r="T3" s="4"/>
      <c r="U3" s="4"/>
      <c r="V3" s="4"/>
      <c r="W3" s="4"/>
      <c r="X3" s="4"/>
      <c r="Y3" s="4"/>
      <c r="Z3" s="4"/>
    </row>
    <row r="4" ht="15.0" customHeight="1">
      <c r="A4" s="15" t="s">
        <v>123</v>
      </c>
      <c r="B4" s="5"/>
      <c r="C4" s="5"/>
      <c r="D4" s="5"/>
      <c r="E4" s="6"/>
      <c r="F4" s="4"/>
      <c r="G4" s="4"/>
      <c r="H4" s="4"/>
      <c r="I4" s="4"/>
      <c r="J4" s="4"/>
      <c r="K4" s="4"/>
      <c r="L4" s="4"/>
      <c r="M4" s="4"/>
      <c r="N4" s="4"/>
      <c r="O4" s="4"/>
      <c r="P4" s="4"/>
      <c r="Q4" s="4"/>
      <c r="R4" s="4"/>
      <c r="S4" s="4"/>
      <c r="T4" s="4"/>
      <c r="U4" s="4"/>
      <c r="V4" s="4"/>
      <c r="W4" s="4"/>
      <c r="X4" s="4"/>
      <c r="Y4" s="4"/>
      <c r="Z4" s="4"/>
    </row>
    <row r="5" ht="15.0" customHeight="1">
      <c r="A5" s="9" t="s">
        <v>124</v>
      </c>
      <c r="B5" s="9" t="s">
        <v>125</v>
      </c>
      <c r="C5" s="9" t="s">
        <v>126</v>
      </c>
      <c r="D5" s="9" t="s">
        <v>127</v>
      </c>
      <c r="E5" s="9" t="s">
        <v>7</v>
      </c>
      <c r="F5" s="4"/>
      <c r="G5" s="4"/>
      <c r="H5" s="4"/>
      <c r="I5" s="4"/>
      <c r="J5" s="4"/>
      <c r="K5" s="4"/>
      <c r="L5" s="4"/>
      <c r="M5" s="4"/>
      <c r="N5" s="4"/>
      <c r="O5" s="4"/>
      <c r="P5" s="4"/>
      <c r="Q5" s="4"/>
      <c r="R5" s="4"/>
      <c r="S5" s="4"/>
      <c r="T5" s="4"/>
      <c r="U5" s="4"/>
      <c r="V5" s="4"/>
      <c r="W5" s="4"/>
      <c r="X5" s="4"/>
      <c r="Y5" s="4"/>
      <c r="Z5" s="4"/>
    </row>
    <row r="6" ht="24.0" customHeight="1">
      <c r="A6" s="12" t="s">
        <v>128</v>
      </c>
      <c r="B6" s="12"/>
      <c r="C6" s="12"/>
      <c r="D6" s="12"/>
      <c r="E6" s="12" t="s">
        <v>129</v>
      </c>
      <c r="F6" s="4"/>
      <c r="G6" s="4"/>
      <c r="H6" s="4"/>
      <c r="I6" s="4"/>
      <c r="J6" s="4"/>
      <c r="K6" s="4"/>
      <c r="L6" s="4"/>
      <c r="M6" s="4"/>
      <c r="N6" s="4"/>
      <c r="O6" s="4"/>
      <c r="P6" s="4"/>
      <c r="Q6" s="4"/>
      <c r="R6" s="4"/>
      <c r="S6" s="4"/>
      <c r="T6" s="4"/>
      <c r="U6" s="4"/>
      <c r="V6" s="4"/>
      <c r="W6" s="4"/>
      <c r="X6" s="4"/>
      <c r="Y6" s="4"/>
      <c r="Z6" s="4"/>
    </row>
    <row r="7" ht="24.0" customHeight="1">
      <c r="A7" s="16" t="s">
        <v>130</v>
      </c>
      <c r="B7" s="16"/>
      <c r="C7" s="16"/>
      <c r="D7" s="16"/>
      <c r="E7" s="16" t="s">
        <v>131</v>
      </c>
      <c r="F7" s="4"/>
      <c r="G7" s="4"/>
      <c r="H7" s="4"/>
      <c r="I7" s="4"/>
      <c r="J7" s="4"/>
      <c r="K7" s="4"/>
      <c r="L7" s="4"/>
      <c r="M7" s="4"/>
      <c r="N7" s="4"/>
      <c r="O7" s="4"/>
      <c r="P7" s="4"/>
      <c r="Q7" s="4"/>
      <c r="R7" s="4"/>
      <c r="S7" s="4"/>
      <c r="T7" s="4"/>
      <c r="U7" s="4"/>
      <c r="V7" s="4"/>
      <c r="W7" s="4"/>
      <c r="X7" s="4"/>
      <c r="Y7" s="4"/>
      <c r="Z7" s="4"/>
    </row>
    <row r="8" ht="24.0" customHeight="1">
      <c r="A8" s="12" t="s">
        <v>132</v>
      </c>
      <c r="B8" s="12"/>
      <c r="C8" s="12"/>
      <c r="D8" s="12"/>
      <c r="E8" s="12" t="s">
        <v>133</v>
      </c>
      <c r="F8" s="4"/>
      <c r="G8" s="4"/>
      <c r="H8" s="4"/>
      <c r="I8" s="4"/>
      <c r="J8" s="4"/>
      <c r="K8" s="4"/>
      <c r="L8" s="4"/>
      <c r="M8" s="4"/>
      <c r="N8" s="4"/>
      <c r="O8" s="4"/>
      <c r="P8" s="4"/>
      <c r="Q8" s="4"/>
      <c r="R8" s="4"/>
      <c r="S8" s="4"/>
      <c r="T8" s="4"/>
      <c r="U8" s="4"/>
      <c r="V8" s="4"/>
      <c r="W8" s="4"/>
      <c r="X8" s="4"/>
      <c r="Y8" s="4"/>
      <c r="Z8" s="4"/>
    </row>
    <row r="9" ht="24.0" customHeight="1">
      <c r="A9" s="16" t="s">
        <v>134</v>
      </c>
      <c r="B9" s="16"/>
      <c r="C9" s="16"/>
      <c r="D9" s="16"/>
      <c r="E9" s="16" t="s">
        <v>135</v>
      </c>
      <c r="F9" s="4"/>
      <c r="G9" s="4"/>
      <c r="H9" s="4"/>
      <c r="I9" s="4"/>
      <c r="J9" s="4"/>
      <c r="K9" s="4"/>
      <c r="L9" s="4"/>
      <c r="M9" s="4"/>
      <c r="N9" s="4"/>
      <c r="O9" s="4"/>
      <c r="P9" s="4"/>
      <c r="Q9" s="4"/>
      <c r="R9" s="4"/>
      <c r="S9" s="4"/>
      <c r="T9" s="4"/>
      <c r="U9" s="4"/>
      <c r="V9" s="4"/>
      <c r="W9" s="4"/>
      <c r="X9" s="4"/>
      <c r="Y9" s="4"/>
      <c r="Z9" s="4"/>
    </row>
    <row r="10" ht="24.0" customHeight="1">
      <c r="A10" s="12" t="s">
        <v>136</v>
      </c>
      <c r="B10" s="12"/>
      <c r="C10" s="12"/>
      <c r="D10" s="12"/>
      <c r="E10" s="12" t="s">
        <v>135</v>
      </c>
      <c r="F10" s="4"/>
      <c r="G10" s="4"/>
      <c r="H10" s="4"/>
      <c r="I10" s="4"/>
      <c r="J10" s="4"/>
      <c r="K10" s="4"/>
      <c r="L10" s="4"/>
      <c r="M10" s="4"/>
      <c r="N10" s="4"/>
      <c r="O10" s="4"/>
      <c r="P10" s="4"/>
      <c r="Q10" s="4"/>
      <c r="R10" s="4"/>
      <c r="S10" s="4"/>
      <c r="T10" s="4"/>
      <c r="U10" s="4"/>
      <c r="V10" s="4"/>
      <c r="W10" s="4"/>
      <c r="X10" s="4"/>
      <c r="Y10" s="4"/>
      <c r="Z10" s="4"/>
    </row>
    <row r="11" ht="15.0" customHeight="1">
      <c r="A11" s="30" t="s">
        <v>137</v>
      </c>
      <c r="B11" s="5"/>
      <c r="C11" s="5"/>
      <c r="D11" s="5"/>
      <c r="E11" s="6"/>
      <c r="F11" s="4"/>
      <c r="G11" s="4"/>
      <c r="H11" s="4"/>
      <c r="I11" s="4"/>
      <c r="J11" s="4"/>
      <c r="K11" s="4"/>
      <c r="L11" s="4"/>
      <c r="M11" s="4"/>
      <c r="N11" s="4"/>
      <c r="O11" s="4"/>
      <c r="P11" s="4"/>
      <c r="Q11" s="4"/>
      <c r="R11" s="4"/>
      <c r="S11" s="4"/>
      <c r="T11" s="4"/>
      <c r="U11" s="4"/>
      <c r="V11" s="4"/>
      <c r="W11" s="4"/>
      <c r="X11" s="4"/>
      <c r="Y11" s="4"/>
      <c r="Z11" s="4"/>
    </row>
    <row r="12" ht="15.0" customHeight="1">
      <c r="A12" s="4" t="s">
        <v>138</v>
      </c>
      <c r="B12" s="4"/>
      <c r="C12" s="4"/>
      <c r="D12" s="4"/>
      <c r="E12" s="4"/>
      <c r="F12" s="4"/>
      <c r="G12" s="4"/>
      <c r="H12" s="4"/>
      <c r="I12" s="4"/>
      <c r="J12" s="4"/>
      <c r="K12" s="4"/>
      <c r="L12" s="4"/>
      <c r="M12" s="4"/>
      <c r="N12" s="4"/>
      <c r="O12" s="4"/>
      <c r="P12" s="4"/>
      <c r="Q12" s="4"/>
      <c r="R12" s="4"/>
      <c r="S12" s="4"/>
      <c r="T12" s="4"/>
      <c r="U12" s="4"/>
      <c r="V12" s="4"/>
      <c r="W12" s="4"/>
      <c r="X12" s="4"/>
      <c r="Y12" s="4"/>
      <c r="Z12" s="4"/>
    </row>
    <row r="13" ht="15.0" customHeight="1">
      <c r="A13" s="15" t="s">
        <v>139</v>
      </c>
      <c r="B13" s="5"/>
      <c r="C13" s="5"/>
      <c r="D13" s="5"/>
      <c r="E13" s="6"/>
      <c r="F13" s="4"/>
      <c r="G13" s="4"/>
      <c r="H13" s="4"/>
      <c r="I13" s="4"/>
      <c r="J13" s="4"/>
      <c r="K13" s="4"/>
      <c r="L13" s="4"/>
      <c r="M13" s="4"/>
      <c r="N13" s="4"/>
      <c r="O13" s="4"/>
      <c r="P13" s="4"/>
      <c r="Q13" s="4"/>
      <c r="R13" s="4"/>
      <c r="S13" s="4"/>
      <c r="T13" s="4"/>
      <c r="U13" s="4"/>
      <c r="V13" s="4"/>
      <c r="W13" s="4"/>
      <c r="X13" s="4"/>
      <c r="Y13" s="4"/>
      <c r="Z13" s="4"/>
    </row>
    <row r="14" ht="15.0" customHeight="1">
      <c r="A14" s="9" t="s">
        <v>140</v>
      </c>
      <c r="B14" s="9" t="s">
        <v>141</v>
      </c>
      <c r="C14" s="9" t="s">
        <v>142</v>
      </c>
      <c r="D14" s="9"/>
      <c r="E14" s="9"/>
      <c r="F14" s="4"/>
      <c r="G14" s="4"/>
      <c r="H14" s="4"/>
      <c r="I14" s="4"/>
      <c r="J14" s="4"/>
      <c r="K14" s="4"/>
      <c r="L14" s="4"/>
      <c r="M14" s="4"/>
      <c r="N14" s="4"/>
      <c r="O14" s="4"/>
      <c r="P14" s="4"/>
      <c r="Q14" s="4"/>
      <c r="R14" s="4"/>
      <c r="S14" s="4"/>
      <c r="T14" s="4"/>
      <c r="U14" s="4"/>
      <c r="V14" s="4"/>
      <c r="W14" s="4"/>
      <c r="X14" s="4"/>
      <c r="Y14" s="4"/>
      <c r="Z14" s="4"/>
    </row>
    <row r="15" ht="24.0" customHeight="1">
      <c r="A15" s="31" t="s">
        <v>143</v>
      </c>
      <c r="B15" s="32" t="s">
        <v>144</v>
      </c>
      <c r="C15" s="33"/>
      <c r="D15" s="5"/>
      <c r="E15" s="6"/>
      <c r="F15" s="4"/>
      <c r="G15" s="4"/>
      <c r="H15" s="4"/>
      <c r="I15" s="4"/>
      <c r="J15" s="4"/>
      <c r="K15" s="4"/>
      <c r="L15" s="4"/>
      <c r="M15" s="4"/>
      <c r="N15" s="4"/>
      <c r="O15" s="4"/>
      <c r="P15" s="4"/>
      <c r="Q15" s="4"/>
      <c r="R15" s="4"/>
      <c r="S15" s="4"/>
      <c r="T15" s="4"/>
      <c r="U15" s="4"/>
      <c r="V15" s="4"/>
      <c r="W15" s="4"/>
      <c r="X15" s="4"/>
      <c r="Y15" s="4"/>
      <c r="Z15" s="4"/>
    </row>
    <row r="16" ht="24.0" customHeight="1">
      <c r="A16" s="34" t="s">
        <v>145</v>
      </c>
      <c r="B16" s="35" t="s">
        <v>146</v>
      </c>
      <c r="C16" s="36"/>
      <c r="D16" s="5"/>
      <c r="E16" s="6"/>
      <c r="F16" s="4"/>
      <c r="G16" s="4"/>
      <c r="H16" s="4"/>
      <c r="I16" s="4"/>
      <c r="J16" s="4"/>
      <c r="K16" s="4"/>
      <c r="L16" s="4"/>
      <c r="M16" s="4"/>
      <c r="N16" s="4"/>
      <c r="O16" s="4"/>
      <c r="P16" s="4"/>
      <c r="Q16" s="4"/>
      <c r="R16" s="4"/>
      <c r="S16" s="4"/>
      <c r="T16" s="4"/>
      <c r="U16" s="4"/>
      <c r="V16" s="4"/>
      <c r="W16" s="4"/>
      <c r="X16" s="4"/>
      <c r="Y16" s="4"/>
      <c r="Z16" s="4"/>
    </row>
    <row r="17" ht="24.0" customHeight="1">
      <c r="A17" s="31" t="s">
        <v>147</v>
      </c>
      <c r="B17" s="32" t="s">
        <v>148</v>
      </c>
      <c r="C17" s="33"/>
      <c r="D17" s="5"/>
      <c r="E17" s="6"/>
      <c r="F17" s="4"/>
      <c r="G17" s="4"/>
      <c r="H17" s="4"/>
      <c r="I17" s="4"/>
      <c r="J17" s="4"/>
      <c r="K17" s="4"/>
      <c r="L17" s="4"/>
      <c r="M17" s="4"/>
      <c r="N17" s="4"/>
      <c r="O17" s="4"/>
      <c r="P17" s="4"/>
      <c r="Q17" s="4"/>
      <c r="R17" s="4"/>
      <c r="S17" s="4"/>
      <c r="T17" s="4"/>
      <c r="U17" s="4"/>
      <c r="V17" s="4"/>
      <c r="W17" s="4"/>
      <c r="X17" s="4"/>
      <c r="Y17" s="4"/>
      <c r="Z17" s="4"/>
    </row>
    <row r="18" ht="24.0" customHeight="1">
      <c r="A18" s="34" t="s">
        <v>149</v>
      </c>
      <c r="B18" s="35" t="s">
        <v>150</v>
      </c>
      <c r="C18" s="36"/>
      <c r="D18" s="5"/>
      <c r="E18" s="6"/>
      <c r="F18" s="4"/>
      <c r="G18" s="4"/>
      <c r="H18" s="4"/>
      <c r="I18" s="4"/>
      <c r="J18" s="4"/>
      <c r="K18" s="4"/>
      <c r="L18" s="4"/>
      <c r="M18" s="4"/>
      <c r="N18" s="4"/>
      <c r="O18" s="4"/>
      <c r="P18" s="4"/>
      <c r="Q18" s="4"/>
      <c r="R18" s="4"/>
      <c r="S18" s="4"/>
      <c r="T18" s="4"/>
      <c r="U18" s="4"/>
      <c r="V18" s="4"/>
      <c r="W18" s="4"/>
      <c r="X18" s="4"/>
      <c r="Y18" s="4"/>
      <c r="Z18" s="4"/>
    </row>
    <row r="19" ht="48.0" customHeight="1">
      <c r="A19" s="31" t="s">
        <v>151</v>
      </c>
      <c r="B19" s="32" t="s">
        <v>152</v>
      </c>
      <c r="C19" s="33"/>
      <c r="D19" s="5"/>
      <c r="E19" s="6"/>
      <c r="F19" s="4"/>
      <c r="G19" s="4"/>
      <c r="H19" s="4"/>
      <c r="I19" s="4"/>
      <c r="J19" s="4"/>
      <c r="K19" s="4"/>
      <c r="L19" s="4"/>
      <c r="M19" s="4"/>
      <c r="N19" s="4"/>
      <c r="O19" s="4"/>
      <c r="P19" s="4"/>
      <c r="Q19" s="4"/>
      <c r="R19" s="4"/>
      <c r="S19" s="4"/>
      <c r="T19" s="4"/>
      <c r="U19" s="4"/>
      <c r="V19" s="4"/>
      <c r="W19" s="4"/>
      <c r="X19" s="4"/>
      <c r="Y19" s="4"/>
      <c r="Z19" s="4"/>
    </row>
    <row r="20" ht="15.0" customHeight="1">
      <c r="A20" s="4"/>
      <c r="B20" s="4"/>
      <c r="C20" s="4"/>
      <c r="D20" s="4"/>
      <c r="E20" s="4"/>
      <c r="F20" s="4"/>
      <c r="G20" s="4"/>
      <c r="H20" s="4"/>
      <c r="I20" s="4"/>
      <c r="J20" s="4"/>
      <c r="K20" s="4"/>
      <c r="L20" s="4"/>
      <c r="M20" s="4"/>
      <c r="N20" s="4"/>
      <c r="O20" s="4"/>
      <c r="P20" s="4"/>
      <c r="Q20" s="4"/>
      <c r="R20" s="4"/>
      <c r="S20" s="4"/>
      <c r="T20" s="4"/>
      <c r="U20" s="4"/>
      <c r="V20" s="4"/>
      <c r="W20" s="4"/>
      <c r="X20" s="4"/>
      <c r="Y20" s="4"/>
      <c r="Z20" s="4"/>
    </row>
    <row r="21" ht="15.0" customHeight="1">
      <c r="A21" s="15" t="s">
        <v>153</v>
      </c>
      <c r="B21" s="5"/>
      <c r="C21" s="5"/>
      <c r="D21" s="5"/>
      <c r="E21" s="6"/>
      <c r="F21" s="4"/>
      <c r="G21" s="4"/>
      <c r="H21" s="4"/>
      <c r="I21" s="4"/>
      <c r="J21" s="4"/>
      <c r="K21" s="4"/>
      <c r="L21" s="4"/>
      <c r="M21" s="4"/>
      <c r="N21" s="4"/>
      <c r="O21" s="4"/>
      <c r="P21" s="4"/>
      <c r="Q21" s="4"/>
      <c r="R21" s="4"/>
      <c r="S21" s="4"/>
      <c r="T21" s="4"/>
      <c r="U21" s="4"/>
      <c r="V21" s="4"/>
      <c r="W21" s="4"/>
      <c r="X21" s="4"/>
      <c r="Y21" s="4"/>
      <c r="Z21" s="4"/>
    </row>
    <row r="22" ht="15.0" customHeight="1">
      <c r="A22" s="9" t="s">
        <v>5</v>
      </c>
      <c r="B22" s="9" t="s">
        <v>26</v>
      </c>
      <c r="C22" s="9"/>
      <c r="D22" s="9"/>
      <c r="E22" s="9"/>
      <c r="F22" s="4"/>
      <c r="G22" s="4"/>
      <c r="H22" s="4"/>
      <c r="I22" s="4"/>
      <c r="J22" s="4"/>
      <c r="K22" s="4"/>
      <c r="L22" s="4"/>
      <c r="M22" s="4"/>
      <c r="N22" s="4"/>
      <c r="O22" s="4"/>
      <c r="P22" s="4"/>
      <c r="Q22" s="4"/>
      <c r="R22" s="4"/>
      <c r="S22" s="4"/>
      <c r="T22" s="4"/>
      <c r="U22" s="4"/>
      <c r="V22" s="4"/>
      <c r="W22" s="4"/>
      <c r="X22" s="4"/>
      <c r="Y22" s="4"/>
      <c r="Z22" s="4"/>
    </row>
    <row r="23" ht="15.0" customHeight="1">
      <c r="A23" s="12" t="s">
        <v>154</v>
      </c>
      <c r="B23" s="37"/>
      <c r="C23" s="5"/>
      <c r="D23" s="5"/>
      <c r="E23" s="6"/>
      <c r="F23" s="4"/>
      <c r="G23" s="4"/>
      <c r="H23" s="4"/>
      <c r="I23" s="4"/>
      <c r="J23" s="4"/>
      <c r="K23" s="4"/>
      <c r="L23" s="4"/>
      <c r="M23" s="4"/>
      <c r="N23" s="4"/>
      <c r="O23" s="4"/>
      <c r="P23" s="4"/>
      <c r="Q23" s="4"/>
      <c r="R23" s="4"/>
      <c r="S23" s="4"/>
      <c r="T23" s="4"/>
      <c r="U23" s="4"/>
      <c r="V23" s="4"/>
      <c r="W23" s="4"/>
      <c r="X23" s="4"/>
      <c r="Y23" s="4"/>
      <c r="Z23" s="4"/>
    </row>
    <row r="24" ht="15.0" customHeight="1">
      <c r="A24" s="16" t="s">
        <v>112</v>
      </c>
      <c r="B24" s="38"/>
      <c r="C24" s="5"/>
      <c r="D24" s="5"/>
      <c r="E24" s="6"/>
      <c r="F24" s="4"/>
      <c r="G24" s="4"/>
      <c r="H24" s="4"/>
      <c r="I24" s="4"/>
      <c r="J24" s="4"/>
      <c r="K24" s="4"/>
      <c r="L24" s="4"/>
      <c r="M24" s="4"/>
      <c r="N24" s="4"/>
      <c r="O24" s="4"/>
      <c r="P24" s="4"/>
      <c r="Q24" s="4"/>
      <c r="R24" s="4"/>
      <c r="S24" s="4"/>
      <c r="T24" s="4"/>
      <c r="U24" s="4"/>
      <c r="V24" s="4"/>
      <c r="W24" s="4"/>
      <c r="X24" s="4"/>
      <c r="Y24" s="4"/>
      <c r="Z24" s="4"/>
    </row>
    <row r="25" ht="15.0" customHeight="1">
      <c r="A25" s="12" t="s">
        <v>155</v>
      </c>
      <c r="B25" s="37"/>
      <c r="C25" s="5"/>
      <c r="D25" s="5"/>
      <c r="E25" s="6"/>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C17:E17"/>
    <mergeCell ref="C18:E18"/>
    <mergeCell ref="C19:E19"/>
    <mergeCell ref="A21:E21"/>
    <mergeCell ref="B23:E23"/>
    <mergeCell ref="B24:E24"/>
    <mergeCell ref="B25:E25"/>
    <mergeCell ref="A1:E1"/>
    <mergeCell ref="A2:E2"/>
    <mergeCell ref="A4:E4"/>
    <mergeCell ref="A11:E11"/>
    <mergeCell ref="A13:E13"/>
    <mergeCell ref="C15:E15"/>
    <mergeCell ref="C16:E16"/>
  </mergeCells>
  <dataValidations>
    <dataValidation type="list" allowBlank="1" sqref="B12:C12">
      <formula1>"Compliant,Partial,Gap"</formula1>
    </dataValidation>
    <dataValidation type="list" allowBlank="1" sqref="D6:D7">
      <formula1>"Improving,Stable,Degrading"</formula1>
    </dataValidation>
    <dataValidation type="list" allowBlank="1" sqref="B23">
      <formula1>"Yes,No"</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46.0"/>
    <col customWidth="1" min="3" max="4" width="16.0"/>
    <col customWidth="1" min="5" max="5" width="28.0"/>
    <col customWidth="1" min="6" max="6" width="18.0"/>
    <col customWidth="1" min="7" max="7" width="24.0"/>
    <col customWidth="1" min="8" max="8" width="22.0"/>
  </cols>
  <sheetData>
    <row r="1" ht="24.0" customHeight="1">
      <c r="A1" s="39" t="s">
        <v>156</v>
      </c>
      <c r="G1" s="40"/>
      <c r="H1" s="40"/>
      <c r="I1" s="41"/>
      <c r="J1" s="41"/>
      <c r="K1" s="41"/>
      <c r="L1" s="41"/>
      <c r="M1" s="41"/>
      <c r="N1" s="41"/>
      <c r="O1" s="4"/>
      <c r="P1" s="4"/>
      <c r="Q1" s="4"/>
      <c r="R1" s="4"/>
      <c r="S1" s="4"/>
      <c r="T1" s="4"/>
      <c r="U1" s="4"/>
      <c r="V1" s="4"/>
      <c r="W1" s="4"/>
      <c r="X1" s="4"/>
      <c r="Y1" s="4"/>
      <c r="Z1" s="4"/>
    </row>
    <row r="2" ht="15.0" customHeight="1">
      <c r="A2" s="42" t="s">
        <v>157</v>
      </c>
      <c r="G2" s="43"/>
      <c r="H2" s="43"/>
      <c r="I2" s="41"/>
      <c r="J2" s="41"/>
      <c r="K2" s="41"/>
      <c r="L2" s="41"/>
      <c r="M2" s="41"/>
      <c r="N2" s="41"/>
      <c r="O2" s="4"/>
      <c r="P2" s="4"/>
      <c r="Q2" s="4"/>
      <c r="R2" s="4"/>
      <c r="S2" s="4"/>
      <c r="T2" s="4"/>
      <c r="U2" s="4"/>
      <c r="V2" s="4"/>
      <c r="W2" s="4"/>
      <c r="X2" s="4"/>
      <c r="Y2" s="4"/>
      <c r="Z2" s="4"/>
    </row>
    <row r="3" ht="15.0" customHeight="1">
      <c r="A3" s="2"/>
      <c r="B3" s="2"/>
      <c r="C3" s="2"/>
      <c r="D3" s="2"/>
      <c r="E3" s="2"/>
      <c r="F3" s="2"/>
      <c r="G3" s="41"/>
      <c r="H3" s="41"/>
      <c r="I3" s="41"/>
      <c r="J3" s="41"/>
      <c r="K3" s="41"/>
      <c r="L3" s="41"/>
      <c r="M3" s="41"/>
      <c r="N3" s="41"/>
      <c r="O3" s="4"/>
      <c r="P3" s="4"/>
      <c r="Q3" s="4"/>
      <c r="R3" s="4"/>
      <c r="S3" s="4"/>
      <c r="T3" s="4"/>
      <c r="U3" s="4"/>
      <c r="V3" s="4"/>
      <c r="W3" s="4"/>
      <c r="X3" s="4"/>
      <c r="Y3" s="4"/>
      <c r="Z3" s="4"/>
    </row>
    <row r="4" ht="15.0" customHeight="1">
      <c r="A4" s="44" t="s">
        <v>158</v>
      </c>
      <c r="G4" s="41"/>
      <c r="H4" s="41"/>
      <c r="I4" s="41"/>
      <c r="J4" s="41"/>
      <c r="K4" s="41"/>
      <c r="L4" s="41"/>
      <c r="M4" s="41"/>
      <c r="N4" s="41"/>
      <c r="O4" s="4"/>
      <c r="P4" s="4"/>
      <c r="Q4" s="4"/>
      <c r="R4" s="4"/>
      <c r="S4" s="4"/>
      <c r="T4" s="4"/>
      <c r="U4" s="4"/>
      <c r="V4" s="4"/>
      <c r="W4" s="4"/>
      <c r="X4" s="4"/>
      <c r="Y4" s="4"/>
      <c r="Z4" s="4"/>
    </row>
    <row r="5" ht="15.0" customHeight="1">
      <c r="A5" s="45"/>
      <c r="G5" s="41"/>
      <c r="H5" s="41"/>
      <c r="I5" s="41"/>
      <c r="J5" s="41"/>
      <c r="K5" s="41"/>
      <c r="L5" s="41"/>
      <c r="M5" s="41"/>
      <c r="N5" s="41"/>
      <c r="O5" s="4"/>
      <c r="P5" s="4"/>
      <c r="Q5" s="4"/>
      <c r="R5" s="4"/>
      <c r="S5" s="4"/>
      <c r="T5" s="4"/>
      <c r="U5" s="4"/>
      <c r="V5" s="4"/>
      <c r="W5" s="4"/>
      <c r="X5" s="4"/>
      <c r="Y5" s="4"/>
      <c r="Z5" s="4"/>
    </row>
    <row r="6" ht="15.0" customHeight="1">
      <c r="A6" s="9"/>
      <c r="B6" s="46" t="s">
        <v>159</v>
      </c>
      <c r="C6" s="46" t="s">
        <v>160</v>
      </c>
      <c r="D6" s="46" t="s">
        <v>161</v>
      </c>
      <c r="E6" s="46" t="s">
        <v>162</v>
      </c>
      <c r="F6" s="46" t="s">
        <v>163</v>
      </c>
      <c r="G6" s="47" t="s">
        <v>164</v>
      </c>
      <c r="H6" s="48" t="s">
        <v>165</v>
      </c>
      <c r="I6" s="41"/>
      <c r="J6" s="41"/>
      <c r="K6" s="41"/>
      <c r="L6" s="41"/>
      <c r="M6" s="41"/>
      <c r="N6" s="41"/>
      <c r="O6" s="4"/>
      <c r="P6" s="4"/>
      <c r="Q6" s="4"/>
      <c r="R6" s="4"/>
      <c r="S6" s="4"/>
      <c r="T6" s="4"/>
      <c r="U6" s="4"/>
      <c r="V6" s="4"/>
      <c r="W6" s="4"/>
      <c r="X6" s="4"/>
      <c r="Y6" s="4"/>
      <c r="Z6" s="4"/>
    </row>
    <row r="7" ht="15.0" customHeight="1">
      <c r="A7" s="12"/>
      <c r="B7" s="12" t="s">
        <v>166</v>
      </c>
      <c r="C7" s="12"/>
      <c r="D7" s="12"/>
      <c r="E7" s="12" t="s">
        <v>167</v>
      </c>
      <c r="F7" s="12"/>
      <c r="G7" s="41"/>
      <c r="H7" s="41"/>
      <c r="I7" s="41"/>
      <c r="J7" s="41"/>
      <c r="K7" s="41"/>
      <c r="L7" s="41"/>
      <c r="M7" s="41"/>
      <c r="N7" s="41"/>
      <c r="O7" s="4"/>
      <c r="P7" s="4"/>
      <c r="Q7" s="4"/>
      <c r="R7" s="4"/>
      <c r="S7" s="4"/>
      <c r="T7" s="4"/>
      <c r="U7" s="4"/>
      <c r="V7" s="4"/>
      <c r="W7" s="4"/>
      <c r="X7" s="4"/>
      <c r="Y7" s="4"/>
      <c r="Z7" s="4"/>
    </row>
    <row r="8" ht="15.0" customHeight="1">
      <c r="A8" s="16"/>
      <c r="B8" s="16" t="s">
        <v>168</v>
      </c>
      <c r="C8" s="16"/>
      <c r="D8" s="16"/>
      <c r="E8" s="16" t="s">
        <v>169</v>
      </c>
      <c r="F8" s="16"/>
      <c r="G8" s="41"/>
      <c r="H8" s="41"/>
      <c r="I8" s="41"/>
      <c r="J8" s="41"/>
      <c r="K8" s="41"/>
      <c r="L8" s="41"/>
      <c r="M8" s="41"/>
      <c r="N8" s="41"/>
      <c r="O8" s="4"/>
      <c r="P8" s="4"/>
      <c r="Q8" s="4"/>
      <c r="R8" s="4"/>
      <c r="S8" s="4"/>
      <c r="T8" s="4"/>
      <c r="U8" s="4"/>
      <c r="V8" s="4"/>
      <c r="W8" s="4"/>
      <c r="X8" s="4"/>
      <c r="Y8" s="4"/>
      <c r="Z8" s="4"/>
    </row>
    <row r="9" ht="24.0" customHeight="1">
      <c r="A9" s="12"/>
      <c r="B9" s="12" t="s">
        <v>170</v>
      </c>
      <c r="C9" s="12" t="s">
        <v>171</v>
      </c>
      <c r="D9" s="12"/>
      <c r="E9" s="12" t="s">
        <v>171</v>
      </c>
      <c r="F9" s="12"/>
      <c r="G9" s="41"/>
      <c r="H9" s="41"/>
      <c r="I9" s="41"/>
      <c r="J9" s="41"/>
      <c r="K9" s="41"/>
      <c r="L9" s="41"/>
      <c r="M9" s="41"/>
      <c r="N9" s="41"/>
      <c r="O9" s="4"/>
      <c r="P9" s="4"/>
      <c r="Q9" s="4"/>
      <c r="R9" s="4"/>
      <c r="S9" s="4"/>
      <c r="T9" s="4"/>
      <c r="U9" s="4"/>
      <c r="V9" s="4"/>
      <c r="W9" s="4"/>
      <c r="X9" s="4"/>
      <c r="Y9" s="4"/>
      <c r="Z9" s="4"/>
    </row>
    <row r="10" ht="15.0" customHeight="1">
      <c r="A10" s="16"/>
      <c r="B10" s="16" t="s">
        <v>172</v>
      </c>
      <c r="C10" s="16"/>
      <c r="D10" s="16"/>
      <c r="E10" s="16" t="s">
        <v>173</v>
      </c>
      <c r="F10" s="16" t="s">
        <v>174</v>
      </c>
      <c r="G10" s="41" t="s">
        <v>175</v>
      </c>
      <c r="H10" s="49" t="str">
        <f>IF(OR(C10="",'A — Scorecard Identity'!B25="",'A — Scorecard Identity'!B25&lt;=0),"",C10/'A — Scorecard Identity'!B25*10000)</f>
        <v/>
      </c>
      <c r="I10" s="41"/>
      <c r="J10" s="41"/>
      <c r="K10" s="41"/>
      <c r="L10" s="41"/>
      <c r="M10" s="41"/>
      <c r="N10" s="41"/>
      <c r="O10" s="4"/>
      <c r="P10" s="4"/>
      <c r="Q10" s="4"/>
      <c r="R10" s="4"/>
      <c r="S10" s="4"/>
      <c r="T10" s="4"/>
      <c r="U10" s="4"/>
      <c r="V10" s="4"/>
      <c r="W10" s="4"/>
      <c r="X10" s="4"/>
      <c r="Y10" s="4"/>
      <c r="Z10" s="4"/>
    </row>
    <row r="11" ht="24.0" customHeight="1">
      <c r="A11" s="12"/>
      <c r="B11" s="12" t="s">
        <v>176</v>
      </c>
      <c r="C11" s="12"/>
      <c r="D11" s="12"/>
      <c r="E11" s="12" t="s">
        <v>171</v>
      </c>
      <c r="F11" s="12"/>
      <c r="G11" s="41" t="s">
        <v>175</v>
      </c>
      <c r="H11" s="49" t="str">
        <f>IF(OR(C11="",'A — Scorecard Identity'!B25="",'A — Scorecard Identity'!B25&lt;=0),"",C11/'A — Scorecard Identity'!B25*10000)</f>
        <v/>
      </c>
      <c r="I11" s="41"/>
      <c r="J11" s="41"/>
      <c r="K11" s="41"/>
      <c r="L11" s="41"/>
      <c r="M11" s="41"/>
      <c r="N11" s="41"/>
      <c r="O11" s="4"/>
      <c r="P11" s="4"/>
      <c r="Q11" s="4"/>
      <c r="R11" s="4"/>
      <c r="S11" s="4"/>
      <c r="T11" s="4"/>
      <c r="U11" s="4"/>
      <c r="V11" s="4"/>
      <c r="W11" s="4"/>
      <c r="X11" s="4"/>
      <c r="Y11" s="4"/>
      <c r="Z11" s="4"/>
    </row>
    <row r="12" ht="15.0" customHeight="1">
      <c r="A12" s="16"/>
      <c r="B12" s="16" t="s">
        <v>177</v>
      </c>
      <c r="C12" s="16"/>
      <c r="D12" s="16"/>
      <c r="E12" s="16" t="s">
        <v>173</v>
      </c>
      <c r="F12" s="16" t="s">
        <v>174</v>
      </c>
      <c r="G12" s="41" t="s">
        <v>178</v>
      </c>
      <c r="H12" s="49" t="str">
        <f>IF(OR(C12="",'A — Scorecard Identity'!B26="",'A — Scorecard Identity'!B26&lt;=0),"",C12/'A — Scorecard Identity'!B26*10000)</f>
        <v/>
      </c>
      <c r="I12" s="41"/>
      <c r="J12" s="41"/>
      <c r="K12" s="41"/>
      <c r="L12" s="41"/>
      <c r="M12" s="41"/>
      <c r="N12" s="41"/>
      <c r="O12" s="4"/>
      <c r="P12" s="4"/>
      <c r="Q12" s="4"/>
      <c r="R12" s="4"/>
      <c r="S12" s="4"/>
      <c r="T12" s="4"/>
      <c r="U12" s="4"/>
      <c r="V12" s="4"/>
      <c r="W12" s="4"/>
      <c r="X12" s="4"/>
      <c r="Y12" s="4"/>
      <c r="Z12" s="4"/>
    </row>
    <row r="13" ht="24.0" customHeight="1">
      <c r="A13" s="12"/>
      <c r="B13" s="12" t="s">
        <v>179</v>
      </c>
      <c r="C13" s="12"/>
      <c r="D13" s="12"/>
      <c r="E13" s="12" t="s">
        <v>171</v>
      </c>
      <c r="F13" s="12"/>
      <c r="G13" s="41" t="s">
        <v>178</v>
      </c>
      <c r="H13" s="49" t="str">
        <f>IF(OR(C13="",'A — Scorecard Identity'!B26="",'A — Scorecard Identity'!B26&lt;=0),"",C13/'A — Scorecard Identity'!B26*10000)</f>
        <v/>
      </c>
      <c r="I13" s="41"/>
      <c r="J13" s="41"/>
      <c r="K13" s="41"/>
      <c r="L13" s="41"/>
      <c r="M13" s="41"/>
      <c r="N13" s="41"/>
      <c r="O13" s="4"/>
      <c r="P13" s="4"/>
      <c r="Q13" s="4"/>
      <c r="R13" s="4"/>
      <c r="S13" s="4"/>
      <c r="T13" s="4"/>
      <c r="U13" s="4"/>
      <c r="V13" s="4"/>
      <c r="W13" s="4"/>
      <c r="X13" s="4"/>
      <c r="Y13" s="4"/>
      <c r="Z13" s="4"/>
    </row>
    <row r="14" ht="24.0" customHeight="1">
      <c r="A14" s="16"/>
      <c r="B14" s="16" t="s">
        <v>181</v>
      </c>
      <c r="C14" s="16"/>
      <c r="D14" s="16"/>
      <c r="E14" s="16" t="s">
        <v>173</v>
      </c>
      <c r="F14" s="16" t="s">
        <v>174</v>
      </c>
      <c r="G14" s="41" t="s">
        <v>175</v>
      </c>
      <c r="H14" s="49" t="str">
        <f>IF(OR(C14="",'A — Scorecard Identity'!B25="",'A — Scorecard Identity'!B25&lt;=0),"",C14/'A — Scorecard Identity'!B25*10000)</f>
        <v/>
      </c>
      <c r="I14" s="41"/>
      <c r="J14" s="41"/>
      <c r="K14" s="41"/>
      <c r="L14" s="41"/>
      <c r="M14" s="41"/>
      <c r="N14" s="41"/>
      <c r="O14" s="4"/>
      <c r="P14" s="4"/>
      <c r="Q14" s="4"/>
      <c r="R14" s="4"/>
      <c r="S14" s="4"/>
      <c r="T14" s="4"/>
      <c r="U14" s="4"/>
      <c r="V14" s="4"/>
      <c r="W14" s="4"/>
      <c r="X14" s="4"/>
      <c r="Y14" s="4"/>
      <c r="Z14" s="4"/>
    </row>
    <row r="15" ht="51.75" customHeight="1">
      <c r="A15" s="50" t="s">
        <v>183</v>
      </c>
      <c r="G15" s="41"/>
      <c r="H15" s="41"/>
      <c r="I15" s="41"/>
      <c r="J15" s="41"/>
      <c r="K15" s="41"/>
      <c r="L15" s="41"/>
      <c r="M15" s="41"/>
      <c r="N15" s="41"/>
      <c r="O15" s="4"/>
      <c r="P15" s="4"/>
      <c r="Q15" s="4"/>
      <c r="R15" s="4"/>
      <c r="S15" s="4"/>
      <c r="T15" s="4"/>
      <c r="U15" s="4"/>
      <c r="V15" s="4"/>
      <c r="W15" s="4"/>
      <c r="X15" s="4"/>
      <c r="Y15" s="4"/>
      <c r="Z15" s="4"/>
    </row>
    <row r="16" ht="15.0" customHeight="1">
      <c r="A16" s="2"/>
      <c r="B16" s="2"/>
      <c r="C16" s="2"/>
      <c r="D16" s="2"/>
      <c r="E16" s="2"/>
      <c r="F16" s="2"/>
      <c r="G16" s="41"/>
      <c r="H16" s="41"/>
      <c r="I16" s="41"/>
      <c r="J16" s="41"/>
      <c r="K16" s="41"/>
      <c r="L16" s="41"/>
      <c r="M16" s="41"/>
      <c r="N16" s="41"/>
      <c r="O16" s="4"/>
      <c r="P16" s="4"/>
      <c r="Q16" s="4"/>
      <c r="R16" s="4"/>
      <c r="S16" s="4"/>
      <c r="T16" s="4"/>
      <c r="U16" s="4"/>
      <c r="V16" s="4"/>
      <c r="W16" s="4"/>
      <c r="X16" s="4"/>
      <c r="Y16" s="4"/>
      <c r="Z16" s="4"/>
    </row>
    <row r="17" ht="15.0" customHeight="1">
      <c r="A17" s="44" t="s">
        <v>185</v>
      </c>
      <c r="G17" s="41"/>
      <c r="H17" s="41"/>
      <c r="I17" s="41"/>
      <c r="J17" s="41"/>
      <c r="K17" s="41"/>
      <c r="L17" s="41"/>
      <c r="M17" s="41"/>
      <c r="N17" s="41"/>
      <c r="O17" s="4"/>
      <c r="P17" s="4"/>
      <c r="Q17" s="4"/>
      <c r="R17" s="4"/>
      <c r="S17" s="4"/>
      <c r="T17" s="4"/>
      <c r="U17" s="4"/>
      <c r="V17" s="4"/>
      <c r="W17" s="4"/>
      <c r="X17" s="4"/>
      <c r="Y17" s="4"/>
      <c r="Z17" s="4"/>
    </row>
    <row r="18" ht="15.0" customHeight="1">
      <c r="A18" s="9"/>
      <c r="B18" s="46" t="s">
        <v>159</v>
      </c>
      <c r="C18" s="46" t="s">
        <v>160</v>
      </c>
      <c r="D18" s="46" t="s">
        <v>161</v>
      </c>
      <c r="E18" s="46" t="s">
        <v>162</v>
      </c>
      <c r="F18" s="46" t="s">
        <v>163</v>
      </c>
      <c r="G18" s="41"/>
      <c r="H18" s="41"/>
      <c r="I18" s="41"/>
      <c r="J18" s="41"/>
      <c r="K18" s="41"/>
      <c r="L18" s="41"/>
      <c r="M18" s="41"/>
      <c r="N18" s="41"/>
      <c r="O18" s="4"/>
      <c r="P18" s="4"/>
      <c r="Q18" s="4"/>
      <c r="R18" s="4"/>
      <c r="S18" s="4"/>
      <c r="T18" s="4"/>
      <c r="U18" s="4"/>
      <c r="V18" s="4"/>
      <c r="W18" s="4"/>
      <c r="X18" s="4"/>
      <c r="Y18" s="4"/>
      <c r="Z18" s="4"/>
    </row>
    <row r="19" ht="24.0" customHeight="1">
      <c r="A19" s="12"/>
      <c r="B19" s="12" t="s">
        <v>186</v>
      </c>
      <c r="C19" s="12" t="s">
        <v>171</v>
      </c>
      <c r="D19" s="12"/>
      <c r="E19" s="12" t="s">
        <v>171</v>
      </c>
      <c r="F19" s="12"/>
      <c r="G19" s="41"/>
      <c r="H19" s="41"/>
      <c r="I19" s="41"/>
      <c r="J19" s="41"/>
      <c r="K19" s="41"/>
      <c r="L19" s="41"/>
      <c r="M19" s="41"/>
      <c r="N19" s="41"/>
      <c r="O19" s="4"/>
      <c r="P19" s="4"/>
      <c r="Q19" s="4"/>
      <c r="R19" s="4"/>
      <c r="S19" s="4"/>
      <c r="T19" s="4"/>
      <c r="U19" s="4"/>
      <c r="V19" s="4"/>
      <c r="W19" s="4"/>
      <c r="X19" s="4"/>
      <c r="Y19" s="4"/>
      <c r="Z19" s="4"/>
    </row>
    <row r="20" ht="24.0" customHeight="1">
      <c r="A20" s="16"/>
      <c r="B20" s="16" t="s">
        <v>190</v>
      </c>
      <c r="C20" s="16" t="s">
        <v>171</v>
      </c>
      <c r="D20" s="16"/>
      <c r="E20" s="16" t="s">
        <v>171</v>
      </c>
      <c r="F20" s="16"/>
      <c r="G20" s="41"/>
      <c r="H20" s="41"/>
      <c r="I20" s="41"/>
      <c r="J20" s="41"/>
      <c r="K20" s="41"/>
      <c r="L20" s="41"/>
      <c r="M20" s="41"/>
      <c r="N20" s="41"/>
      <c r="O20" s="4"/>
      <c r="P20" s="4"/>
      <c r="Q20" s="4"/>
      <c r="R20" s="4"/>
      <c r="S20" s="4"/>
      <c r="T20" s="4"/>
      <c r="U20" s="4"/>
      <c r="V20" s="4"/>
      <c r="W20" s="4"/>
      <c r="X20" s="4"/>
      <c r="Y20" s="4"/>
      <c r="Z20" s="4"/>
    </row>
    <row r="21" ht="15.0" customHeight="1">
      <c r="A21" s="12"/>
      <c r="B21" s="12" t="s">
        <v>192</v>
      </c>
      <c r="C21" s="12"/>
      <c r="D21" s="12"/>
      <c r="E21" s="12" t="s">
        <v>193</v>
      </c>
      <c r="F21" s="12"/>
      <c r="G21" s="41"/>
      <c r="H21" s="41"/>
      <c r="I21" s="41"/>
      <c r="J21" s="41"/>
      <c r="K21" s="41"/>
      <c r="L21" s="41"/>
      <c r="M21" s="41"/>
      <c r="N21" s="41"/>
      <c r="O21" s="4"/>
      <c r="P21" s="4"/>
      <c r="Q21" s="4"/>
      <c r="R21" s="4"/>
      <c r="S21" s="4"/>
      <c r="T21" s="4"/>
      <c r="U21" s="4"/>
      <c r="V21" s="4"/>
      <c r="W21" s="4"/>
      <c r="X21" s="4"/>
      <c r="Y21" s="4"/>
      <c r="Z21" s="4"/>
    </row>
    <row r="22" ht="84.75" customHeight="1">
      <c r="A22" s="53"/>
      <c r="B22" s="53" t="s">
        <v>194</v>
      </c>
      <c r="G22" s="53"/>
      <c r="H22" s="53"/>
      <c r="I22" s="41"/>
      <c r="J22" s="41"/>
      <c r="K22" s="41"/>
      <c r="L22" s="41"/>
      <c r="M22" s="41"/>
      <c r="N22" s="41"/>
      <c r="O22" s="4"/>
      <c r="P22" s="4"/>
      <c r="Q22" s="4"/>
      <c r="R22" s="4"/>
      <c r="S22" s="4"/>
      <c r="T22" s="4"/>
      <c r="U22" s="4"/>
      <c r="V22" s="4"/>
      <c r="W22" s="4"/>
      <c r="X22" s="4"/>
      <c r="Y22" s="4"/>
      <c r="Z22" s="4"/>
    </row>
    <row r="23" ht="15.0" customHeight="1">
      <c r="A23" s="44" t="s">
        <v>196</v>
      </c>
      <c r="G23" s="41"/>
      <c r="H23" s="41"/>
      <c r="I23" s="41"/>
      <c r="J23" s="41"/>
      <c r="K23" s="41"/>
      <c r="L23" s="41"/>
      <c r="M23" s="41"/>
      <c r="N23" s="41"/>
      <c r="O23" s="4"/>
      <c r="P23" s="4"/>
      <c r="Q23" s="4"/>
      <c r="R23" s="4"/>
      <c r="S23" s="4"/>
      <c r="T23" s="4"/>
      <c r="U23" s="4"/>
      <c r="V23" s="4"/>
      <c r="W23" s="4"/>
      <c r="X23" s="4"/>
      <c r="Y23" s="4"/>
      <c r="Z23" s="4"/>
    </row>
    <row r="24" ht="42.75" customHeight="1">
      <c r="A24" s="54" t="s">
        <v>197</v>
      </c>
      <c r="G24" s="41"/>
      <c r="H24" s="41"/>
      <c r="I24" s="41"/>
      <c r="J24" s="41"/>
      <c r="K24" s="41"/>
      <c r="L24" s="41"/>
      <c r="M24" s="41"/>
      <c r="N24" s="41"/>
      <c r="O24" s="4"/>
      <c r="P24" s="4"/>
      <c r="Q24" s="4"/>
      <c r="R24" s="4"/>
      <c r="S24" s="4"/>
      <c r="T24" s="4"/>
      <c r="U24" s="4"/>
      <c r="V24" s="4"/>
      <c r="W24" s="4"/>
      <c r="X24" s="4"/>
      <c r="Y24" s="4"/>
      <c r="Z24" s="4"/>
    </row>
    <row r="25" ht="15.0" customHeight="1">
      <c r="A25" s="2"/>
      <c r="B25" s="55" t="s">
        <v>198</v>
      </c>
      <c r="G25" s="41"/>
      <c r="H25" s="41"/>
      <c r="I25" s="41"/>
      <c r="J25" s="41"/>
      <c r="K25" s="41"/>
      <c r="L25" s="41"/>
      <c r="M25" s="41"/>
      <c r="N25" s="41"/>
      <c r="O25" s="4"/>
      <c r="P25" s="4"/>
      <c r="Q25" s="4"/>
      <c r="R25" s="4"/>
      <c r="S25" s="4"/>
      <c r="T25" s="4"/>
      <c r="U25" s="4"/>
      <c r="V25" s="4"/>
      <c r="W25" s="4"/>
      <c r="X25" s="4"/>
      <c r="Y25" s="4"/>
      <c r="Z25" s="4"/>
    </row>
    <row r="26" ht="15.0" customHeight="1">
      <c r="A26" s="9"/>
      <c r="B26" s="46" t="s">
        <v>159</v>
      </c>
      <c r="C26" s="46" t="s">
        <v>160</v>
      </c>
      <c r="D26" s="46" t="s">
        <v>161</v>
      </c>
      <c r="E26" s="46" t="s">
        <v>162</v>
      </c>
      <c r="F26" s="46" t="s">
        <v>163</v>
      </c>
      <c r="G26" s="47" t="s">
        <v>164</v>
      </c>
      <c r="H26" s="48" t="s">
        <v>165</v>
      </c>
      <c r="I26" s="41"/>
      <c r="J26" s="41"/>
      <c r="K26" s="41"/>
      <c r="L26" s="41"/>
      <c r="M26" s="41"/>
      <c r="N26" s="41"/>
      <c r="O26" s="4"/>
      <c r="P26" s="4"/>
      <c r="Q26" s="4"/>
      <c r="R26" s="4"/>
      <c r="S26" s="4"/>
      <c r="T26" s="4"/>
      <c r="U26" s="4"/>
      <c r="V26" s="4"/>
      <c r="W26" s="4"/>
      <c r="X26" s="4"/>
      <c r="Y26" s="4"/>
      <c r="Z26" s="4"/>
    </row>
    <row r="27" ht="15.0" customHeight="1">
      <c r="A27" s="12"/>
      <c r="B27" s="12" t="s">
        <v>199</v>
      </c>
      <c r="C27" s="12"/>
      <c r="D27" s="12"/>
      <c r="E27" s="12" t="s">
        <v>200</v>
      </c>
      <c r="F27" s="12"/>
      <c r="G27" s="41" t="s">
        <v>178</v>
      </c>
      <c r="H27" s="49" t="str">
        <f>IF(OR(C27="",'A — Scorecard Identity'!B26="",'A — Scorecard Identity'!B26&lt;=0),"",C27/'A — Scorecard Identity'!B26*10000)</f>
        <v/>
      </c>
      <c r="I27" s="41"/>
      <c r="J27" s="41"/>
      <c r="K27" s="41"/>
      <c r="L27" s="41"/>
      <c r="M27" s="41"/>
      <c r="N27" s="41"/>
      <c r="O27" s="4"/>
      <c r="P27" s="4"/>
      <c r="Q27" s="4"/>
      <c r="R27" s="4"/>
      <c r="S27" s="4"/>
      <c r="T27" s="4"/>
      <c r="U27" s="4"/>
      <c r="V27" s="4"/>
      <c r="W27" s="4"/>
      <c r="X27" s="4"/>
      <c r="Y27" s="4"/>
      <c r="Z27" s="4"/>
    </row>
    <row r="28" ht="15.0" customHeight="1">
      <c r="A28" s="16"/>
      <c r="B28" s="16" t="s">
        <v>202</v>
      </c>
      <c r="C28" s="16" t="s">
        <v>171</v>
      </c>
      <c r="D28" s="16"/>
      <c r="E28" s="16" t="s">
        <v>200</v>
      </c>
      <c r="F28" s="16"/>
      <c r="G28" s="41" t="s">
        <v>178</v>
      </c>
      <c r="H28" s="49" t="str">
        <f>IF(OR(C28="",'A — Scorecard Identity'!B26="",'A — Scorecard Identity'!B26&lt;=0),"",C28/'A — Scorecard Identity'!B26*10000)</f>
        <v/>
      </c>
      <c r="I28" s="41"/>
      <c r="J28" s="41"/>
      <c r="K28" s="41"/>
      <c r="L28" s="41"/>
      <c r="M28" s="41"/>
      <c r="N28" s="41"/>
      <c r="O28" s="4"/>
      <c r="P28" s="4"/>
      <c r="Q28" s="4"/>
      <c r="R28" s="4"/>
      <c r="S28" s="4"/>
      <c r="T28" s="4"/>
      <c r="U28" s="4"/>
      <c r="V28" s="4"/>
      <c r="W28" s="4"/>
      <c r="X28" s="4"/>
      <c r="Y28" s="4"/>
      <c r="Z28" s="4"/>
    </row>
    <row r="29" ht="36.0" customHeight="1">
      <c r="A29" s="12"/>
      <c r="B29" s="12" t="s">
        <v>203</v>
      </c>
      <c r="C29" s="12"/>
      <c r="D29" s="12"/>
      <c r="E29" s="12" t="s">
        <v>204</v>
      </c>
      <c r="F29" s="12"/>
      <c r="G29" s="41"/>
      <c r="H29" s="49"/>
      <c r="I29" s="41"/>
      <c r="J29" s="41"/>
      <c r="K29" s="41"/>
      <c r="L29" s="41"/>
      <c r="M29" s="41"/>
      <c r="N29" s="41"/>
      <c r="O29" s="4"/>
      <c r="P29" s="4"/>
      <c r="Q29" s="4"/>
      <c r="R29" s="4"/>
      <c r="S29" s="4"/>
      <c r="T29" s="4"/>
      <c r="U29" s="4"/>
      <c r="V29" s="4"/>
      <c r="W29" s="4"/>
      <c r="X29" s="4"/>
      <c r="Y29" s="4"/>
      <c r="Z29" s="4"/>
    </row>
    <row r="30" ht="15.0" customHeight="1">
      <c r="A30" s="16"/>
      <c r="B30" s="16" t="s">
        <v>205</v>
      </c>
      <c r="C30" s="16"/>
      <c r="D30" s="16"/>
      <c r="E30" s="16" t="s">
        <v>173</v>
      </c>
      <c r="F30" s="16" t="s">
        <v>174</v>
      </c>
      <c r="G30" s="41" t="s">
        <v>178</v>
      </c>
      <c r="H30" s="49" t="str">
        <f>IF(OR(C30="",'A — Scorecard Identity'!B26="",'A — Scorecard Identity'!B26&lt;=0),"",C30/'A — Scorecard Identity'!B26*10000)</f>
        <v/>
      </c>
      <c r="I30" s="41"/>
      <c r="J30" s="41"/>
      <c r="K30" s="41"/>
      <c r="L30" s="41"/>
      <c r="M30" s="41"/>
      <c r="N30" s="41"/>
      <c r="O30" s="4"/>
      <c r="P30" s="4"/>
      <c r="Q30" s="4"/>
      <c r="R30" s="4"/>
      <c r="S30" s="4"/>
      <c r="T30" s="4"/>
      <c r="U30" s="4"/>
      <c r="V30" s="4"/>
      <c r="W30" s="4"/>
      <c r="X30" s="4"/>
      <c r="Y30" s="4"/>
      <c r="Z30" s="4"/>
    </row>
    <row r="31" ht="15.0" customHeight="1">
      <c r="A31" s="12"/>
      <c r="B31" s="12" t="s">
        <v>207</v>
      </c>
      <c r="C31" s="12"/>
      <c r="D31" s="12"/>
      <c r="E31" s="12" t="s">
        <v>173</v>
      </c>
      <c r="F31" s="12" t="s">
        <v>174</v>
      </c>
      <c r="G31" s="41" t="s">
        <v>175</v>
      </c>
      <c r="H31" s="49" t="str">
        <f>IF(OR(C31="",'A — Scorecard Identity'!B25="",'A — Scorecard Identity'!B25&lt;=0),"",C31/'A — Scorecard Identity'!B25*10000)</f>
        <v/>
      </c>
      <c r="I31" s="41"/>
      <c r="J31" s="41"/>
      <c r="K31" s="41"/>
      <c r="L31" s="41"/>
      <c r="M31" s="41"/>
      <c r="N31" s="41"/>
      <c r="O31" s="4"/>
      <c r="P31" s="4"/>
      <c r="Q31" s="4"/>
      <c r="R31" s="4"/>
      <c r="S31" s="4"/>
      <c r="T31" s="4"/>
      <c r="U31" s="4"/>
      <c r="V31" s="4"/>
      <c r="W31" s="4"/>
      <c r="X31" s="4"/>
      <c r="Y31" s="4"/>
      <c r="Z31" s="4"/>
    </row>
    <row r="32" ht="15.0" customHeight="1">
      <c r="A32" s="2"/>
      <c r="B32" s="58" t="s">
        <v>210</v>
      </c>
      <c r="G32" s="41"/>
      <c r="H32" s="41"/>
      <c r="I32" s="41"/>
      <c r="J32" s="41"/>
      <c r="K32" s="41"/>
      <c r="L32" s="41"/>
      <c r="M32" s="41"/>
      <c r="N32" s="41"/>
      <c r="O32" s="4"/>
      <c r="P32" s="4"/>
      <c r="Q32" s="4"/>
      <c r="R32" s="4"/>
      <c r="S32" s="4"/>
      <c r="T32" s="4"/>
      <c r="U32" s="4"/>
      <c r="V32" s="4"/>
      <c r="W32" s="4"/>
      <c r="X32" s="4"/>
      <c r="Y32" s="4"/>
      <c r="Z32" s="4"/>
    </row>
    <row r="33" ht="15.0" customHeight="1">
      <c r="A33" s="9"/>
      <c r="B33" s="59" t="s">
        <v>159</v>
      </c>
      <c r="C33" s="59" t="s">
        <v>160</v>
      </c>
      <c r="D33" s="59" t="s">
        <v>161</v>
      </c>
      <c r="E33" s="59" t="s">
        <v>162</v>
      </c>
      <c r="F33" s="59" t="s">
        <v>163</v>
      </c>
      <c r="G33" s="47" t="s">
        <v>164</v>
      </c>
      <c r="H33" s="48" t="s">
        <v>165</v>
      </c>
      <c r="I33" s="41"/>
      <c r="J33" s="41"/>
      <c r="K33" s="41"/>
      <c r="L33" s="41"/>
      <c r="M33" s="41"/>
      <c r="N33" s="41"/>
      <c r="O33" s="4"/>
      <c r="P33" s="4"/>
      <c r="Q33" s="4"/>
      <c r="R33" s="4"/>
      <c r="S33" s="4"/>
      <c r="T33" s="4"/>
      <c r="U33" s="4"/>
      <c r="V33" s="4"/>
      <c r="W33" s="4"/>
      <c r="X33" s="4"/>
      <c r="Y33" s="4"/>
      <c r="Z33" s="4"/>
    </row>
    <row r="34" ht="15.0" customHeight="1">
      <c r="A34" s="12"/>
      <c r="B34" s="31" t="s">
        <v>217</v>
      </c>
      <c r="C34" s="31"/>
      <c r="D34" s="31"/>
      <c r="E34" s="31" t="s">
        <v>173</v>
      </c>
      <c r="F34" s="31" t="s">
        <v>174</v>
      </c>
      <c r="G34" s="41" t="s">
        <v>178</v>
      </c>
      <c r="H34" s="49" t="str">
        <f>IF(OR(C34="",'A — Scorecard Identity'!B26="",'A — Scorecard Identity'!B26&lt;=0),"",C34/'A — Scorecard Identity'!B26*10000)</f>
        <v/>
      </c>
      <c r="I34" s="41"/>
      <c r="J34" s="41"/>
      <c r="K34" s="41"/>
      <c r="L34" s="41"/>
      <c r="M34" s="41"/>
      <c r="N34" s="41"/>
      <c r="O34" s="4"/>
      <c r="P34" s="4"/>
      <c r="Q34" s="4"/>
      <c r="R34" s="4"/>
      <c r="S34" s="4"/>
      <c r="T34" s="4"/>
      <c r="U34" s="4"/>
      <c r="V34" s="4"/>
      <c r="W34" s="4"/>
      <c r="X34" s="4"/>
      <c r="Y34" s="4"/>
      <c r="Z34" s="4"/>
    </row>
    <row r="35" ht="24.0" customHeight="1">
      <c r="A35" s="16"/>
      <c r="B35" s="34" t="s">
        <v>220</v>
      </c>
      <c r="C35" s="34"/>
      <c r="D35" s="34"/>
      <c r="E35" s="34" t="s">
        <v>173</v>
      </c>
      <c r="F35" s="34" t="s">
        <v>174</v>
      </c>
      <c r="G35" s="41" t="s">
        <v>178</v>
      </c>
      <c r="H35" s="49" t="str">
        <f>IF(OR(C35="",'A — Scorecard Identity'!B26="",'A — Scorecard Identity'!B26&lt;=0),"",C35/'A — Scorecard Identity'!B26*10000)</f>
        <v/>
      </c>
      <c r="I35" s="41"/>
      <c r="J35" s="41"/>
      <c r="K35" s="41"/>
      <c r="L35" s="41"/>
      <c r="M35" s="41"/>
      <c r="N35" s="41"/>
      <c r="O35" s="4"/>
      <c r="P35" s="4"/>
      <c r="Q35" s="4"/>
      <c r="R35" s="4"/>
      <c r="S35" s="4"/>
      <c r="T35" s="4"/>
      <c r="U35" s="4"/>
      <c r="V35" s="4"/>
      <c r="W35" s="4"/>
      <c r="X35" s="4"/>
      <c r="Y35" s="4"/>
      <c r="Z35" s="4"/>
    </row>
    <row r="36" ht="48.0" customHeight="1">
      <c r="A36" s="12"/>
      <c r="B36" s="31" t="s">
        <v>223</v>
      </c>
      <c r="C36" s="31"/>
      <c r="D36" s="31"/>
      <c r="E36" s="31" t="s">
        <v>224</v>
      </c>
      <c r="F36" s="31"/>
      <c r="G36" s="41"/>
      <c r="H36" s="41"/>
      <c r="I36" s="41"/>
      <c r="J36" s="41"/>
      <c r="K36" s="41"/>
      <c r="L36" s="41"/>
      <c r="M36" s="41"/>
      <c r="N36" s="41"/>
      <c r="O36" s="4"/>
      <c r="P36" s="4"/>
      <c r="Q36" s="4"/>
      <c r="R36" s="4"/>
      <c r="S36" s="4"/>
      <c r="T36" s="4"/>
      <c r="U36" s="4"/>
      <c r="V36" s="4"/>
      <c r="W36" s="4"/>
      <c r="X36" s="4"/>
      <c r="Y36" s="4"/>
      <c r="Z36" s="4"/>
    </row>
    <row r="37" ht="15.0" customHeight="1">
      <c r="A37" s="2"/>
      <c r="B37" s="58" t="s">
        <v>226</v>
      </c>
      <c r="G37" s="41"/>
      <c r="H37" s="41"/>
      <c r="I37" s="41"/>
      <c r="J37" s="41"/>
      <c r="K37" s="41"/>
      <c r="L37" s="41"/>
      <c r="M37" s="41"/>
      <c r="N37" s="41"/>
      <c r="O37" s="4"/>
      <c r="P37" s="4"/>
      <c r="Q37" s="4"/>
      <c r="R37" s="4"/>
      <c r="S37" s="4"/>
      <c r="T37" s="4"/>
      <c r="U37" s="4"/>
      <c r="V37" s="4"/>
      <c r="W37" s="4"/>
      <c r="X37" s="4"/>
      <c r="Y37" s="4"/>
      <c r="Z37" s="4"/>
    </row>
    <row r="38" ht="15.0" customHeight="1">
      <c r="A38" s="9"/>
      <c r="B38" s="59" t="s">
        <v>228</v>
      </c>
      <c r="C38" s="59" t="s">
        <v>229</v>
      </c>
      <c r="D38" s="59" t="s">
        <v>160</v>
      </c>
      <c r="E38" s="59" t="s">
        <v>162</v>
      </c>
      <c r="F38" s="59" t="s">
        <v>163</v>
      </c>
      <c r="G38" s="47" t="s">
        <v>230</v>
      </c>
      <c r="H38" s="48" t="s">
        <v>231</v>
      </c>
      <c r="I38" s="41"/>
      <c r="J38" s="41"/>
      <c r="K38" s="41"/>
      <c r="L38" s="41"/>
      <c r="M38" s="41"/>
      <c r="N38" s="41"/>
      <c r="O38" s="4"/>
      <c r="P38" s="4"/>
      <c r="Q38" s="4"/>
      <c r="R38" s="4"/>
      <c r="S38" s="4"/>
      <c r="T38" s="4"/>
      <c r="U38" s="4"/>
      <c r="V38" s="4"/>
      <c r="W38" s="4"/>
      <c r="X38" s="4"/>
      <c r="Y38" s="4"/>
      <c r="Z38" s="4"/>
    </row>
    <row r="39" ht="120.0" customHeight="1">
      <c r="A39" s="12"/>
      <c r="B39" s="31" t="s">
        <v>234</v>
      </c>
      <c r="C39" s="31" t="s">
        <v>235</v>
      </c>
      <c r="D39" s="31"/>
      <c r="E39" s="31" t="s">
        <v>236</v>
      </c>
      <c r="F39" s="31"/>
      <c r="G39" s="64" t="s">
        <v>237</v>
      </c>
      <c r="H39" s="65" t="s">
        <v>238</v>
      </c>
      <c r="I39" s="41"/>
      <c r="J39" s="41"/>
      <c r="K39" s="41"/>
      <c r="L39" s="41"/>
      <c r="M39" s="41"/>
      <c r="N39" s="41"/>
      <c r="O39" s="4"/>
      <c r="P39" s="4"/>
      <c r="Q39" s="4"/>
      <c r="R39" s="4"/>
      <c r="S39" s="4"/>
      <c r="T39" s="4"/>
      <c r="U39" s="4"/>
      <c r="V39" s="4"/>
      <c r="W39" s="4"/>
      <c r="X39" s="4"/>
      <c r="Y39" s="4"/>
      <c r="Z39" s="4"/>
    </row>
    <row r="40" ht="84.0" customHeight="1">
      <c r="A40" s="16"/>
      <c r="B40" s="34" t="s">
        <v>240</v>
      </c>
      <c r="C40" s="34" t="s">
        <v>241</v>
      </c>
      <c r="D40" s="34"/>
      <c r="E40" s="34" t="s">
        <v>171</v>
      </c>
      <c r="F40" s="34"/>
      <c r="G40" s="28" t="s">
        <v>242</v>
      </c>
      <c r="H40" s="66" t="s">
        <v>243</v>
      </c>
      <c r="I40" s="41"/>
      <c r="J40" s="41"/>
      <c r="K40" s="41"/>
      <c r="L40" s="41"/>
      <c r="M40" s="41"/>
      <c r="N40" s="41"/>
      <c r="O40" s="4"/>
      <c r="P40" s="4"/>
      <c r="Q40" s="4"/>
      <c r="R40" s="4"/>
      <c r="S40" s="4"/>
      <c r="T40" s="4"/>
      <c r="U40" s="4"/>
      <c r="V40" s="4"/>
      <c r="W40" s="4"/>
      <c r="X40" s="4"/>
      <c r="Y40" s="4"/>
      <c r="Z40" s="4"/>
    </row>
    <row r="41" ht="72.0" customHeight="1">
      <c r="A41" s="12"/>
      <c r="B41" s="31" t="s">
        <v>244</v>
      </c>
      <c r="C41" s="31" t="s">
        <v>245</v>
      </c>
      <c r="D41" s="31"/>
      <c r="E41" s="31" t="s">
        <v>246</v>
      </c>
      <c r="F41" s="31"/>
      <c r="G41" s="28" t="s">
        <v>247</v>
      </c>
      <c r="H41" s="66" t="s">
        <v>249</v>
      </c>
      <c r="I41" s="41"/>
      <c r="J41" s="41"/>
      <c r="K41" s="41"/>
      <c r="L41" s="41"/>
      <c r="M41" s="41"/>
      <c r="N41" s="41"/>
      <c r="O41" s="4"/>
      <c r="P41" s="4"/>
      <c r="Q41" s="4"/>
      <c r="R41" s="4"/>
      <c r="S41" s="4"/>
      <c r="T41" s="4"/>
      <c r="U41" s="4"/>
      <c r="V41" s="4"/>
      <c r="W41" s="4"/>
      <c r="X41" s="4"/>
      <c r="Y41" s="4"/>
      <c r="Z41" s="4"/>
    </row>
    <row r="42" ht="78.75" customHeight="1">
      <c r="A42" s="2"/>
      <c r="B42" s="69" t="s">
        <v>251</v>
      </c>
      <c r="C42" s="70" t="s">
        <v>252</v>
      </c>
      <c r="D42" s="70"/>
      <c r="E42" s="70" t="s">
        <v>171</v>
      </c>
      <c r="F42" s="70"/>
      <c r="G42" s="71" t="s">
        <v>254</v>
      </c>
      <c r="H42" s="72" t="s">
        <v>256</v>
      </c>
      <c r="I42" s="41"/>
      <c r="J42" s="41"/>
      <c r="K42" s="41"/>
      <c r="L42" s="41"/>
      <c r="M42" s="41"/>
      <c r="N42" s="41"/>
      <c r="O42" s="4"/>
      <c r="P42" s="4"/>
      <c r="Q42" s="4"/>
      <c r="R42" s="4"/>
      <c r="S42" s="4"/>
      <c r="T42" s="4"/>
      <c r="U42" s="4"/>
      <c r="V42" s="4"/>
      <c r="W42" s="4"/>
      <c r="X42" s="4"/>
      <c r="Y42" s="4"/>
      <c r="Z42" s="4"/>
    </row>
    <row r="43" ht="15.75" customHeight="1">
      <c r="A43" s="2"/>
      <c r="B43" s="2"/>
      <c r="C43" s="2"/>
      <c r="D43" s="2"/>
      <c r="E43" s="2"/>
      <c r="F43" s="2"/>
      <c r="G43" s="41"/>
      <c r="H43" s="41"/>
      <c r="I43" s="41"/>
      <c r="J43" s="41"/>
      <c r="K43" s="41"/>
      <c r="L43" s="41"/>
      <c r="M43" s="41"/>
      <c r="N43" s="41"/>
      <c r="O43" s="4"/>
      <c r="P43" s="4"/>
      <c r="Q43" s="4"/>
      <c r="R43" s="4"/>
      <c r="S43" s="4"/>
      <c r="T43" s="4"/>
      <c r="U43" s="4"/>
      <c r="V43" s="4"/>
      <c r="W43" s="4"/>
      <c r="X43" s="4"/>
      <c r="Y43" s="4"/>
      <c r="Z43" s="4"/>
    </row>
    <row r="44" ht="15.75" customHeight="1">
      <c r="A44" s="2"/>
      <c r="B44" s="2"/>
      <c r="C44" s="2"/>
      <c r="D44" s="2"/>
      <c r="E44" s="2"/>
      <c r="F44" s="2"/>
      <c r="G44" s="41"/>
      <c r="H44" s="41"/>
      <c r="I44" s="41"/>
      <c r="J44" s="41"/>
      <c r="K44" s="41"/>
      <c r="L44" s="41"/>
      <c r="M44" s="41"/>
      <c r="N44" s="41"/>
      <c r="O44" s="4"/>
      <c r="P44" s="4"/>
      <c r="Q44" s="4"/>
      <c r="R44" s="4"/>
      <c r="S44" s="4"/>
      <c r="T44" s="4"/>
      <c r="U44" s="4"/>
      <c r="V44" s="4"/>
      <c r="W44" s="4"/>
      <c r="X44" s="4"/>
      <c r="Y44" s="4"/>
      <c r="Z44" s="4"/>
    </row>
    <row r="45" ht="15.75" customHeight="1">
      <c r="A45" s="2"/>
      <c r="B45" s="2"/>
      <c r="C45" s="2"/>
      <c r="D45" s="2"/>
      <c r="E45" s="2"/>
      <c r="F45" s="2"/>
      <c r="G45" s="41"/>
      <c r="H45" s="41"/>
      <c r="I45" s="41"/>
      <c r="J45" s="41"/>
      <c r="K45" s="41"/>
      <c r="L45" s="41"/>
      <c r="M45" s="41"/>
      <c r="N45" s="41"/>
      <c r="O45" s="4"/>
      <c r="P45" s="4"/>
      <c r="Q45" s="4"/>
      <c r="R45" s="4"/>
      <c r="S45" s="4"/>
      <c r="T45" s="4"/>
      <c r="U45" s="4"/>
      <c r="V45" s="4"/>
      <c r="W45" s="4"/>
      <c r="X45" s="4"/>
      <c r="Y45" s="4"/>
      <c r="Z45" s="4"/>
    </row>
    <row r="46" ht="15.75" customHeight="1">
      <c r="A46" s="2"/>
      <c r="B46" s="2"/>
      <c r="C46" s="2"/>
      <c r="D46" s="2"/>
      <c r="E46" s="2"/>
      <c r="F46" s="2"/>
      <c r="G46" s="41"/>
      <c r="H46" s="41"/>
      <c r="I46" s="41"/>
      <c r="J46" s="41"/>
      <c r="K46" s="41"/>
      <c r="L46" s="41"/>
      <c r="M46" s="41"/>
      <c r="N46" s="41"/>
      <c r="O46" s="4"/>
      <c r="P46" s="4"/>
      <c r="Q46" s="4"/>
      <c r="R46" s="4"/>
      <c r="S46" s="4"/>
      <c r="T46" s="4"/>
      <c r="U46" s="4"/>
      <c r="V46" s="4"/>
      <c r="W46" s="4"/>
      <c r="X46" s="4"/>
      <c r="Y46" s="4"/>
      <c r="Z46" s="4"/>
    </row>
    <row r="47" ht="15.75" customHeight="1">
      <c r="A47" s="2"/>
      <c r="B47" s="2"/>
      <c r="C47" s="2"/>
      <c r="D47" s="2"/>
      <c r="E47" s="2"/>
      <c r="F47" s="2"/>
      <c r="G47" s="41"/>
      <c r="H47" s="41"/>
      <c r="I47" s="41"/>
      <c r="J47" s="41"/>
      <c r="K47" s="41"/>
      <c r="L47" s="41"/>
      <c r="M47" s="41"/>
      <c r="N47" s="41"/>
      <c r="O47" s="4"/>
      <c r="P47" s="4"/>
      <c r="Q47" s="4"/>
      <c r="R47" s="4"/>
      <c r="S47" s="4"/>
      <c r="T47" s="4"/>
      <c r="U47" s="4"/>
      <c r="V47" s="4"/>
      <c r="W47" s="4"/>
      <c r="X47" s="4"/>
      <c r="Y47" s="4"/>
      <c r="Z47" s="4"/>
    </row>
    <row r="48" ht="15.75" customHeight="1">
      <c r="A48" s="2"/>
      <c r="B48" s="2"/>
      <c r="C48" s="2"/>
      <c r="D48" s="2"/>
      <c r="E48" s="2"/>
      <c r="F48" s="2"/>
      <c r="G48" s="41"/>
      <c r="H48" s="41"/>
      <c r="I48" s="41"/>
      <c r="J48" s="41"/>
      <c r="K48" s="41"/>
      <c r="L48" s="41"/>
      <c r="M48" s="41"/>
      <c r="N48" s="41"/>
      <c r="O48" s="4"/>
      <c r="P48" s="4"/>
      <c r="Q48" s="4"/>
      <c r="R48" s="4"/>
      <c r="S48" s="4"/>
      <c r="T48" s="4"/>
      <c r="U48" s="4"/>
      <c r="V48" s="4"/>
      <c r="W48" s="4"/>
      <c r="X48" s="4"/>
      <c r="Y48" s="4"/>
      <c r="Z48" s="4"/>
    </row>
    <row r="49" ht="15.75" customHeight="1">
      <c r="A49" s="2"/>
      <c r="B49" s="2"/>
      <c r="C49" s="2"/>
      <c r="D49" s="2"/>
      <c r="E49" s="2"/>
      <c r="F49" s="2"/>
      <c r="G49" s="41"/>
      <c r="H49" s="41"/>
      <c r="I49" s="41"/>
      <c r="J49" s="41"/>
      <c r="K49" s="41"/>
      <c r="L49" s="41"/>
      <c r="M49" s="41"/>
      <c r="N49" s="41"/>
      <c r="O49" s="4"/>
      <c r="P49" s="4"/>
      <c r="Q49" s="4"/>
      <c r="R49" s="4"/>
      <c r="S49" s="4"/>
      <c r="T49" s="4"/>
      <c r="U49" s="4"/>
      <c r="V49" s="4"/>
      <c r="W49" s="4"/>
      <c r="X49" s="4"/>
      <c r="Y49" s="4"/>
      <c r="Z49" s="4"/>
    </row>
    <row r="50" ht="15.75" customHeight="1">
      <c r="A50" s="2"/>
      <c r="B50" s="2"/>
      <c r="C50" s="2"/>
      <c r="D50" s="2"/>
      <c r="E50" s="2"/>
      <c r="F50" s="2"/>
      <c r="G50" s="41"/>
      <c r="H50" s="41"/>
      <c r="I50" s="41"/>
      <c r="J50" s="41"/>
      <c r="K50" s="41"/>
      <c r="L50" s="41"/>
      <c r="M50" s="41"/>
      <c r="N50" s="41"/>
      <c r="O50" s="4"/>
      <c r="P50" s="4"/>
      <c r="Q50" s="4"/>
      <c r="R50" s="4"/>
      <c r="S50" s="4"/>
      <c r="T50" s="4"/>
      <c r="U50" s="4"/>
      <c r="V50" s="4"/>
      <c r="W50" s="4"/>
      <c r="X50" s="4"/>
      <c r="Y50" s="4"/>
      <c r="Z50" s="4"/>
    </row>
    <row r="51" ht="15.75" customHeight="1">
      <c r="A51" s="2"/>
      <c r="B51" s="2"/>
      <c r="C51" s="2"/>
      <c r="D51" s="2"/>
      <c r="E51" s="2"/>
      <c r="F51" s="2"/>
      <c r="G51" s="41"/>
      <c r="H51" s="41"/>
      <c r="I51" s="41"/>
      <c r="J51" s="41"/>
      <c r="K51" s="41"/>
      <c r="L51" s="41"/>
      <c r="M51" s="41"/>
      <c r="N51" s="41"/>
      <c r="O51" s="4"/>
      <c r="P51" s="4"/>
      <c r="Q51" s="4"/>
      <c r="R51" s="4"/>
      <c r="S51" s="4"/>
      <c r="T51" s="4"/>
      <c r="U51" s="4"/>
      <c r="V51" s="4"/>
      <c r="W51" s="4"/>
      <c r="X51" s="4"/>
      <c r="Y51" s="4"/>
      <c r="Z51" s="4"/>
    </row>
    <row r="52" ht="15.75" customHeight="1">
      <c r="A52" s="2"/>
      <c r="B52" s="2"/>
      <c r="C52" s="2"/>
      <c r="D52" s="2"/>
      <c r="E52" s="2"/>
      <c r="F52" s="2"/>
      <c r="G52" s="41"/>
      <c r="H52" s="41"/>
      <c r="I52" s="41"/>
      <c r="J52" s="41"/>
      <c r="K52" s="41"/>
      <c r="L52" s="41"/>
      <c r="M52" s="41"/>
      <c r="N52" s="41"/>
      <c r="O52" s="4"/>
      <c r="P52" s="4"/>
      <c r="Q52" s="4"/>
      <c r="R52" s="4"/>
      <c r="S52" s="4"/>
      <c r="T52" s="4"/>
      <c r="U52" s="4"/>
      <c r="V52" s="4"/>
      <c r="W52" s="4"/>
      <c r="X52" s="4"/>
      <c r="Y52" s="4"/>
      <c r="Z52" s="4"/>
    </row>
    <row r="53" ht="15.75" customHeight="1">
      <c r="A53" s="2"/>
      <c r="B53" s="2"/>
      <c r="C53" s="2"/>
      <c r="D53" s="2"/>
      <c r="E53" s="2"/>
      <c r="F53" s="2"/>
      <c r="G53" s="41"/>
      <c r="H53" s="41"/>
      <c r="I53" s="41"/>
      <c r="J53" s="41"/>
      <c r="K53" s="41"/>
      <c r="L53" s="41"/>
      <c r="M53" s="41"/>
      <c r="N53" s="41"/>
      <c r="O53" s="4"/>
      <c r="P53" s="4"/>
      <c r="Q53" s="4"/>
      <c r="R53" s="4"/>
      <c r="S53" s="4"/>
      <c r="T53" s="4"/>
      <c r="U53" s="4"/>
      <c r="V53" s="4"/>
      <c r="W53" s="4"/>
      <c r="X53" s="4"/>
      <c r="Y53" s="4"/>
      <c r="Z53" s="4"/>
    </row>
    <row r="54" ht="15.75" customHeight="1">
      <c r="A54" s="2"/>
      <c r="B54" s="2"/>
      <c r="C54" s="2"/>
      <c r="D54" s="2"/>
      <c r="E54" s="2"/>
      <c r="F54" s="2"/>
      <c r="G54" s="41"/>
      <c r="H54" s="41"/>
      <c r="I54" s="41"/>
      <c r="J54" s="41"/>
      <c r="K54" s="41"/>
      <c r="L54" s="41"/>
      <c r="M54" s="41"/>
      <c r="N54" s="41"/>
      <c r="O54" s="4"/>
      <c r="P54" s="4"/>
      <c r="Q54" s="4"/>
      <c r="R54" s="4"/>
      <c r="S54" s="4"/>
      <c r="T54" s="4"/>
      <c r="U54" s="4"/>
      <c r="V54" s="4"/>
      <c r="W54" s="4"/>
      <c r="X54" s="4"/>
      <c r="Y54" s="4"/>
      <c r="Z54" s="4"/>
    </row>
    <row r="55" ht="15.75" customHeight="1">
      <c r="A55" s="2"/>
      <c r="B55" s="2"/>
      <c r="C55" s="2"/>
      <c r="D55" s="2"/>
      <c r="E55" s="2"/>
      <c r="F55" s="2"/>
      <c r="G55" s="41"/>
      <c r="H55" s="41"/>
      <c r="I55" s="41"/>
      <c r="J55" s="41"/>
      <c r="K55" s="41"/>
      <c r="L55" s="41"/>
      <c r="M55" s="41"/>
      <c r="N55" s="41"/>
      <c r="O55" s="4"/>
      <c r="P55" s="4"/>
      <c r="Q55" s="4"/>
      <c r="R55" s="4"/>
      <c r="S55" s="4"/>
      <c r="T55" s="4"/>
      <c r="U55" s="4"/>
      <c r="V55" s="4"/>
      <c r="W55" s="4"/>
      <c r="X55" s="4"/>
      <c r="Y55" s="4"/>
      <c r="Z55" s="4"/>
    </row>
    <row r="56" ht="15.75" customHeight="1">
      <c r="A56" s="2"/>
      <c r="B56" s="2"/>
      <c r="C56" s="2"/>
      <c r="D56" s="2"/>
      <c r="E56" s="2"/>
      <c r="F56" s="2"/>
      <c r="G56" s="41"/>
      <c r="H56" s="41"/>
      <c r="I56" s="41"/>
      <c r="J56" s="41"/>
      <c r="K56" s="41"/>
      <c r="L56" s="41"/>
      <c r="M56" s="41"/>
      <c r="N56" s="41"/>
      <c r="O56" s="4"/>
      <c r="P56" s="4"/>
      <c r="Q56" s="4"/>
      <c r="R56" s="4"/>
      <c r="S56" s="4"/>
      <c r="T56" s="4"/>
      <c r="U56" s="4"/>
      <c r="V56" s="4"/>
      <c r="W56" s="4"/>
      <c r="X56" s="4"/>
      <c r="Y56" s="4"/>
      <c r="Z56" s="4"/>
    </row>
    <row r="57" ht="15.75" customHeight="1">
      <c r="A57" s="2"/>
      <c r="B57" s="2"/>
      <c r="C57" s="2"/>
      <c r="D57" s="2"/>
      <c r="E57" s="2"/>
      <c r="F57" s="2"/>
      <c r="G57" s="41"/>
      <c r="H57" s="41"/>
      <c r="I57" s="41"/>
      <c r="J57" s="41"/>
      <c r="K57" s="41"/>
      <c r="L57" s="41"/>
      <c r="M57" s="41"/>
      <c r="N57" s="41"/>
      <c r="O57" s="4"/>
      <c r="P57" s="4"/>
      <c r="Q57" s="4"/>
      <c r="R57" s="4"/>
      <c r="S57" s="4"/>
      <c r="T57" s="4"/>
      <c r="U57" s="4"/>
      <c r="V57" s="4"/>
      <c r="W57" s="4"/>
      <c r="X57" s="4"/>
      <c r="Y57" s="4"/>
      <c r="Z57" s="4"/>
    </row>
    <row r="58" ht="15.75" customHeight="1">
      <c r="A58" s="2"/>
      <c r="B58" s="2"/>
      <c r="C58" s="2"/>
      <c r="D58" s="2"/>
      <c r="E58" s="2"/>
      <c r="F58" s="2"/>
      <c r="G58" s="41"/>
      <c r="H58" s="41"/>
      <c r="I58" s="41"/>
      <c r="J58" s="41"/>
      <c r="K58" s="41"/>
      <c r="L58" s="41"/>
      <c r="M58" s="41"/>
      <c r="N58" s="41"/>
      <c r="O58" s="4"/>
      <c r="P58" s="4"/>
      <c r="Q58" s="4"/>
      <c r="R58" s="4"/>
      <c r="S58" s="4"/>
      <c r="T58" s="4"/>
      <c r="U58" s="4"/>
      <c r="V58" s="4"/>
      <c r="W58" s="4"/>
      <c r="X58" s="4"/>
      <c r="Y58" s="4"/>
      <c r="Z58" s="4"/>
    </row>
    <row r="59" ht="15.75" customHeight="1">
      <c r="A59" s="2"/>
      <c r="B59" s="2"/>
      <c r="C59" s="2"/>
      <c r="D59" s="2"/>
      <c r="E59" s="2"/>
      <c r="F59" s="2"/>
      <c r="G59" s="41"/>
      <c r="H59" s="41"/>
      <c r="I59" s="41"/>
      <c r="J59" s="41"/>
      <c r="K59" s="41"/>
      <c r="L59" s="41"/>
      <c r="M59" s="41"/>
      <c r="N59" s="41"/>
      <c r="O59" s="4"/>
      <c r="P59" s="4"/>
      <c r="Q59" s="4"/>
      <c r="R59" s="4"/>
      <c r="S59" s="4"/>
      <c r="T59" s="4"/>
      <c r="U59" s="4"/>
      <c r="V59" s="4"/>
      <c r="W59" s="4"/>
      <c r="X59" s="4"/>
      <c r="Y59" s="4"/>
      <c r="Z59" s="4"/>
    </row>
    <row r="60" ht="15.75" customHeight="1">
      <c r="A60" s="2"/>
      <c r="B60" s="2"/>
      <c r="C60" s="2"/>
      <c r="D60" s="2"/>
      <c r="E60" s="2"/>
      <c r="F60" s="2"/>
      <c r="G60" s="41"/>
      <c r="H60" s="41"/>
      <c r="I60" s="41"/>
      <c r="J60" s="41"/>
      <c r="K60" s="41"/>
      <c r="L60" s="41"/>
      <c r="M60" s="41"/>
      <c r="N60" s="41"/>
      <c r="O60" s="4"/>
      <c r="P60" s="4"/>
      <c r="Q60" s="4"/>
      <c r="R60" s="4"/>
      <c r="S60" s="4"/>
      <c r="T60" s="4"/>
      <c r="U60" s="4"/>
      <c r="V60" s="4"/>
      <c r="W60" s="4"/>
      <c r="X60" s="4"/>
      <c r="Y60" s="4"/>
      <c r="Z60" s="4"/>
    </row>
    <row r="61" ht="15.75" customHeight="1">
      <c r="A61" s="2"/>
      <c r="B61" s="2"/>
      <c r="C61" s="2"/>
      <c r="D61" s="2"/>
      <c r="E61" s="2"/>
      <c r="F61" s="2"/>
      <c r="G61" s="41"/>
      <c r="H61" s="41"/>
      <c r="I61" s="41"/>
      <c r="J61" s="41"/>
      <c r="K61" s="41"/>
      <c r="L61" s="41"/>
      <c r="M61" s="41"/>
      <c r="N61" s="41"/>
      <c r="O61" s="4"/>
      <c r="P61" s="4"/>
      <c r="Q61" s="4"/>
      <c r="R61" s="4"/>
      <c r="S61" s="4"/>
      <c r="T61" s="4"/>
      <c r="U61" s="4"/>
      <c r="V61" s="4"/>
      <c r="W61" s="4"/>
      <c r="X61" s="4"/>
      <c r="Y61" s="4"/>
      <c r="Z61" s="4"/>
    </row>
    <row r="62" ht="15.75" customHeight="1">
      <c r="A62" s="2"/>
      <c r="B62" s="2"/>
      <c r="C62" s="2"/>
      <c r="D62" s="2"/>
      <c r="E62" s="2"/>
      <c r="F62" s="2"/>
      <c r="G62" s="41"/>
      <c r="H62" s="41"/>
      <c r="I62" s="41"/>
      <c r="J62" s="41"/>
      <c r="K62" s="41"/>
      <c r="L62" s="41"/>
      <c r="M62" s="41"/>
      <c r="N62" s="41"/>
      <c r="O62" s="4"/>
      <c r="P62" s="4"/>
      <c r="Q62" s="4"/>
      <c r="R62" s="4"/>
      <c r="S62" s="4"/>
      <c r="T62" s="4"/>
      <c r="U62" s="4"/>
      <c r="V62" s="4"/>
      <c r="W62" s="4"/>
      <c r="X62" s="4"/>
      <c r="Y62" s="4"/>
      <c r="Z62" s="4"/>
    </row>
    <row r="63" ht="15.75" customHeight="1">
      <c r="A63" s="2"/>
      <c r="B63" s="2"/>
      <c r="C63" s="2"/>
      <c r="D63" s="2"/>
      <c r="E63" s="2"/>
      <c r="F63" s="2"/>
      <c r="G63" s="41"/>
      <c r="H63" s="41"/>
      <c r="I63" s="41"/>
      <c r="J63" s="41"/>
      <c r="K63" s="41"/>
      <c r="L63" s="41"/>
      <c r="M63" s="41"/>
      <c r="N63" s="41"/>
      <c r="O63" s="4"/>
      <c r="P63" s="4"/>
      <c r="Q63" s="4"/>
      <c r="R63" s="4"/>
      <c r="S63" s="4"/>
      <c r="T63" s="4"/>
      <c r="U63" s="4"/>
      <c r="V63" s="4"/>
      <c r="W63" s="4"/>
      <c r="X63" s="4"/>
      <c r="Y63" s="4"/>
      <c r="Z63" s="4"/>
    </row>
    <row r="64" ht="15.75" customHeight="1">
      <c r="A64" s="2"/>
      <c r="B64" s="2"/>
      <c r="C64" s="2"/>
      <c r="D64" s="2"/>
      <c r="E64" s="2"/>
      <c r="F64" s="2"/>
      <c r="G64" s="41"/>
      <c r="H64" s="41"/>
      <c r="I64" s="41"/>
      <c r="J64" s="41"/>
      <c r="K64" s="41"/>
      <c r="L64" s="41"/>
      <c r="M64" s="41"/>
      <c r="N64" s="41"/>
      <c r="O64" s="4"/>
      <c r="P64" s="4"/>
      <c r="Q64" s="4"/>
      <c r="R64" s="4"/>
      <c r="S64" s="4"/>
      <c r="T64" s="4"/>
      <c r="U64" s="4"/>
      <c r="V64" s="4"/>
      <c r="W64" s="4"/>
      <c r="X64" s="4"/>
      <c r="Y64" s="4"/>
      <c r="Z64" s="4"/>
    </row>
    <row r="65" ht="15.75" customHeight="1">
      <c r="A65" s="2"/>
      <c r="B65" s="2"/>
      <c r="C65" s="2"/>
      <c r="D65" s="2"/>
      <c r="E65" s="2"/>
      <c r="F65" s="2"/>
      <c r="G65" s="41"/>
      <c r="H65" s="41"/>
      <c r="I65" s="41"/>
      <c r="J65" s="41"/>
      <c r="K65" s="41"/>
      <c r="L65" s="41"/>
      <c r="M65" s="41"/>
      <c r="N65" s="41"/>
      <c r="O65" s="4"/>
      <c r="P65" s="4"/>
      <c r="Q65" s="4"/>
      <c r="R65" s="4"/>
      <c r="S65" s="4"/>
      <c r="T65" s="4"/>
      <c r="U65" s="4"/>
      <c r="V65" s="4"/>
      <c r="W65" s="4"/>
      <c r="X65" s="4"/>
      <c r="Y65" s="4"/>
      <c r="Z65" s="4"/>
    </row>
    <row r="66" ht="15.75" customHeight="1">
      <c r="A66" s="2"/>
      <c r="B66" s="2"/>
      <c r="C66" s="2"/>
      <c r="D66" s="2"/>
      <c r="E66" s="2"/>
      <c r="F66" s="2"/>
      <c r="G66" s="41"/>
      <c r="H66" s="41"/>
      <c r="I66" s="41"/>
      <c r="J66" s="41"/>
      <c r="K66" s="41"/>
      <c r="L66" s="41"/>
      <c r="M66" s="41"/>
      <c r="N66" s="41"/>
      <c r="O66" s="4"/>
      <c r="P66" s="4"/>
      <c r="Q66" s="4"/>
      <c r="R66" s="4"/>
      <c r="S66" s="4"/>
      <c r="T66" s="4"/>
      <c r="U66" s="4"/>
      <c r="V66" s="4"/>
      <c r="W66" s="4"/>
      <c r="X66" s="4"/>
      <c r="Y66" s="4"/>
      <c r="Z66" s="4"/>
    </row>
    <row r="67" ht="15.75" customHeight="1">
      <c r="A67" s="2"/>
      <c r="B67" s="2"/>
      <c r="C67" s="2"/>
      <c r="D67" s="2"/>
      <c r="E67" s="2"/>
      <c r="F67" s="2"/>
      <c r="G67" s="41"/>
      <c r="H67" s="41"/>
      <c r="I67" s="41"/>
      <c r="J67" s="41"/>
      <c r="K67" s="41"/>
      <c r="L67" s="41"/>
      <c r="M67" s="41"/>
      <c r="N67" s="41"/>
      <c r="O67" s="4"/>
      <c r="P67" s="4"/>
      <c r="Q67" s="4"/>
      <c r="R67" s="4"/>
      <c r="S67" s="4"/>
      <c r="T67" s="4"/>
      <c r="U67" s="4"/>
      <c r="V67" s="4"/>
      <c r="W67" s="4"/>
      <c r="X67" s="4"/>
      <c r="Y67" s="4"/>
      <c r="Z67" s="4"/>
    </row>
    <row r="68" ht="15.75" customHeight="1">
      <c r="A68" s="2"/>
      <c r="B68" s="2"/>
      <c r="C68" s="2"/>
      <c r="D68" s="2"/>
      <c r="E68" s="2"/>
      <c r="F68" s="2"/>
      <c r="G68" s="41"/>
      <c r="H68" s="41"/>
      <c r="I68" s="41"/>
      <c r="J68" s="41"/>
      <c r="K68" s="41"/>
      <c r="L68" s="41"/>
      <c r="M68" s="41"/>
      <c r="N68" s="41"/>
      <c r="O68" s="4"/>
      <c r="P68" s="4"/>
      <c r="Q68" s="4"/>
      <c r="R68" s="4"/>
      <c r="S68" s="4"/>
      <c r="T68" s="4"/>
      <c r="U68" s="4"/>
      <c r="V68" s="4"/>
      <c r="W68" s="4"/>
      <c r="X68" s="4"/>
      <c r="Y68" s="4"/>
      <c r="Z68" s="4"/>
    </row>
    <row r="69" ht="15.75" customHeight="1">
      <c r="A69" s="2"/>
      <c r="B69" s="2"/>
      <c r="C69" s="2"/>
      <c r="D69" s="2"/>
      <c r="E69" s="2"/>
      <c r="F69" s="2"/>
      <c r="G69" s="41"/>
      <c r="H69" s="41"/>
      <c r="I69" s="41"/>
      <c r="J69" s="41"/>
      <c r="K69" s="41"/>
      <c r="L69" s="41"/>
      <c r="M69" s="41"/>
      <c r="N69" s="41"/>
      <c r="O69" s="4"/>
      <c r="P69" s="4"/>
      <c r="Q69" s="4"/>
      <c r="R69" s="4"/>
      <c r="S69" s="4"/>
      <c r="T69" s="4"/>
      <c r="U69" s="4"/>
      <c r="V69" s="4"/>
      <c r="W69" s="4"/>
      <c r="X69" s="4"/>
      <c r="Y69" s="4"/>
      <c r="Z69" s="4"/>
    </row>
    <row r="70" ht="15.75" customHeight="1">
      <c r="A70" s="2"/>
      <c r="B70" s="2"/>
      <c r="C70" s="2"/>
      <c r="D70" s="2"/>
      <c r="E70" s="2"/>
      <c r="F70" s="2"/>
      <c r="G70" s="41"/>
      <c r="H70" s="41"/>
      <c r="I70" s="41"/>
      <c r="J70" s="41"/>
      <c r="K70" s="41"/>
      <c r="L70" s="41"/>
      <c r="M70" s="41"/>
      <c r="N70" s="41"/>
      <c r="O70" s="4"/>
      <c r="P70" s="4"/>
      <c r="Q70" s="4"/>
      <c r="R70" s="4"/>
      <c r="S70" s="4"/>
      <c r="T70" s="4"/>
      <c r="U70" s="4"/>
      <c r="V70" s="4"/>
      <c r="W70" s="4"/>
      <c r="X70" s="4"/>
      <c r="Y70" s="4"/>
      <c r="Z70" s="4"/>
    </row>
    <row r="71" ht="15.75" customHeight="1">
      <c r="A71" s="2"/>
      <c r="B71" s="2"/>
      <c r="C71" s="2"/>
      <c r="D71" s="2"/>
      <c r="E71" s="2"/>
      <c r="F71" s="2"/>
      <c r="G71" s="41"/>
      <c r="H71" s="41"/>
      <c r="I71" s="41"/>
      <c r="J71" s="41"/>
      <c r="K71" s="41"/>
      <c r="L71" s="41"/>
      <c r="M71" s="41"/>
      <c r="N71" s="41"/>
      <c r="O71" s="4"/>
      <c r="P71" s="4"/>
      <c r="Q71" s="4"/>
      <c r="R71" s="4"/>
      <c r="S71" s="4"/>
      <c r="T71" s="4"/>
      <c r="U71" s="4"/>
      <c r="V71" s="4"/>
      <c r="W71" s="4"/>
      <c r="X71" s="4"/>
      <c r="Y71" s="4"/>
      <c r="Z71" s="4"/>
    </row>
    <row r="72" ht="15.75" customHeight="1">
      <c r="A72" s="2"/>
      <c r="B72" s="2"/>
      <c r="C72" s="2"/>
      <c r="D72" s="2"/>
      <c r="E72" s="2"/>
      <c r="F72" s="2"/>
      <c r="G72" s="41"/>
      <c r="H72" s="41"/>
      <c r="I72" s="41"/>
      <c r="J72" s="41"/>
      <c r="K72" s="41"/>
      <c r="L72" s="41"/>
      <c r="M72" s="41"/>
      <c r="N72" s="41"/>
      <c r="O72" s="4"/>
      <c r="P72" s="4"/>
      <c r="Q72" s="4"/>
      <c r="R72" s="4"/>
      <c r="S72" s="4"/>
      <c r="T72" s="4"/>
      <c r="U72" s="4"/>
      <c r="V72" s="4"/>
      <c r="W72" s="4"/>
      <c r="X72" s="4"/>
      <c r="Y72" s="4"/>
      <c r="Z72" s="4"/>
    </row>
    <row r="73" ht="15.75" customHeight="1">
      <c r="A73" s="2"/>
      <c r="B73" s="2"/>
      <c r="C73" s="2"/>
      <c r="D73" s="2"/>
      <c r="E73" s="2"/>
      <c r="F73" s="2"/>
      <c r="G73" s="41"/>
      <c r="H73" s="41"/>
      <c r="I73" s="41"/>
      <c r="J73" s="41"/>
      <c r="K73" s="41"/>
      <c r="L73" s="41"/>
      <c r="M73" s="41"/>
      <c r="N73" s="41"/>
      <c r="O73" s="4"/>
      <c r="P73" s="4"/>
      <c r="Q73" s="4"/>
      <c r="R73" s="4"/>
      <c r="S73" s="4"/>
      <c r="T73" s="4"/>
      <c r="U73" s="4"/>
      <c r="V73" s="4"/>
      <c r="W73" s="4"/>
      <c r="X73" s="4"/>
      <c r="Y73" s="4"/>
      <c r="Z73" s="4"/>
    </row>
    <row r="74" ht="15.75" customHeight="1">
      <c r="A74" s="2"/>
      <c r="B74" s="2"/>
      <c r="C74" s="2"/>
      <c r="D74" s="2"/>
      <c r="E74" s="2"/>
      <c r="F74" s="2"/>
      <c r="G74" s="41"/>
      <c r="H74" s="41"/>
      <c r="I74" s="41"/>
      <c r="J74" s="41"/>
      <c r="K74" s="41"/>
      <c r="L74" s="41"/>
      <c r="M74" s="41"/>
      <c r="N74" s="41"/>
      <c r="O74" s="4"/>
      <c r="P74" s="4"/>
      <c r="Q74" s="4"/>
      <c r="R74" s="4"/>
      <c r="S74" s="4"/>
      <c r="T74" s="4"/>
      <c r="U74" s="4"/>
      <c r="V74" s="4"/>
      <c r="W74" s="4"/>
      <c r="X74" s="4"/>
      <c r="Y74" s="4"/>
      <c r="Z74" s="4"/>
    </row>
    <row r="75" ht="15.75" customHeight="1">
      <c r="A75" s="2"/>
      <c r="B75" s="2"/>
      <c r="C75" s="2"/>
      <c r="D75" s="2"/>
      <c r="E75" s="2"/>
      <c r="F75" s="2"/>
      <c r="G75" s="41"/>
      <c r="H75" s="41"/>
      <c r="I75" s="41"/>
      <c r="J75" s="41"/>
      <c r="K75" s="41"/>
      <c r="L75" s="41"/>
      <c r="M75" s="41"/>
      <c r="N75" s="41"/>
      <c r="O75" s="4"/>
      <c r="P75" s="4"/>
      <c r="Q75" s="4"/>
      <c r="R75" s="4"/>
      <c r="S75" s="4"/>
      <c r="T75" s="4"/>
      <c r="U75" s="4"/>
      <c r="V75" s="4"/>
      <c r="W75" s="4"/>
      <c r="X75" s="4"/>
      <c r="Y75" s="4"/>
      <c r="Z75" s="4"/>
    </row>
    <row r="76" ht="15.75" customHeight="1">
      <c r="A76" s="2"/>
      <c r="B76" s="2"/>
      <c r="C76" s="2"/>
      <c r="D76" s="2"/>
      <c r="E76" s="2"/>
      <c r="F76" s="2"/>
      <c r="G76" s="41"/>
      <c r="H76" s="41"/>
      <c r="I76" s="41"/>
      <c r="J76" s="41"/>
      <c r="K76" s="41"/>
      <c r="L76" s="41"/>
      <c r="M76" s="41"/>
      <c r="N76" s="41"/>
      <c r="O76" s="4"/>
      <c r="P76" s="4"/>
      <c r="Q76" s="4"/>
      <c r="R76" s="4"/>
      <c r="S76" s="4"/>
      <c r="T76" s="4"/>
      <c r="U76" s="4"/>
      <c r="V76" s="4"/>
      <c r="W76" s="4"/>
      <c r="X76" s="4"/>
      <c r="Y76" s="4"/>
      <c r="Z76" s="4"/>
    </row>
    <row r="77" ht="15.75" customHeight="1">
      <c r="A77" s="2"/>
      <c r="B77" s="2"/>
      <c r="C77" s="2"/>
      <c r="D77" s="2"/>
      <c r="E77" s="2"/>
      <c r="F77" s="2"/>
      <c r="G77" s="41"/>
      <c r="H77" s="41"/>
      <c r="I77" s="41"/>
      <c r="J77" s="41"/>
      <c r="K77" s="41"/>
      <c r="L77" s="41"/>
      <c r="M77" s="41"/>
      <c r="N77" s="41"/>
      <c r="O77" s="4"/>
      <c r="P77" s="4"/>
      <c r="Q77" s="4"/>
      <c r="R77" s="4"/>
      <c r="S77" s="4"/>
      <c r="T77" s="4"/>
      <c r="U77" s="4"/>
      <c r="V77" s="4"/>
      <c r="W77" s="4"/>
      <c r="X77" s="4"/>
      <c r="Y77" s="4"/>
      <c r="Z77" s="4"/>
    </row>
    <row r="78" ht="15.75" customHeight="1">
      <c r="A78" s="2"/>
      <c r="B78" s="2"/>
      <c r="C78" s="2"/>
      <c r="D78" s="2"/>
      <c r="E78" s="2"/>
      <c r="F78" s="2"/>
      <c r="G78" s="41"/>
      <c r="H78" s="41"/>
      <c r="I78" s="41"/>
      <c r="J78" s="41"/>
      <c r="K78" s="41"/>
      <c r="L78" s="41"/>
      <c r="M78" s="41"/>
      <c r="N78" s="41"/>
      <c r="O78" s="4"/>
      <c r="P78" s="4"/>
      <c r="Q78" s="4"/>
      <c r="R78" s="4"/>
      <c r="S78" s="4"/>
      <c r="T78" s="4"/>
      <c r="U78" s="4"/>
      <c r="V78" s="4"/>
      <c r="W78" s="4"/>
      <c r="X78" s="4"/>
      <c r="Y78" s="4"/>
      <c r="Z78" s="4"/>
    </row>
    <row r="79" ht="15.75" customHeight="1">
      <c r="A79" s="2"/>
      <c r="B79" s="2"/>
      <c r="C79" s="2"/>
      <c r="D79" s="2"/>
      <c r="E79" s="2"/>
      <c r="F79" s="2"/>
      <c r="G79" s="41"/>
      <c r="H79" s="41"/>
      <c r="I79" s="41"/>
      <c r="J79" s="41"/>
      <c r="K79" s="41"/>
      <c r="L79" s="41"/>
      <c r="M79" s="41"/>
      <c r="N79" s="41"/>
      <c r="O79" s="4"/>
      <c r="P79" s="4"/>
      <c r="Q79" s="4"/>
      <c r="R79" s="4"/>
      <c r="S79" s="4"/>
      <c r="T79" s="4"/>
      <c r="U79" s="4"/>
      <c r="V79" s="4"/>
      <c r="W79" s="4"/>
      <c r="X79" s="4"/>
      <c r="Y79" s="4"/>
      <c r="Z79" s="4"/>
    </row>
    <row r="80" ht="15.75" customHeight="1">
      <c r="A80" s="2"/>
      <c r="B80" s="2"/>
      <c r="C80" s="2"/>
      <c r="D80" s="2"/>
      <c r="E80" s="2"/>
      <c r="F80" s="2"/>
      <c r="G80" s="41"/>
      <c r="H80" s="41"/>
      <c r="I80" s="41"/>
      <c r="J80" s="41"/>
      <c r="K80" s="41"/>
      <c r="L80" s="41"/>
      <c r="M80" s="41"/>
      <c r="N80" s="41"/>
      <c r="O80" s="4"/>
      <c r="P80" s="4"/>
      <c r="Q80" s="4"/>
      <c r="R80" s="4"/>
      <c r="S80" s="4"/>
      <c r="T80" s="4"/>
      <c r="U80" s="4"/>
      <c r="V80" s="4"/>
      <c r="W80" s="4"/>
      <c r="X80" s="4"/>
      <c r="Y80" s="4"/>
      <c r="Z80" s="4"/>
    </row>
    <row r="81" ht="15.75" customHeight="1">
      <c r="A81" s="1"/>
      <c r="B81" s="1"/>
      <c r="C81" s="1"/>
      <c r="D81" s="1"/>
      <c r="E81" s="1"/>
      <c r="F81" s="1"/>
      <c r="G81" s="4"/>
      <c r="H81" s="4"/>
      <c r="I81" s="4"/>
      <c r="J81" s="4"/>
      <c r="K81" s="4"/>
      <c r="L81" s="4"/>
      <c r="M81" s="4"/>
      <c r="N81" s="4"/>
      <c r="O81" s="4"/>
      <c r="P81" s="4"/>
      <c r="Q81" s="4"/>
      <c r="R81" s="4"/>
      <c r="S81" s="4"/>
      <c r="T81" s="4"/>
      <c r="U81" s="4"/>
      <c r="V81" s="4"/>
      <c r="W81" s="4"/>
      <c r="X81" s="4"/>
      <c r="Y81" s="4"/>
      <c r="Z81" s="4"/>
    </row>
    <row r="82" ht="15.75" customHeight="1">
      <c r="A82" s="1"/>
      <c r="B82" s="1"/>
      <c r="C82" s="1"/>
      <c r="D82" s="1"/>
      <c r="E82" s="1"/>
      <c r="F82" s="1"/>
      <c r="G82" s="4"/>
      <c r="H82" s="4"/>
      <c r="I82" s="4"/>
      <c r="J82" s="4"/>
      <c r="K82" s="4"/>
      <c r="L82" s="4"/>
      <c r="M82" s="4"/>
      <c r="N82" s="4"/>
      <c r="O82" s="4"/>
      <c r="P82" s="4"/>
      <c r="Q82" s="4"/>
      <c r="R82" s="4"/>
      <c r="S82" s="4"/>
      <c r="T82" s="4"/>
      <c r="U82" s="4"/>
      <c r="V82" s="4"/>
      <c r="W82" s="4"/>
      <c r="X82" s="4"/>
      <c r="Y82" s="4"/>
      <c r="Z82" s="4"/>
    </row>
    <row r="83" ht="15.75" customHeight="1">
      <c r="A83" s="1"/>
      <c r="B83" s="1"/>
      <c r="C83" s="1"/>
      <c r="D83" s="1"/>
      <c r="E83" s="1"/>
      <c r="F83" s="1"/>
      <c r="G83" s="4"/>
      <c r="H83" s="4"/>
      <c r="I83" s="4"/>
      <c r="J83" s="4"/>
      <c r="K83" s="4"/>
      <c r="L83" s="4"/>
      <c r="M83" s="4"/>
      <c r="N83" s="4"/>
      <c r="O83" s="4"/>
      <c r="P83" s="4"/>
      <c r="Q83" s="4"/>
      <c r="R83" s="4"/>
      <c r="S83" s="4"/>
      <c r="T83" s="4"/>
      <c r="U83" s="4"/>
      <c r="V83" s="4"/>
      <c r="W83" s="4"/>
      <c r="X83" s="4"/>
      <c r="Y83" s="4"/>
      <c r="Z83" s="4"/>
    </row>
    <row r="84" ht="15.75" customHeight="1">
      <c r="A84" s="1"/>
      <c r="B84" s="1"/>
      <c r="C84" s="1"/>
      <c r="D84" s="1"/>
      <c r="E84" s="1"/>
      <c r="F84" s="1"/>
      <c r="G84" s="4"/>
      <c r="H84" s="4"/>
      <c r="I84" s="4"/>
      <c r="J84" s="4"/>
      <c r="K84" s="4"/>
      <c r="L84" s="4"/>
      <c r="M84" s="4"/>
      <c r="N84" s="4"/>
      <c r="O84" s="4"/>
      <c r="P84" s="4"/>
      <c r="Q84" s="4"/>
      <c r="R84" s="4"/>
      <c r="S84" s="4"/>
      <c r="T84" s="4"/>
      <c r="U84" s="4"/>
      <c r="V84" s="4"/>
      <c r="W84" s="4"/>
      <c r="X84" s="4"/>
      <c r="Y84" s="4"/>
      <c r="Z84" s="4"/>
    </row>
    <row r="85" ht="15.75" customHeight="1">
      <c r="A85" s="1"/>
      <c r="B85" s="1"/>
      <c r="C85" s="1"/>
      <c r="D85" s="1"/>
      <c r="E85" s="1"/>
      <c r="F85" s="1"/>
      <c r="G85" s="4"/>
      <c r="H85" s="4"/>
      <c r="I85" s="4"/>
      <c r="J85" s="4"/>
      <c r="K85" s="4"/>
      <c r="L85" s="4"/>
      <c r="M85" s="4"/>
      <c r="N85" s="4"/>
      <c r="O85" s="4"/>
      <c r="P85" s="4"/>
      <c r="Q85" s="4"/>
      <c r="R85" s="4"/>
      <c r="S85" s="4"/>
      <c r="T85" s="4"/>
      <c r="U85" s="4"/>
      <c r="V85" s="4"/>
      <c r="W85" s="4"/>
      <c r="X85" s="4"/>
      <c r="Y85" s="4"/>
      <c r="Z85" s="4"/>
    </row>
    <row r="86" ht="15.75" customHeight="1">
      <c r="A86" s="1"/>
      <c r="B86" s="1"/>
      <c r="C86" s="1"/>
      <c r="D86" s="1"/>
      <c r="E86" s="1"/>
      <c r="F86" s="1"/>
      <c r="G86" s="4"/>
      <c r="H86" s="4"/>
      <c r="I86" s="4"/>
      <c r="J86" s="4"/>
      <c r="K86" s="4"/>
      <c r="L86" s="4"/>
      <c r="M86" s="4"/>
      <c r="N86" s="4"/>
      <c r="O86" s="4"/>
      <c r="P86" s="4"/>
      <c r="Q86" s="4"/>
      <c r="R86" s="4"/>
      <c r="S86" s="4"/>
      <c r="T86" s="4"/>
      <c r="U86" s="4"/>
      <c r="V86" s="4"/>
      <c r="W86" s="4"/>
      <c r="X86" s="4"/>
      <c r="Y86" s="4"/>
      <c r="Z86" s="4"/>
    </row>
    <row r="87" ht="15.75" customHeight="1">
      <c r="A87" s="1"/>
      <c r="B87" s="1"/>
      <c r="C87" s="1"/>
      <c r="D87" s="1"/>
      <c r="E87" s="1"/>
      <c r="F87" s="1"/>
      <c r="G87" s="4"/>
      <c r="H87" s="4"/>
      <c r="I87" s="4"/>
      <c r="J87" s="4"/>
      <c r="K87" s="4"/>
      <c r="L87" s="4"/>
      <c r="M87" s="4"/>
      <c r="N87" s="4"/>
      <c r="O87" s="4"/>
      <c r="P87" s="4"/>
      <c r="Q87" s="4"/>
      <c r="R87" s="4"/>
      <c r="S87" s="4"/>
      <c r="T87" s="4"/>
      <c r="U87" s="4"/>
      <c r="V87" s="4"/>
      <c r="W87" s="4"/>
      <c r="X87" s="4"/>
      <c r="Y87" s="4"/>
      <c r="Z87" s="4"/>
    </row>
    <row r="88" ht="15.75" customHeight="1">
      <c r="A88" s="1"/>
      <c r="B88" s="1"/>
      <c r="C88" s="1"/>
      <c r="D88" s="1"/>
      <c r="E88" s="1"/>
      <c r="F88" s="1"/>
      <c r="G88" s="4"/>
      <c r="H88" s="4"/>
      <c r="I88" s="4"/>
      <c r="J88" s="4"/>
      <c r="K88" s="4"/>
      <c r="L88" s="4"/>
      <c r="M88" s="4"/>
      <c r="N88" s="4"/>
      <c r="O88" s="4"/>
      <c r="P88" s="4"/>
      <c r="Q88" s="4"/>
      <c r="R88" s="4"/>
      <c r="S88" s="4"/>
      <c r="T88" s="4"/>
      <c r="U88" s="4"/>
      <c r="V88" s="4"/>
      <c r="W88" s="4"/>
      <c r="X88" s="4"/>
      <c r="Y88" s="4"/>
      <c r="Z88" s="4"/>
    </row>
    <row r="89" ht="15.75" customHeight="1">
      <c r="A89" s="1"/>
      <c r="B89" s="1"/>
      <c r="C89" s="1"/>
      <c r="D89" s="1"/>
      <c r="E89" s="1"/>
      <c r="F89" s="1"/>
      <c r="G89" s="4"/>
      <c r="H89" s="4"/>
      <c r="I89" s="4"/>
      <c r="J89" s="4"/>
      <c r="K89" s="4"/>
      <c r="L89" s="4"/>
      <c r="M89" s="4"/>
      <c r="N89" s="4"/>
      <c r="O89" s="4"/>
      <c r="P89" s="4"/>
      <c r="Q89" s="4"/>
      <c r="R89" s="4"/>
      <c r="S89" s="4"/>
      <c r="T89" s="4"/>
      <c r="U89" s="4"/>
      <c r="V89" s="4"/>
      <c r="W89" s="4"/>
      <c r="X89" s="4"/>
      <c r="Y89" s="4"/>
      <c r="Z89" s="4"/>
    </row>
    <row r="90" ht="15.75" customHeight="1">
      <c r="A90" s="1"/>
      <c r="B90" s="1"/>
      <c r="C90" s="1"/>
      <c r="D90" s="1"/>
      <c r="E90" s="1"/>
      <c r="F90" s="1"/>
      <c r="G90" s="4"/>
      <c r="H90" s="4"/>
      <c r="I90" s="4"/>
      <c r="J90" s="4"/>
      <c r="K90" s="4"/>
      <c r="L90" s="4"/>
      <c r="M90" s="4"/>
      <c r="N90" s="4"/>
      <c r="O90" s="4"/>
      <c r="P90" s="4"/>
      <c r="Q90" s="4"/>
      <c r="R90" s="4"/>
      <c r="S90" s="4"/>
      <c r="T90" s="4"/>
      <c r="U90" s="4"/>
      <c r="V90" s="4"/>
      <c r="W90" s="4"/>
      <c r="X90" s="4"/>
      <c r="Y90" s="4"/>
      <c r="Z90" s="4"/>
    </row>
    <row r="91" ht="15.75" customHeight="1">
      <c r="A91" s="1"/>
      <c r="B91" s="1"/>
      <c r="C91" s="1"/>
      <c r="D91" s="1"/>
      <c r="E91" s="1"/>
      <c r="F91" s="1"/>
      <c r="G91" s="4"/>
      <c r="H91" s="4"/>
      <c r="I91" s="4"/>
      <c r="J91" s="4"/>
      <c r="K91" s="4"/>
      <c r="L91" s="4"/>
      <c r="M91" s="4"/>
      <c r="N91" s="4"/>
      <c r="O91" s="4"/>
      <c r="P91" s="4"/>
      <c r="Q91" s="4"/>
      <c r="R91" s="4"/>
      <c r="S91" s="4"/>
      <c r="T91" s="4"/>
      <c r="U91" s="4"/>
      <c r="V91" s="4"/>
      <c r="W91" s="4"/>
      <c r="X91" s="4"/>
      <c r="Y91" s="4"/>
      <c r="Z91" s="4"/>
    </row>
    <row r="92" ht="15.75" customHeight="1">
      <c r="A92" s="1"/>
      <c r="B92" s="1"/>
      <c r="C92" s="1"/>
      <c r="D92" s="1"/>
      <c r="E92" s="1"/>
      <c r="F92" s="1"/>
      <c r="G92" s="4"/>
      <c r="H92" s="4"/>
      <c r="I92" s="4"/>
      <c r="J92" s="4"/>
      <c r="K92" s="4"/>
      <c r="L92" s="4"/>
      <c r="M92" s="4"/>
      <c r="N92" s="4"/>
      <c r="O92" s="4"/>
      <c r="P92" s="4"/>
      <c r="Q92" s="4"/>
      <c r="R92" s="4"/>
      <c r="S92" s="4"/>
      <c r="T92" s="4"/>
      <c r="U92" s="4"/>
      <c r="V92" s="4"/>
      <c r="W92" s="4"/>
      <c r="X92" s="4"/>
      <c r="Y92" s="4"/>
      <c r="Z92" s="4"/>
    </row>
    <row r="93" ht="15.75" customHeight="1">
      <c r="A93" s="1"/>
      <c r="B93" s="1"/>
      <c r="C93" s="1"/>
      <c r="D93" s="1"/>
      <c r="E93" s="1"/>
      <c r="F93" s="1"/>
      <c r="G93" s="4"/>
      <c r="H93" s="4"/>
      <c r="I93" s="4"/>
      <c r="J93" s="4"/>
      <c r="K93" s="4"/>
      <c r="L93" s="4"/>
      <c r="M93" s="4"/>
      <c r="N93" s="4"/>
      <c r="O93" s="4"/>
      <c r="P93" s="4"/>
      <c r="Q93" s="4"/>
      <c r="R93" s="4"/>
      <c r="S93" s="4"/>
      <c r="T93" s="4"/>
      <c r="U93" s="4"/>
      <c r="V93" s="4"/>
      <c r="W93" s="4"/>
      <c r="X93" s="4"/>
      <c r="Y93" s="4"/>
      <c r="Z93" s="4"/>
    </row>
    <row r="94" ht="15.75" customHeight="1">
      <c r="A94" s="1"/>
      <c r="B94" s="1"/>
      <c r="C94" s="1"/>
      <c r="D94" s="1"/>
      <c r="E94" s="1"/>
      <c r="F94" s="1"/>
      <c r="G94" s="4"/>
      <c r="H94" s="4"/>
      <c r="I94" s="4"/>
      <c r="J94" s="4"/>
      <c r="K94" s="4"/>
      <c r="L94" s="4"/>
      <c r="M94" s="4"/>
      <c r="N94" s="4"/>
      <c r="O94" s="4"/>
      <c r="P94" s="4"/>
      <c r="Q94" s="4"/>
      <c r="R94" s="4"/>
      <c r="S94" s="4"/>
      <c r="T94" s="4"/>
      <c r="U94" s="4"/>
      <c r="V94" s="4"/>
      <c r="W94" s="4"/>
      <c r="X94" s="4"/>
      <c r="Y94" s="4"/>
      <c r="Z94" s="4"/>
    </row>
    <row r="95" ht="15.75" customHeight="1">
      <c r="A95" s="1"/>
      <c r="B95" s="1"/>
      <c r="C95" s="1"/>
      <c r="D95" s="1"/>
      <c r="E95" s="1"/>
      <c r="F95" s="1"/>
      <c r="G95" s="4"/>
      <c r="H95" s="4"/>
      <c r="I95" s="4"/>
      <c r="J95" s="4"/>
      <c r="K95" s="4"/>
      <c r="L95" s="4"/>
      <c r="M95" s="4"/>
      <c r="N95" s="4"/>
      <c r="O95" s="4"/>
      <c r="P95" s="4"/>
      <c r="Q95" s="4"/>
      <c r="R95" s="4"/>
      <c r="S95" s="4"/>
      <c r="T95" s="4"/>
      <c r="U95" s="4"/>
      <c r="V95" s="4"/>
      <c r="W95" s="4"/>
      <c r="X95" s="4"/>
      <c r="Y95" s="4"/>
      <c r="Z95" s="4"/>
    </row>
    <row r="96" ht="15.75" customHeight="1">
      <c r="A96" s="1"/>
      <c r="B96" s="1"/>
      <c r="C96" s="1"/>
      <c r="D96" s="1"/>
      <c r="E96" s="1"/>
      <c r="F96" s="1"/>
      <c r="G96" s="4"/>
      <c r="H96" s="4"/>
      <c r="I96" s="4"/>
      <c r="J96" s="4"/>
      <c r="K96" s="4"/>
      <c r="L96" s="4"/>
      <c r="M96" s="4"/>
      <c r="N96" s="4"/>
      <c r="O96" s="4"/>
      <c r="P96" s="4"/>
      <c r="Q96" s="4"/>
      <c r="R96" s="4"/>
      <c r="S96" s="4"/>
      <c r="T96" s="4"/>
      <c r="U96" s="4"/>
      <c r="V96" s="4"/>
      <c r="W96" s="4"/>
      <c r="X96" s="4"/>
      <c r="Y96" s="4"/>
      <c r="Z96" s="4"/>
    </row>
    <row r="97" ht="15.75" customHeight="1">
      <c r="A97" s="1"/>
      <c r="B97" s="1"/>
      <c r="C97" s="1"/>
      <c r="D97" s="1"/>
      <c r="E97" s="1"/>
      <c r="F97" s="1"/>
      <c r="G97" s="4"/>
      <c r="H97" s="4"/>
      <c r="I97" s="4"/>
      <c r="J97" s="4"/>
      <c r="K97" s="4"/>
      <c r="L97" s="4"/>
      <c r="M97" s="4"/>
      <c r="N97" s="4"/>
      <c r="O97" s="4"/>
      <c r="P97" s="4"/>
      <c r="Q97" s="4"/>
      <c r="R97" s="4"/>
      <c r="S97" s="4"/>
      <c r="T97" s="4"/>
      <c r="U97" s="4"/>
      <c r="V97" s="4"/>
      <c r="W97" s="4"/>
      <c r="X97" s="4"/>
      <c r="Y97" s="4"/>
      <c r="Z97" s="4"/>
    </row>
    <row r="98" ht="15.75" customHeight="1">
      <c r="A98" s="1"/>
      <c r="B98" s="1"/>
      <c r="C98" s="1"/>
      <c r="D98" s="1"/>
      <c r="E98" s="1"/>
      <c r="F98" s="1"/>
      <c r="G98" s="4"/>
      <c r="H98" s="4"/>
      <c r="I98" s="4"/>
      <c r="J98" s="4"/>
      <c r="K98" s="4"/>
      <c r="L98" s="4"/>
      <c r="M98" s="4"/>
      <c r="N98" s="4"/>
      <c r="O98" s="4"/>
      <c r="P98" s="4"/>
      <c r="Q98" s="4"/>
      <c r="R98" s="4"/>
      <c r="S98" s="4"/>
      <c r="T98" s="4"/>
      <c r="U98" s="4"/>
      <c r="V98" s="4"/>
      <c r="W98" s="4"/>
      <c r="X98" s="4"/>
      <c r="Y98" s="4"/>
      <c r="Z98" s="4"/>
    </row>
    <row r="99" ht="15.75" customHeight="1">
      <c r="A99" s="1"/>
      <c r="B99" s="1"/>
      <c r="C99" s="1"/>
      <c r="D99" s="1"/>
      <c r="E99" s="1"/>
      <c r="F99" s="1"/>
      <c r="G99" s="4"/>
      <c r="H99" s="4"/>
      <c r="I99" s="4"/>
      <c r="J99" s="4"/>
      <c r="K99" s="4"/>
      <c r="L99" s="4"/>
      <c r="M99" s="4"/>
      <c r="N99" s="4"/>
      <c r="O99" s="4"/>
      <c r="P99" s="4"/>
      <c r="Q99" s="4"/>
      <c r="R99" s="4"/>
      <c r="S99" s="4"/>
      <c r="T99" s="4"/>
      <c r="U99" s="4"/>
      <c r="V99" s="4"/>
      <c r="W99" s="4"/>
      <c r="X99" s="4"/>
      <c r="Y99" s="4"/>
      <c r="Z99" s="4"/>
    </row>
    <row r="100" ht="15.75" customHeight="1">
      <c r="A100" s="1"/>
      <c r="B100" s="1"/>
      <c r="C100" s="1"/>
      <c r="D100" s="1"/>
      <c r="E100" s="1"/>
      <c r="F100" s="1"/>
      <c r="G100" s="4"/>
      <c r="H100" s="4"/>
      <c r="I100" s="4"/>
      <c r="J100" s="4"/>
      <c r="K100" s="4"/>
      <c r="L100" s="4"/>
      <c r="M100" s="4"/>
      <c r="N100" s="4"/>
      <c r="O100" s="4"/>
      <c r="P100" s="4"/>
      <c r="Q100" s="4"/>
      <c r="R100" s="4"/>
      <c r="S100" s="4"/>
      <c r="T100" s="4"/>
      <c r="U100" s="4"/>
      <c r="V100" s="4"/>
      <c r="W100" s="4"/>
      <c r="X100" s="4"/>
      <c r="Y100" s="4"/>
      <c r="Z100" s="4"/>
    </row>
    <row r="101" ht="15.75" customHeight="1">
      <c r="A101" s="1"/>
      <c r="B101" s="1"/>
      <c r="C101" s="1"/>
      <c r="D101" s="1"/>
      <c r="E101" s="1"/>
      <c r="F101" s="1"/>
      <c r="G101" s="4"/>
      <c r="H101" s="4"/>
      <c r="I101" s="4"/>
      <c r="J101" s="4"/>
      <c r="K101" s="4"/>
      <c r="L101" s="4"/>
      <c r="M101" s="4"/>
      <c r="N101" s="4"/>
      <c r="O101" s="4"/>
      <c r="P101" s="4"/>
      <c r="Q101" s="4"/>
      <c r="R101" s="4"/>
      <c r="S101" s="4"/>
      <c r="T101" s="4"/>
      <c r="U101" s="4"/>
      <c r="V101" s="4"/>
      <c r="W101" s="4"/>
      <c r="X101" s="4"/>
      <c r="Y101" s="4"/>
      <c r="Z101" s="4"/>
    </row>
    <row r="102" ht="15.75" customHeight="1">
      <c r="A102" s="1"/>
      <c r="B102" s="1"/>
      <c r="C102" s="1"/>
      <c r="D102" s="1"/>
      <c r="E102" s="1"/>
      <c r="F102" s="1"/>
      <c r="G102" s="4"/>
      <c r="H102" s="4"/>
      <c r="I102" s="4"/>
      <c r="J102" s="4"/>
      <c r="K102" s="4"/>
      <c r="L102" s="4"/>
      <c r="M102" s="4"/>
      <c r="N102" s="4"/>
      <c r="O102" s="4"/>
      <c r="P102" s="4"/>
      <c r="Q102" s="4"/>
      <c r="R102" s="4"/>
      <c r="S102" s="4"/>
      <c r="T102" s="4"/>
      <c r="U102" s="4"/>
      <c r="V102" s="4"/>
      <c r="W102" s="4"/>
      <c r="X102" s="4"/>
      <c r="Y102" s="4"/>
      <c r="Z102" s="4"/>
    </row>
    <row r="103" ht="15.75" customHeight="1">
      <c r="A103" s="1"/>
      <c r="B103" s="1"/>
      <c r="C103" s="1"/>
      <c r="D103" s="1"/>
      <c r="E103" s="1"/>
      <c r="F103" s="1"/>
      <c r="G103" s="4"/>
      <c r="H103" s="4"/>
      <c r="I103" s="4"/>
      <c r="J103" s="4"/>
      <c r="K103" s="4"/>
      <c r="L103" s="4"/>
      <c r="M103" s="4"/>
      <c r="N103" s="4"/>
      <c r="O103" s="4"/>
      <c r="P103" s="4"/>
      <c r="Q103" s="4"/>
      <c r="R103" s="4"/>
      <c r="S103" s="4"/>
      <c r="T103" s="4"/>
      <c r="U103" s="4"/>
      <c r="V103" s="4"/>
      <c r="W103" s="4"/>
      <c r="X103" s="4"/>
      <c r="Y103" s="4"/>
      <c r="Z103" s="4"/>
    </row>
    <row r="104" ht="15.75" customHeight="1">
      <c r="A104" s="1"/>
      <c r="B104" s="1"/>
      <c r="C104" s="1"/>
      <c r="D104" s="1"/>
      <c r="E104" s="1"/>
      <c r="F104" s="1"/>
      <c r="G104" s="4"/>
      <c r="H104" s="4"/>
      <c r="I104" s="4"/>
      <c r="J104" s="4"/>
      <c r="K104" s="4"/>
      <c r="L104" s="4"/>
      <c r="M104" s="4"/>
      <c r="N104" s="4"/>
      <c r="O104" s="4"/>
      <c r="P104" s="4"/>
      <c r="Q104" s="4"/>
      <c r="R104" s="4"/>
      <c r="S104" s="4"/>
      <c r="T104" s="4"/>
      <c r="U104" s="4"/>
      <c r="V104" s="4"/>
      <c r="W104" s="4"/>
      <c r="X104" s="4"/>
      <c r="Y104" s="4"/>
      <c r="Z104" s="4"/>
    </row>
    <row r="105" ht="15.75" customHeight="1">
      <c r="A105" s="1"/>
      <c r="B105" s="1"/>
      <c r="C105" s="1"/>
      <c r="D105" s="1"/>
      <c r="E105" s="1"/>
      <c r="F105" s="1"/>
      <c r="G105" s="4"/>
      <c r="H105" s="4"/>
      <c r="I105" s="4"/>
      <c r="J105" s="4"/>
      <c r="K105" s="4"/>
      <c r="L105" s="4"/>
      <c r="M105" s="4"/>
      <c r="N105" s="4"/>
      <c r="O105" s="4"/>
      <c r="P105" s="4"/>
      <c r="Q105" s="4"/>
      <c r="R105" s="4"/>
      <c r="S105" s="4"/>
      <c r="T105" s="4"/>
      <c r="U105" s="4"/>
      <c r="V105" s="4"/>
      <c r="W105" s="4"/>
      <c r="X105" s="4"/>
      <c r="Y105" s="4"/>
      <c r="Z105" s="4"/>
    </row>
    <row r="106" ht="15.75" customHeight="1">
      <c r="A106" s="1"/>
      <c r="B106" s="1"/>
      <c r="C106" s="1"/>
      <c r="D106" s="1"/>
      <c r="E106" s="1"/>
      <c r="F106" s="1"/>
      <c r="G106" s="4"/>
      <c r="H106" s="4"/>
      <c r="I106" s="4"/>
      <c r="J106" s="4"/>
      <c r="K106" s="4"/>
      <c r="L106" s="4"/>
      <c r="M106" s="4"/>
      <c r="N106" s="4"/>
      <c r="O106" s="4"/>
      <c r="P106" s="4"/>
      <c r="Q106" s="4"/>
      <c r="R106" s="4"/>
      <c r="S106" s="4"/>
      <c r="T106" s="4"/>
      <c r="U106" s="4"/>
      <c r="V106" s="4"/>
      <c r="W106" s="4"/>
      <c r="X106" s="4"/>
      <c r="Y106" s="4"/>
      <c r="Z106" s="4"/>
    </row>
    <row r="107" ht="15.75" customHeight="1">
      <c r="A107" s="1"/>
      <c r="B107" s="1"/>
      <c r="C107" s="1"/>
      <c r="D107" s="1"/>
      <c r="E107" s="1"/>
      <c r="F107" s="1"/>
      <c r="G107" s="4"/>
      <c r="H107" s="4"/>
      <c r="I107" s="4"/>
      <c r="J107" s="4"/>
      <c r="K107" s="4"/>
      <c r="L107" s="4"/>
      <c r="M107" s="4"/>
      <c r="N107" s="4"/>
      <c r="O107" s="4"/>
      <c r="P107" s="4"/>
      <c r="Q107" s="4"/>
      <c r="R107" s="4"/>
      <c r="S107" s="4"/>
      <c r="T107" s="4"/>
      <c r="U107" s="4"/>
      <c r="V107" s="4"/>
      <c r="W107" s="4"/>
      <c r="X107" s="4"/>
      <c r="Y107" s="4"/>
      <c r="Z107" s="4"/>
    </row>
    <row r="108" ht="15.75" customHeight="1">
      <c r="A108" s="1"/>
      <c r="B108" s="1"/>
      <c r="C108" s="1"/>
      <c r="D108" s="1"/>
      <c r="E108" s="1"/>
      <c r="F108" s="1"/>
      <c r="G108" s="4"/>
      <c r="H108" s="4"/>
      <c r="I108" s="4"/>
      <c r="J108" s="4"/>
      <c r="K108" s="4"/>
      <c r="L108" s="4"/>
      <c r="M108" s="4"/>
      <c r="N108" s="4"/>
      <c r="O108" s="4"/>
      <c r="P108" s="4"/>
      <c r="Q108" s="4"/>
      <c r="R108" s="4"/>
      <c r="S108" s="4"/>
      <c r="T108" s="4"/>
      <c r="U108" s="4"/>
      <c r="V108" s="4"/>
      <c r="W108" s="4"/>
      <c r="X108" s="4"/>
      <c r="Y108" s="4"/>
      <c r="Z108" s="4"/>
    </row>
    <row r="109" ht="15.75" customHeight="1">
      <c r="A109" s="1"/>
      <c r="B109" s="1"/>
      <c r="C109" s="1"/>
      <c r="D109" s="1"/>
      <c r="E109" s="1"/>
      <c r="F109" s="1"/>
      <c r="G109" s="4"/>
      <c r="H109" s="4"/>
      <c r="I109" s="4"/>
      <c r="J109" s="4"/>
      <c r="K109" s="4"/>
      <c r="L109" s="4"/>
      <c r="M109" s="4"/>
      <c r="N109" s="4"/>
      <c r="O109" s="4"/>
      <c r="P109" s="4"/>
      <c r="Q109" s="4"/>
      <c r="R109" s="4"/>
      <c r="S109" s="4"/>
      <c r="T109" s="4"/>
      <c r="U109" s="4"/>
      <c r="V109" s="4"/>
      <c r="W109" s="4"/>
      <c r="X109" s="4"/>
      <c r="Y109" s="4"/>
      <c r="Z109" s="4"/>
    </row>
    <row r="110" ht="15.75" customHeight="1">
      <c r="A110" s="1"/>
      <c r="B110" s="1"/>
      <c r="C110" s="1"/>
      <c r="D110" s="1"/>
      <c r="E110" s="1"/>
      <c r="F110" s="1"/>
      <c r="G110" s="4"/>
      <c r="H110" s="4"/>
      <c r="I110" s="4"/>
      <c r="J110" s="4"/>
      <c r="K110" s="4"/>
      <c r="L110" s="4"/>
      <c r="M110" s="4"/>
      <c r="N110" s="4"/>
      <c r="O110" s="4"/>
      <c r="P110" s="4"/>
      <c r="Q110" s="4"/>
      <c r="R110" s="4"/>
      <c r="S110" s="4"/>
      <c r="T110" s="4"/>
      <c r="U110" s="4"/>
      <c r="V110" s="4"/>
      <c r="W110" s="4"/>
      <c r="X110" s="4"/>
      <c r="Y110" s="4"/>
      <c r="Z110" s="4"/>
    </row>
    <row r="111" ht="15.75" customHeight="1">
      <c r="A111" s="1"/>
      <c r="B111" s="1"/>
      <c r="C111" s="1"/>
      <c r="D111" s="1"/>
      <c r="E111" s="1"/>
      <c r="F111" s="1"/>
      <c r="G111" s="4"/>
      <c r="H111" s="4"/>
      <c r="I111" s="4"/>
      <c r="J111" s="4"/>
      <c r="K111" s="4"/>
      <c r="L111" s="4"/>
      <c r="M111" s="4"/>
      <c r="N111" s="4"/>
      <c r="O111" s="4"/>
      <c r="P111" s="4"/>
      <c r="Q111" s="4"/>
      <c r="R111" s="4"/>
      <c r="S111" s="4"/>
      <c r="T111" s="4"/>
      <c r="U111" s="4"/>
      <c r="V111" s="4"/>
      <c r="W111" s="4"/>
      <c r="X111" s="4"/>
      <c r="Y111" s="4"/>
      <c r="Z111" s="4"/>
    </row>
    <row r="112" ht="15.75" customHeight="1">
      <c r="A112" s="1"/>
      <c r="B112" s="1"/>
      <c r="C112" s="1"/>
      <c r="D112" s="1"/>
      <c r="E112" s="1"/>
      <c r="F112" s="1"/>
      <c r="G112" s="4"/>
      <c r="H112" s="4"/>
      <c r="I112" s="4"/>
      <c r="J112" s="4"/>
      <c r="K112" s="4"/>
      <c r="L112" s="4"/>
      <c r="M112" s="4"/>
      <c r="N112" s="4"/>
      <c r="O112" s="4"/>
      <c r="P112" s="4"/>
      <c r="Q112" s="4"/>
      <c r="R112" s="4"/>
      <c r="S112" s="4"/>
      <c r="T112" s="4"/>
      <c r="U112" s="4"/>
      <c r="V112" s="4"/>
      <c r="W112" s="4"/>
      <c r="X112" s="4"/>
      <c r="Y112" s="4"/>
      <c r="Z112" s="4"/>
    </row>
    <row r="113" ht="15.75" customHeight="1">
      <c r="A113" s="1"/>
      <c r="B113" s="1"/>
      <c r="C113" s="1"/>
      <c r="D113" s="1"/>
      <c r="E113" s="1"/>
      <c r="F113" s="1"/>
      <c r="G113" s="4"/>
      <c r="H113" s="4"/>
      <c r="I113" s="4"/>
      <c r="J113" s="4"/>
      <c r="K113" s="4"/>
      <c r="L113" s="4"/>
      <c r="M113" s="4"/>
      <c r="N113" s="4"/>
      <c r="O113" s="4"/>
      <c r="P113" s="4"/>
      <c r="Q113" s="4"/>
      <c r="R113" s="4"/>
      <c r="S113" s="4"/>
      <c r="T113" s="4"/>
      <c r="U113" s="4"/>
      <c r="V113" s="4"/>
      <c r="W113" s="4"/>
      <c r="X113" s="4"/>
      <c r="Y113" s="4"/>
      <c r="Z113" s="4"/>
    </row>
    <row r="114" ht="15.75" customHeight="1">
      <c r="A114" s="1"/>
      <c r="B114" s="1"/>
      <c r="C114" s="1"/>
      <c r="D114" s="1"/>
      <c r="E114" s="1"/>
      <c r="F114" s="1"/>
      <c r="G114" s="4"/>
      <c r="H114" s="4"/>
      <c r="I114" s="4"/>
      <c r="J114" s="4"/>
      <c r="K114" s="4"/>
      <c r="L114" s="4"/>
      <c r="M114" s="4"/>
      <c r="N114" s="4"/>
      <c r="O114" s="4"/>
      <c r="P114" s="4"/>
      <c r="Q114" s="4"/>
      <c r="R114" s="4"/>
      <c r="S114" s="4"/>
      <c r="T114" s="4"/>
      <c r="U114" s="4"/>
      <c r="V114" s="4"/>
      <c r="W114" s="4"/>
      <c r="X114" s="4"/>
      <c r="Y114" s="4"/>
      <c r="Z114" s="4"/>
    </row>
    <row r="115" ht="15.75" customHeight="1">
      <c r="A115" s="1"/>
      <c r="B115" s="1"/>
      <c r="C115" s="1"/>
      <c r="D115" s="1"/>
      <c r="E115" s="1"/>
      <c r="F115" s="1"/>
      <c r="G115" s="4"/>
      <c r="H115" s="4"/>
      <c r="I115" s="4"/>
      <c r="J115" s="4"/>
      <c r="K115" s="4"/>
      <c r="L115" s="4"/>
      <c r="M115" s="4"/>
      <c r="N115" s="4"/>
      <c r="O115" s="4"/>
      <c r="P115" s="4"/>
      <c r="Q115" s="4"/>
      <c r="R115" s="4"/>
      <c r="S115" s="4"/>
      <c r="T115" s="4"/>
      <c r="U115" s="4"/>
      <c r="V115" s="4"/>
      <c r="W115" s="4"/>
      <c r="X115" s="4"/>
      <c r="Y115" s="4"/>
      <c r="Z115" s="4"/>
    </row>
    <row r="116" ht="15.75" customHeight="1">
      <c r="A116" s="1"/>
      <c r="B116" s="1"/>
      <c r="C116" s="1"/>
      <c r="D116" s="1"/>
      <c r="E116" s="1"/>
      <c r="F116" s="1"/>
      <c r="G116" s="4"/>
      <c r="H116" s="4"/>
      <c r="I116" s="4"/>
      <c r="J116" s="4"/>
      <c r="K116" s="4"/>
      <c r="L116" s="4"/>
      <c r="M116" s="4"/>
      <c r="N116" s="4"/>
      <c r="O116" s="4"/>
      <c r="P116" s="4"/>
      <c r="Q116" s="4"/>
      <c r="R116" s="4"/>
      <c r="S116" s="4"/>
      <c r="T116" s="4"/>
      <c r="U116" s="4"/>
      <c r="V116" s="4"/>
      <c r="W116" s="4"/>
      <c r="X116" s="4"/>
      <c r="Y116" s="4"/>
      <c r="Z116" s="4"/>
    </row>
    <row r="117" ht="15.75" customHeight="1">
      <c r="A117" s="1"/>
      <c r="B117" s="1"/>
      <c r="C117" s="1"/>
      <c r="D117" s="1"/>
      <c r="E117" s="1"/>
      <c r="F117" s="1"/>
      <c r="G117" s="4"/>
      <c r="H117" s="4"/>
      <c r="I117" s="4"/>
      <c r="J117" s="4"/>
      <c r="K117" s="4"/>
      <c r="L117" s="4"/>
      <c r="M117" s="4"/>
      <c r="N117" s="4"/>
      <c r="O117" s="4"/>
      <c r="P117" s="4"/>
      <c r="Q117" s="4"/>
      <c r="R117" s="4"/>
      <c r="S117" s="4"/>
      <c r="T117" s="4"/>
      <c r="U117" s="4"/>
      <c r="V117" s="4"/>
      <c r="W117" s="4"/>
      <c r="X117" s="4"/>
      <c r="Y117" s="4"/>
      <c r="Z117" s="4"/>
    </row>
    <row r="118" ht="15.75" customHeight="1">
      <c r="A118" s="1"/>
      <c r="B118" s="1"/>
      <c r="C118" s="1"/>
      <c r="D118" s="1"/>
      <c r="E118" s="1"/>
      <c r="F118" s="1"/>
      <c r="G118" s="4"/>
      <c r="H118" s="4"/>
      <c r="I118" s="4"/>
      <c r="J118" s="4"/>
      <c r="K118" s="4"/>
      <c r="L118" s="4"/>
      <c r="M118" s="4"/>
      <c r="N118" s="4"/>
      <c r="O118" s="4"/>
      <c r="P118" s="4"/>
      <c r="Q118" s="4"/>
      <c r="R118" s="4"/>
      <c r="S118" s="4"/>
      <c r="T118" s="4"/>
      <c r="U118" s="4"/>
      <c r="V118" s="4"/>
      <c r="W118" s="4"/>
      <c r="X118" s="4"/>
      <c r="Y118" s="4"/>
      <c r="Z118" s="4"/>
    </row>
    <row r="119" ht="15.75" customHeight="1">
      <c r="A119" s="1"/>
      <c r="B119" s="1"/>
      <c r="C119" s="1"/>
      <c r="D119" s="1"/>
      <c r="E119" s="1"/>
      <c r="F119" s="1"/>
      <c r="G119" s="4"/>
      <c r="H119" s="4"/>
      <c r="I119" s="4"/>
      <c r="J119" s="4"/>
      <c r="K119" s="4"/>
      <c r="L119" s="4"/>
      <c r="M119" s="4"/>
      <c r="N119" s="4"/>
      <c r="O119" s="4"/>
      <c r="P119" s="4"/>
      <c r="Q119" s="4"/>
      <c r="R119" s="4"/>
      <c r="S119" s="4"/>
      <c r="T119" s="4"/>
      <c r="U119" s="4"/>
      <c r="V119" s="4"/>
      <c r="W119" s="4"/>
      <c r="X119" s="4"/>
      <c r="Y119" s="4"/>
      <c r="Z119" s="4"/>
    </row>
    <row r="120" ht="15.75" customHeight="1">
      <c r="A120" s="1"/>
      <c r="B120" s="1"/>
      <c r="C120" s="1"/>
      <c r="D120" s="1"/>
      <c r="E120" s="1"/>
      <c r="F120" s="1"/>
      <c r="G120" s="4"/>
      <c r="H120" s="4"/>
      <c r="I120" s="4"/>
      <c r="J120" s="4"/>
      <c r="K120" s="4"/>
      <c r="L120" s="4"/>
      <c r="M120" s="4"/>
      <c r="N120" s="4"/>
      <c r="O120" s="4"/>
      <c r="P120" s="4"/>
      <c r="Q120" s="4"/>
      <c r="R120" s="4"/>
      <c r="S120" s="4"/>
      <c r="T120" s="4"/>
      <c r="U120" s="4"/>
      <c r="V120" s="4"/>
      <c r="W120" s="4"/>
      <c r="X120" s="4"/>
      <c r="Y120" s="4"/>
      <c r="Z120" s="4"/>
    </row>
    <row r="121" ht="15.75" customHeight="1">
      <c r="A121" s="1"/>
      <c r="B121" s="1"/>
      <c r="C121" s="1"/>
      <c r="D121" s="1"/>
      <c r="E121" s="1"/>
      <c r="F121" s="1"/>
      <c r="G121" s="4"/>
      <c r="H121" s="4"/>
      <c r="I121" s="4"/>
      <c r="J121" s="4"/>
      <c r="K121" s="4"/>
      <c r="L121" s="4"/>
      <c r="M121" s="4"/>
      <c r="N121" s="4"/>
      <c r="O121" s="4"/>
      <c r="P121" s="4"/>
      <c r="Q121" s="4"/>
      <c r="R121" s="4"/>
      <c r="S121" s="4"/>
      <c r="T121" s="4"/>
      <c r="U121" s="4"/>
      <c r="V121" s="4"/>
      <c r="W121" s="4"/>
      <c r="X121" s="4"/>
      <c r="Y121" s="4"/>
      <c r="Z121" s="4"/>
    </row>
    <row r="122" ht="15.75" customHeight="1">
      <c r="A122" s="1"/>
      <c r="B122" s="1"/>
      <c r="C122" s="1"/>
      <c r="D122" s="1"/>
      <c r="E122" s="1"/>
      <c r="F122" s="1"/>
      <c r="G122" s="4"/>
      <c r="H122" s="4"/>
      <c r="I122" s="4"/>
      <c r="J122" s="4"/>
      <c r="K122" s="4"/>
      <c r="L122" s="4"/>
      <c r="M122" s="4"/>
      <c r="N122" s="4"/>
      <c r="O122" s="4"/>
      <c r="P122" s="4"/>
      <c r="Q122" s="4"/>
      <c r="R122" s="4"/>
      <c r="S122" s="4"/>
      <c r="T122" s="4"/>
      <c r="U122" s="4"/>
      <c r="V122" s="4"/>
      <c r="W122" s="4"/>
      <c r="X122" s="4"/>
      <c r="Y122" s="4"/>
      <c r="Z122" s="4"/>
    </row>
    <row r="123" ht="15.75" customHeight="1">
      <c r="A123" s="1"/>
      <c r="B123" s="1"/>
      <c r="C123" s="1"/>
      <c r="D123" s="1"/>
      <c r="E123" s="1"/>
      <c r="F123" s="1"/>
      <c r="G123" s="4"/>
      <c r="H123" s="4"/>
      <c r="I123" s="4"/>
      <c r="J123" s="4"/>
      <c r="K123" s="4"/>
      <c r="L123" s="4"/>
      <c r="M123" s="4"/>
      <c r="N123" s="4"/>
      <c r="O123" s="4"/>
      <c r="P123" s="4"/>
      <c r="Q123" s="4"/>
      <c r="R123" s="4"/>
      <c r="S123" s="4"/>
      <c r="T123" s="4"/>
      <c r="U123" s="4"/>
      <c r="V123" s="4"/>
      <c r="W123" s="4"/>
      <c r="X123" s="4"/>
      <c r="Y123" s="4"/>
      <c r="Z123" s="4"/>
    </row>
    <row r="124" ht="15.75" customHeight="1">
      <c r="A124" s="1"/>
      <c r="B124" s="1"/>
      <c r="C124" s="1"/>
      <c r="D124" s="1"/>
      <c r="E124" s="1"/>
      <c r="F124" s="1"/>
      <c r="G124" s="4"/>
      <c r="H124" s="4"/>
      <c r="I124" s="4"/>
      <c r="J124" s="4"/>
      <c r="K124" s="4"/>
      <c r="L124" s="4"/>
      <c r="M124" s="4"/>
      <c r="N124" s="4"/>
      <c r="O124" s="4"/>
      <c r="P124" s="4"/>
      <c r="Q124" s="4"/>
      <c r="R124" s="4"/>
      <c r="S124" s="4"/>
      <c r="T124" s="4"/>
      <c r="U124" s="4"/>
      <c r="V124" s="4"/>
      <c r="W124" s="4"/>
      <c r="X124" s="4"/>
      <c r="Y124" s="4"/>
      <c r="Z124" s="4"/>
    </row>
    <row r="125" ht="15.75" customHeight="1">
      <c r="A125" s="1"/>
      <c r="B125" s="1"/>
      <c r="C125" s="1"/>
      <c r="D125" s="1"/>
      <c r="E125" s="1"/>
      <c r="F125" s="1"/>
      <c r="G125" s="4"/>
      <c r="H125" s="4"/>
      <c r="I125" s="4"/>
      <c r="J125" s="4"/>
      <c r="K125" s="4"/>
      <c r="L125" s="4"/>
      <c r="M125" s="4"/>
      <c r="N125" s="4"/>
      <c r="O125" s="4"/>
      <c r="P125" s="4"/>
      <c r="Q125" s="4"/>
      <c r="R125" s="4"/>
      <c r="S125" s="4"/>
      <c r="T125" s="4"/>
      <c r="U125" s="4"/>
      <c r="V125" s="4"/>
      <c r="W125" s="4"/>
      <c r="X125" s="4"/>
      <c r="Y125" s="4"/>
      <c r="Z125" s="4"/>
    </row>
    <row r="126" ht="15.75" customHeight="1">
      <c r="A126" s="1"/>
      <c r="B126" s="1"/>
      <c r="C126" s="1"/>
      <c r="D126" s="1"/>
      <c r="E126" s="1"/>
      <c r="F126" s="1"/>
      <c r="G126" s="4"/>
      <c r="H126" s="4"/>
      <c r="I126" s="4"/>
      <c r="J126" s="4"/>
      <c r="K126" s="4"/>
      <c r="L126" s="4"/>
      <c r="M126" s="4"/>
      <c r="N126" s="4"/>
      <c r="O126" s="4"/>
      <c r="P126" s="4"/>
      <c r="Q126" s="4"/>
      <c r="R126" s="4"/>
      <c r="S126" s="4"/>
      <c r="T126" s="4"/>
      <c r="U126" s="4"/>
      <c r="V126" s="4"/>
      <c r="W126" s="4"/>
      <c r="X126" s="4"/>
      <c r="Y126" s="4"/>
      <c r="Z126" s="4"/>
    </row>
    <row r="127" ht="15.75" customHeight="1">
      <c r="A127" s="1"/>
      <c r="B127" s="1"/>
      <c r="C127" s="1"/>
      <c r="D127" s="1"/>
      <c r="E127" s="1"/>
      <c r="F127" s="1"/>
      <c r="G127" s="4"/>
      <c r="H127" s="4"/>
      <c r="I127" s="4"/>
      <c r="J127" s="4"/>
      <c r="K127" s="4"/>
      <c r="L127" s="4"/>
      <c r="M127" s="4"/>
      <c r="N127" s="4"/>
      <c r="O127" s="4"/>
      <c r="P127" s="4"/>
      <c r="Q127" s="4"/>
      <c r="R127" s="4"/>
      <c r="S127" s="4"/>
      <c r="T127" s="4"/>
      <c r="U127" s="4"/>
      <c r="V127" s="4"/>
      <c r="W127" s="4"/>
      <c r="X127" s="4"/>
      <c r="Y127" s="4"/>
      <c r="Z127" s="4"/>
    </row>
    <row r="128" ht="15.75" customHeight="1">
      <c r="A128" s="1"/>
      <c r="B128" s="1"/>
      <c r="C128" s="1"/>
      <c r="D128" s="1"/>
      <c r="E128" s="1"/>
      <c r="F128" s="1"/>
      <c r="G128" s="4"/>
      <c r="H128" s="4"/>
      <c r="I128" s="4"/>
      <c r="J128" s="4"/>
      <c r="K128" s="4"/>
      <c r="L128" s="4"/>
      <c r="M128" s="4"/>
      <c r="N128" s="4"/>
      <c r="O128" s="4"/>
      <c r="P128" s="4"/>
      <c r="Q128" s="4"/>
      <c r="R128" s="4"/>
      <c r="S128" s="4"/>
      <c r="T128" s="4"/>
      <c r="U128" s="4"/>
      <c r="V128" s="4"/>
      <c r="W128" s="4"/>
      <c r="X128" s="4"/>
      <c r="Y128" s="4"/>
      <c r="Z128" s="4"/>
    </row>
    <row r="129" ht="15.75" customHeight="1">
      <c r="A129" s="1"/>
      <c r="B129" s="1"/>
      <c r="C129" s="1"/>
      <c r="D129" s="1"/>
      <c r="E129" s="1"/>
      <c r="F129" s="1"/>
      <c r="G129" s="4"/>
      <c r="H129" s="4"/>
      <c r="I129" s="4"/>
      <c r="J129" s="4"/>
      <c r="K129" s="4"/>
      <c r="L129" s="4"/>
      <c r="M129" s="4"/>
      <c r="N129" s="4"/>
      <c r="O129" s="4"/>
      <c r="P129" s="4"/>
      <c r="Q129" s="4"/>
      <c r="R129" s="4"/>
      <c r="S129" s="4"/>
      <c r="T129" s="4"/>
      <c r="U129" s="4"/>
      <c r="V129" s="4"/>
      <c r="W129" s="4"/>
      <c r="X129" s="4"/>
      <c r="Y129" s="4"/>
      <c r="Z129" s="4"/>
    </row>
    <row r="130" ht="15.75" customHeight="1">
      <c r="A130" s="1"/>
      <c r="B130" s="1"/>
      <c r="C130" s="1"/>
      <c r="D130" s="1"/>
      <c r="E130" s="1"/>
      <c r="F130" s="1"/>
      <c r="G130" s="4"/>
      <c r="H130" s="4"/>
      <c r="I130" s="4"/>
      <c r="J130" s="4"/>
      <c r="K130" s="4"/>
      <c r="L130" s="4"/>
      <c r="M130" s="4"/>
      <c r="N130" s="4"/>
      <c r="O130" s="4"/>
      <c r="P130" s="4"/>
      <c r="Q130" s="4"/>
      <c r="R130" s="4"/>
      <c r="S130" s="4"/>
      <c r="T130" s="4"/>
      <c r="U130" s="4"/>
      <c r="V130" s="4"/>
      <c r="W130" s="4"/>
      <c r="X130" s="4"/>
      <c r="Y130" s="4"/>
      <c r="Z130" s="4"/>
    </row>
    <row r="131" ht="15.75" customHeight="1">
      <c r="A131" s="1"/>
      <c r="B131" s="1"/>
      <c r="C131" s="1"/>
      <c r="D131" s="1"/>
      <c r="E131" s="1"/>
      <c r="F131" s="1"/>
      <c r="G131" s="4"/>
      <c r="H131" s="4"/>
      <c r="I131" s="4"/>
      <c r="J131" s="4"/>
      <c r="K131" s="4"/>
      <c r="L131" s="4"/>
      <c r="M131" s="4"/>
      <c r="N131" s="4"/>
      <c r="O131" s="4"/>
      <c r="P131" s="4"/>
      <c r="Q131" s="4"/>
      <c r="R131" s="4"/>
      <c r="S131" s="4"/>
      <c r="T131" s="4"/>
      <c r="U131" s="4"/>
      <c r="V131" s="4"/>
      <c r="W131" s="4"/>
      <c r="X131" s="4"/>
      <c r="Y131" s="4"/>
      <c r="Z131" s="4"/>
    </row>
    <row r="132" ht="15.75" customHeight="1">
      <c r="A132" s="1"/>
      <c r="B132" s="1"/>
      <c r="C132" s="1"/>
      <c r="D132" s="1"/>
      <c r="E132" s="1"/>
      <c r="F132" s="1"/>
      <c r="G132" s="4"/>
      <c r="H132" s="4"/>
      <c r="I132" s="4"/>
      <c r="J132" s="4"/>
      <c r="K132" s="4"/>
      <c r="L132" s="4"/>
      <c r="M132" s="4"/>
      <c r="N132" s="4"/>
      <c r="O132" s="4"/>
      <c r="P132" s="4"/>
      <c r="Q132" s="4"/>
      <c r="R132" s="4"/>
      <c r="S132" s="4"/>
      <c r="T132" s="4"/>
      <c r="U132" s="4"/>
      <c r="V132" s="4"/>
      <c r="W132" s="4"/>
      <c r="X132" s="4"/>
      <c r="Y132" s="4"/>
      <c r="Z132" s="4"/>
    </row>
    <row r="133" ht="15.75" customHeight="1">
      <c r="A133" s="1"/>
      <c r="B133" s="1"/>
      <c r="C133" s="1"/>
      <c r="D133" s="1"/>
      <c r="E133" s="1"/>
      <c r="F133" s="1"/>
      <c r="G133" s="4"/>
      <c r="H133" s="4"/>
      <c r="I133" s="4"/>
      <c r="J133" s="4"/>
      <c r="K133" s="4"/>
      <c r="L133" s="4"/>
      <c r="M133" s="4"/>
      <c r="N133" s="4"/>
      <c r="O133" s="4"/>
      <c r="P133" s="4"/>
      <c r="Q133" s="4"/>
      <c r="R133" s="4"/>
      <c r="S133" s="4"/>
      <c r="T133" s="4"/>
      <c r="U133" s="4"/>
      <c r="V133" s="4"/>
      <c r="W133" s="4"/>
      <c r="X133" s="4"/>
      <c r="Y133" s="4"/>
      <c r="Z133" s="4"/>
    </row>
    <row r="134" ht="15.75" customHeight="1">
      <c r="A134" s="1"/>
      <c r="B134" s="1"/>
      <c r="C134" s="1"/>
      <c r="D134" s="1"/>
      <c r="E134" s="1"/>
      <c r="F134" s="1"/>
      <c r="G134" s="4"/>
      <c r="H134" s="4"/>
      <c r="I134" s="4"/>
      <c r="J134" s="4"/>
      <c r="K134" s="4"/>
      <c r="L134" s="4"/>
      <c r="M134" s="4"/>
      <c r="N134" s="4"/>
      <c r="O134" s="4"/>
      <c r="P134" s="4"/>
      <c r="Q134" s="4"/>
      <c r="R134" s="4"/>
      <c r="S134" s="4"/>
      <c r="T134" s="4"/>
      <c r="U134" s="4"/>
      <c r="V134" s="4"/>
      <c r="W134" s="4"/>
      <c r="X134" s="4"/>
      <c r="Y134" s="4"/>
      <c r="Z134" s="4"/>
    </row>
    <row r="135" ht="15.75" customHeight="1">
      <c r="A135" s="1"/>
      <c r="B135" s="1"/>
      <c r="C135" s="1"/>
      <c r="D135" s="1"/>
      <c r="E135" s="1"/>
      <c r="F135" s="1"/>
      <c r="G135" s="4"/>
      <c r="H135" s="4"/>
      <c r="I135" s="4"/>
      <c r="J135" s="4"/>
      <c r="K135" s="4"/>
      <c r="L135" s="4"/>
      <c r="M135" s="4"/>
      <c r="N135" s="4"/>
      <c r="O135" s="4"/>
      <c r="P135" s="4"/>
      <c r="Q135" s="4"/>
      <c r="R135" s="4"/>
      <c r="S135" s="4"/>
      <c r="T135" s="4"/>
      <c r="U135" s="4"/>
      <c r="V135" s="4"/>
      <c r="W135" s="4"/>
      <c r="X135" s="4"/>
      <c r="Y135" s="4"/>
      <c r="Z135" s="4"/>
    </row>
    <row r="136" ht="15.75" customHeight="1">
      <c r="A136" s="1"/>
      <c r="B136" s="1"/>
      <c r="C136" s="1"/>
      <c r="D136" s="1"/>
      <c r="E136" s="1"/>
      <c r="F136" s="1"/>
      <c r="G136" s="4"/>
      <c r="H136" s="4"/>
      <c r="I136" s="4"/>
      <c r="J136" s="4"/>
      <c r="K136" s="4"/>
      <c r="L136" s="4"/>
      <c r="M136" s="4"/>
      <c r="N136" s="4"/>
      <c r="O136" s="4"/>
      <c r="P136" s="4"/>
      <c r="Q136" s="4"/>
      <c r="R136" s="4"/>
      <c r="S136" s="4"/>
      <c r="T136" s="4"/>
      <c r="U136" s="4"/>
      <c r="V136" s="4"/>
      <c r="W136" s="4"/>
      <c r="X136" s="4"/>
      <c r="Y136" s="4"/>
      <c r="Z136" s="4"/>
    </row>
    <row r="137" ht="15.75" customHeight="1">
      <c r="A137" s="1"/>
      <c r="B137" s="1"/>
      <c r="C137" s="1"/>
      <c r="D137" s="1"/>
      <c r="E137" s="1"/>
      <c r="F137" s="1"/>
      <c r="G137" s="4"/>
      <c r="H137" s="4"/>
      <c r="I137" s="4"/>
      <c r="J137" s="4"/>
      <c r="K137" s="4"/>
      <c r="L137" s="4"/>
      <c r="M137" s="4"/>
      <c r="N137" s="4"/>
      <c r="O137" s="4"/>
      <c r="P137" s="4"/>
      <c r="Q137" s="4"/>
      <c r="R137" s="4"/>
      <c r="S137" s="4"/>
      <c r="T137" s="4"/>
      <c r="U137" s="4"/>
      <c r="V137" s="4"/>
      <c r="W137" s="4"/>
      <c r="X137" s="4"/>
      <c r="Y137" s="4"/>
      <c r="Z137" s="4"/>
    </row>
    <row r="138" ht="15.75" customHeight="1">
      <c r="A138" s="1"/>
      <c r="B138" s="1"/>
      <c r="C138" s="1"/>
      <c r="D138" s="1"/>
      <c r="E138" s="1"/>
      <c r="F138" s="1"/>
      <c r="G138" s="4"/>
      <c r="H138" s="4"/>
      <c r="I138" s="4"/>
      <c r="J138" s="4"/>
      <c r="K138" s="4"/>
      <c r="L138" s="4"/>
      <c r="M138" s="4"/>
      <c r="N138" s="4"/>
      <c r="O138" s="4"/>
      <c r="P138" s="4"/>
      <c r="Q138" s="4"/>
      <c r="R138" s="4"/>
      <c r="S138" s="4"/>
      <c r="T138" s="4"/>
      <c r="U138" s="4"/>
      <c r="V138" s="4"/>
      <c r="W138" s="4"/>
      <c r="X138" s="4"/>
      <c r="Y138" s="4"/>
      <c r="Z138" s="4"/>
    </row>
    <row r="139" ht="15.75" customHeight="1">
      <c r="A139" s="1"/>
      <c r="B139" s="1"/>
      <c r="C139" s="1"/>
      <c r="D139" s="1"/>
      <c r="E139" s="1"/>
      <c r="F139" s="1"/>
      <c r="G139" s="4"/>
      <c r="H139" s="4"/>
      <c r="I139" s="4"/>
      <c r="J139" s="4"/>
      <c r="K139" s="4"/>
      <c r="L139" s="4"/>
      <c r="M139" s="4"/>
      <c r="N139" s="4"/>
      <c r="O139" s="4"/>
      <c r="P139" s="4"/>
      <c r="Q139" s="4"/>
      <c r="R139" s="4"/>
      <c r="S139" s="4"/>
      <c r="T139" s="4"/>
      <c r="U139" s="4"/>
      <c r="V139" s="4"/>
      <c r="W139" s="4"/>
      <c r="X139" s="4"/>
      <c r="Y139" s="4"/>
      <c r="Z139" s="4"/>
    </row>
    <row r="140" ht="15.75" customHeight="1">
      <c r="A140" s="1"/>
      <c r="B140" s="1"/>
      <c r="C140" s="1"/>
      <c r="D140" s="1"/>
      <c r="E140" s="1"/>
      <c r="F140" s="1"/>
      <c r="G140" s="4"/>
      <c r="H140" s="4"/>
      <c r="I140" s="4"/>
      <c r="J140" s="4"/>
      <c r="K140" s="4"/>
      <c r="L140" s="4"/>
      <c r="M140" s="4"/>
      <c r="N140" s="4"/>
      <c r="O140" s="4"/>
      <c r="P140" s="4"/>
      <c r="Q140" s="4"/>
      <c r="R140" s="4"/>
      <c r="S140" s="4"/>
      <c r="T140" s="4"/>
      <c r="U140" s="4"/>
      <c r="V140" s="4"/>
      <c r="W140" s="4"/>
      <c r="X140" s="4"/>
      <c r="Y140" s="4"/>
      <c r="Z140" s="4"/>
    </row>
    <row r="141" ht="15.75" customHeight="1">
      <c r="A141" s="1"/>
      <c r="B141" s="1"/>
      <c r="C141" s="1"/>
      <c r="D141" s="1"/>
      <c r="E141" s="1"/>
      <c r="F141" s="1"/>
      <c r="G141" s="4"/>
      <c r="H141" s="4"/>
      <c r="I141" s="4"/>
      <c r="J141" s="4"/>
      <c r="K141" s="4"/>
      <c r="L141" s="4"/>
      <c r="M141" s="4"/>
      <c r="N141" s="4"/>
      <c r="O141" s="4"/>
      <c r="P141" s="4"/>
      <c r="Q141" s="4"/>
      <c r="R141" s="4"/>
      <c r="S141" s="4"/>
      <c r="T141" s="4"/>
      <c r="U141" s="4"/>
      <c r="V141" s="4"/>
      <c r="W141" s="4"/>
      <c r="X141" s="4"/>
      <c r="Y141" s="4"/>
      <c r="Z141" s="4"/>
    </row>
    <row r="142" ht="15.75" customHeight="1">
      <c r="A142" s="1"/>
      <c r="B142" s="1"/>
      <c r="C142" s="1"/>
      <c r="D142" s="1"/>
      <c r="E142" s="1"/>
      <c r="F142" s="1"/>
      <c r="G142" s="4"/>
      <c r="H142" s="4"/>
      <c r="I142" s="4"/>
      <c r="J142" s="4"/>
      <c r="K142" s="4"/>
      <c r="L142" s="4"/>
      <c r="M142" s="4"/>
      <c r="N142" s="4"/>
      <c r="O142" s="4"/>
      <c r="P142" s="4"/>
      <c r="Q142" s="4"/>
      <c r="R142" s="4"/>
      <c r="S142" s="4"/>
      <c r="T142" s="4"/>
      <c r="U142" s="4"/>
      <c r="V142" s="4"/>
      <c r="W142" s="4"/>
      <c r="X142" s="4"/>
      <c r="Y142" s="4"/>
      <c r="Z142" s="4"/>
    </row>
    <row r="143" ht="15.75" customHeight="1">
      <c r="A143" s="1"/>
      <c r="B143" s="1"/>
      <c r="C143" s="1"/>
      <c r="D143" s="1"/>
      <c r="E143" s="1"/>
      <c r="F143" s="1"/>
      <c r="G143" s="4"/>
      <c r="H143" s="4"/>
      <c r="I143" s="4"/>
      <c r="J143" s="4"/>
      <c r="K143" s="4"/>
      <c r="L143" s="4"/>
      <c r="M143" s="4"/>
      <c r="N143" s="4"/>
      <c r="O143" s="4"/>
      <c r="P143" s="4"/>
      <c r="Q143" s="4"/>
      <c r="R143" s="4"/>
      <c r="S143" s="4"/>
      <c r="T143" s="4"/>
      <c r="U143" s="4"/>
      <c r="V143" s="4"/>
      <c r="W143" s="4"/>
      <c r="X143" s="4"/>
      <c r="Y143" s="4"/>
      <c r="Z143" s="4"/>
    </row>
    <row r="144" ht="15.75" customHeight="1">
      <c r="A144" s="1"/>
      <c r="B144" s="1"/>
      <c r="C144" s="1"/>
      <c r="D144" s="1"/>
      <c r="E144" s="1"/>
      <c r="F144" s="1"/>
      <c r="G144" s="4"/>
      <c r="H144" s="4"/>
      <c r="I144" s="4"/>
      <c r="J144" s="4"/>
      <c r="K144" s="4"/>
      <c r="L144" s="4"/>
      <c r="M144" s="4"/>
      <c r="N144" s="4"/>
      <c r="O144" s="4"/>
      <c r="P144" s="4"/>
      <c r="Q144" s="4"/>
      <c r="R144" s="4"/>
      <c r="S144" s="4"/>
      <c r="T144" s="4"/>
      <c r="U144" s="4"/>
      <c r="V144" s="4"/>
      <c r="W144" s="4"/>
      <c r="X144" s="4"/>
      <c r="Y144" s="4"/>
      <c r="Z144" s="4"/>
    </row>
    <row r="145" ht="15.75" customHeight="1">
      <c r="A145" s="1"/>
      <c r="B145" s="1"/>
      <c r="C145" s="1"/>
      <c r="D145" s="1"/>
      <c r="E145" s="1"/>
      <c r="F145" s="1"/>
      <c r="G145" s="4"/>
      <c r="H145" s="4"/>
      <c r="I145" s="4"/>
      <c r="J145" s="4"/>
      <c r="K145" s="4"/>
      <c r="L145" s="4"/>
      <c r="M145" s="4"/>
      <c r="N145" s="4"/>
      <c r="O145" s="4"/>
      <c r="P145" s="4"/>
      <c r="Q145" s="4"/>
      <c r="R145" s="4"/>
      <c r="S145" s="4"/>
      <c r="T145" s="4"/>
      <c r="U145" s="4"/>
      <c r="V145" s="4"/>
      <c r="W145" s="4"/>
      <c r="X145" s="4"/>
      <c r="Y145" s="4"/>
      <c r="Z145" s="4"/>
    </row>
    <row r="146" ht="15.75" customHeight="1">
      <c r="A146" s="1"/>
      <c r="B146" s="1"/>
      <c r="C146" s="1"/>
      <c r="D146" s="1"/>
      <c r="E146" s="1"/>
      <c r="F146" s="1"/>
      <c r="G146" s="4"/>
      <c r="H146" s="4"/>
      <c r="I146" s="4"/>
      <c r="J146" s="4"/>
      <c r="K146" s="4"/>
      <c r="L146" s="4"/>
      <c r="M146" s="4"/>
      <c r="N146" s="4"/>
      <c r="O146" s="4"/>
      <c r="P146" s="4"/>
      <c r="Q146" s="4"/>
      <c r="R146" s="4"/>
      <c r="S146" s="4"/>
      <c r="T146" s="4"/>
      <c r="U146" s="4"/>
      <c r="V146" s="4"/>
      <c r="W146" s="4"/>
      <c r="X146" s="4"/>
      <c r="Y146" s="4"/>
      <c r="Z146" s="4"/>
    </row>
    <row r="147" ht="15.75" customHeight="1">
      <c r="A147" s="1"/>
      <c r="B147" s="1"/>
      <c r="C147" s="1"/>
      <c r="D147" s="1"/>
      <c r="E147" s="1"/>
      <c r="F147" s="1"/>
      <c r="G147" s="4"/>
      <c r="H147" s="4"/>
      <c r="I147" s="4"/>
      <c r="J147" s="4"/>
      <c r="K147" s="4"/>
      <c r="L147" s="4"/>
      <c r="M147" s="4"/>
      <c r="N147" s="4"/>
      <c r="O147" s="4"/>
      <c r="P147" s="4"/>
      <c r="Q147" s="4"/>
      <c r="R147" s="4"/>
      <c r="S147" s="4"/>
      <c r="T147" s="4"/>
      <c r="U147" s="4"/>
      <c r="V147" s="4"/>
      <c r="W147" s="4"/>
      <c r="X147" s="4"/>
      <c r="Y147" s="4"/>
      <c r="Z147" s="4"/>
    </row>
    <row r="148" ht="15.75" customHeight="1">
      <c r="A148" s="1"/>
      <c r="B148" s="1"/>
      <c r="C148" s="1"/>
      <c r="D148" s="1"/>
      <c r="E148" s="1"/>
      <c r="F148" s="1"/>
      <c r="G148" s="4"/>
      <c r="H148" s="4"/>
      <c r="I148" s="4"/>
      <c r="J148" s="4"/>
      <c r="K148" s="4"/>
      <c r="L148" s="4"/>
      <c r="M148" s="4"/>
      <c r="N148" s="4"/>
      <c r="O148" s="4"/>
      <c r="P148" s="4"/>
      <c r="Q148" s="4"/>
      <c r="R148" s="4"/>
      <c r="S148" s="4"/>
      <c r="T148" s="4"/>
      <c r="U148" s="4"/>
      <c r="V148" s="4"/>
      <c r="W148" s="4"/>
      <c r="X148" s="4"/>
      <c r="Y148" s="4"/>
      <c r="Z148" s="4"/>
    </row>
    <row r="149" ht="15.75" customHeight="1">
      <c r="A149" s="1"/>
      <c r="B149" s="1"/>
      <c r="C149" s="1"/>
      <c r="D149" s="1"/>
      <c r="E149" s="1"/>
      <c r="F149" s="1"/>
      <c r="G149" s="4"/>
      <c r="H149" s="4"/>
      <c r="I149" s="4"/>
      <c r="J149" s="4"/>
      <c r="K149" s="4"/>
      <c r="L149" s="4"/>
      <c r="M149" s="4"/>
      <c r="N149" s="4"/>
      <c r="O149" s="4"/>
      <c r="P149" s="4"/>
      <c r="Q149" s="4"/>
      <c r="R149" s="4"/>
      <c r="S149" s="4"/>
      <c r="T149" s="4"/>
      <c r="U149" s="4"/>
      <c r="V149" s="4"/>
      <c r="W149" s="4"/>
      <c r="X149" s="4"/>
      <c r="Y149" s="4"/>
      <c r="Z149" s="4"/>
    </row>
    <row r="150" ht="15.75" customHeight="1">
      <c r="A150" s="1"/>
      <c r="B150" s="1"/>
      <c r="C150" s="1"/>
      <c r="D150" s="1"/>
      <c r="E150" s="1"/>
      <c r="F150" s="1"/>
      <c r="G150" s="4"/>
      <c r="H150" s="4"/>
      <c r="I150" s="4"/>
      <c r="J150" s="4"/>
      <c r="K150" s="4"/>
      <c r="L150" s="4"/>
      <c r="M150" s="4"/>
      <c r="N150" s="4"/>
      <c r="O150" s="4"/>
      <c r="P150" s="4"/>
      <c r="Q150" s="4"/>
      <c r="R150" s="4"/>
      <c r="S150" s="4"/>
      <c r="T150" s="4"/>
      <c r="U150" s="4"/>
      <c r="V150" s="4"/>
      <c r="W150" s="4"/>
      <c r="X150" s="4"/>
      <c r="Y150" s="4"/>
      <c r="Z150" s="4"/>
    </row>
    <row r="151" ht="15.75" customHeight="1">
      <c r="A151" s="1"/>
      <c r="B151" s="1"/>
      <c r="C151" s="1"/>
      <c r="D151" s="1"/>
      <c r="E151" s="1"/>
      <c r="F151" s="1"/>
      <c r="G151" s="4"/>
      <c r="H151" s="4"/>
      <c r="I151" s="4"/>
      <c r="J151" s="4"/>
      <c r="K151" s="4"/>
      <c r="L151" s="4"/>
      <c r="M151" s="4"/>
      <c r="N151" s="4"/>
      <c r="O151" s="4"/>
      <c r="P151" s="4"/>
      <c r="Q151" s="4"/>
      <c r="R151" s="4"/>
      <c r="S151" s="4"/>
      <c r="T151" s="4"/>
      <c r="U151" s="4"/>
      <c r="V151" s="4"/>
      <c r="W151" s="4"/>
      <c r="X151" s="4"/>
      <c r="Y151" s="4"/>
      <c r="Z151" s="4"/>
    </row>
    <row r="152" ht="15.75" customHeight="1">
      <c r="A152" s="1"/>
      <c r="B152" s="1"/>
      <c r="C152" s="1"/>
      <c r="D152" s="1"/>
      <c r="E152" s="1"/>
      <c r="F152" s="1"/>
      <c r="G152" s="4"/>
      <c r="H152" s="4"/>
      <c r="I152" s="4"/>
      <c r="J152" s="4"/>
      <c r="K152" s="4"/>
      <c r="L152" s="4"/>
      <c r="M152" s="4"/>
      <c r="N152" s="4"/>
      <c r="O152" s="4"/>
      <c r="P152" s="4"/>
      <c r="Q152" s="4"/>
      <c r="R152" s="4"/>
      <c r="S152" s="4"/>
      <c r="T152" s="4"/>
      <c r="U152" s="4"/>
      <c r="V152" s="4"/>
      <c r="W152" s="4"/>
      <c r="X152" s="4"/>
      <c r="Y152" s="4"/>
      <c r="Z152" s="4"/>
    </row>
    <row r="153" ht="15.75" customHeight="1">
      <c r="A153" s="1"/>
      <c r="B153" s="1"/>
      <c r="C153" s="1"/>
      <c r="D153" s="1"/>
      <c r="E153" s="1"/>
      <c r="F153" s="1"/>
      <c r="G153" s="4"/>
      <c r="H153" s="4"/>
      <c r="I153" s="4"/>
      <c r="J153" s="4"/>
      <c r="K153" s="4"/>
      <c r="L153" s="4"/>
      <c r="M153" s="4"/>
      <c r="N153" s="4"/>
      <c r="O153" s="4"/>
      <c r="P153" s="4"/>
      <c r="Q153" s="4"/>
      <c r="R153" s="4"/>
      <c r="S153" s="4"/>
      <c r="T153" s="4"/>
      <c r="U153" s="4"/>
      <c r="V153" s="4"/>
      <c r="W153" s="4"/>
      <c r="X153" s="4"/>
      <c r="Y153" s="4"/>
      <c r="Z153" s="4"/>
    </row>
    <row r="154" ht="15.75" customHeight="1">
      <c r="A154" s="1"/>
      <c r="B154" s="1"/>
      <c r="C154" s="1"/>
      <c r="D154" s="1"/>
      <c r="E154" s="1"/>
      <c r="F154" s="1"/>
      <c r="G154" s="4"/>
      <c r="H154" s="4"/>
      <c r="I154" s="4"/>
      <c r="J154" s="4"/>
      <c r="K154" s="4"/>
      <c r="L154" s="4"/>
      <c r="M154" s="4"/>
      <c r="N154" s="4"/>
      <c r="O154" s="4"/>
      <c r="P154" s="4"/>
      <c r="Q154" s="4"/>
      <c r="R154" s="4"/>
      <c r="S154" s="4"/>
      <c r="T154" s="4"/>
      <c r="U154" s="4"/>
      <c r="V154" s="4"/>
      <c r="W154" s="4"/>
      <c r="X154" s="4"/>
      <c r="Y154" s="4"/>
      <c r="Z154" s="4"/>
    </row>
    <row r="155" ht="15.75" customHeight="1">
      <c r="A155" s="1"/>
      <c r="B155" s="1"/>
      <c r="C155" s="1"/>
      <c r="D155" s="1"/>
      <c r="E155" s="1"/>
      <c r="F155" s="1"/>
      <c r="G155" s="4"/>
      <c r="H155" s="4"/>
      <c r="I155" s="4"/>
      <c r="J155" s="4"/>
      <c r="K155" s="4"/>
      <c r="L155" s="4"/>
      <c r="M155" s="4"/>
      <c r="N155" s="4"/>
      <c r="O155" s="4"/>
      <c r="P155" s="4"/>
      <c r="Q155" s="4"/>
      <c r="R155" s="4"/>
      <c r="S155" s="4"/>
      <c r="T155" s="4"/>
      <c r="U155" s="4"/>
      <c r="V155" s="4"/>
      <c r="W155" s="4"/>
      <c r="X155" s="4"/>
      <c r="Y155" s="4"/>
      <c r="Z155" s="4"/>
    </row>
    <row r="156" ht="15.75" customHeight="1">
      <c r="A156" s="1"/>
      <c r="B156" s="1"/>
      <c r="C156" s="1"/>
      <c r="D156" s="1"/>
      <c r="E156" s="1"/>
      <c r="F156" s="1"/>
      <c r="G156" s="4"/>
      <c r="H156" s="4"/>
      <c r="I156" s="4"/>
      <c r="J156" s="4"/>
      <c r="K156" s="4"/>
      <c r="L156" s="4"/>
      <c r="M156" s="4"/>
      <c r="N156" s="4"/>
      <c r="O156" s="4"/>
      <c r="P156" s="4"/>
      <c r="Q156" s="4"/>
      <c r="R156" s="4"/>
      <c r="S156" s="4"/>
      <c r="T156" s="4"/>
      <c r="U156" s="4"/>
      <c r="V156" s="4"/>
      <c r="W156" s="4"/>
      <c r="X156" s="4"/>
      <c r="Y156" s="4"/>
      <c r="Z156" s="4"/>
    </row>
    <row r="157" ht="15.75" customHeight="1">
      <c r="A157" s="1"/>
      <c r="B157" s="1"/>
      <c r="C157" s="1"/>
      <c r="D157" s="1"/>
      <c r="E157" s="1"/>
      <c r="F157" s="1"/>
      <c r="G157" s="4"/>
      <c r="H157" s="4"/>
      <c r="I157" s="4"/>
      <c r="J157" s="4"/>
      <c r="K157" s="4"/>
      <c r="L157" s="4"/>
      <c r="M157" s="4"/>
      <c r="N157" s="4"/>
      <c r="O157" s="4"/>
      <c r="P157" s="4"/>
      <c r="Q157" s="4"/>
      <c r="R157" s="4"/>
      <c r="S157" s="4"/>
      <c r="T157" s="4"/>
      <c r="U157" s="4"/>
      <c r="V157" s="4"/>
      <c r="W157" s="4"/>
      <c r="X157" s="4"/>
      <c r="Y157" s="4"/>
      <c r="Z157" s="4"/>
    </row>
    <row r="158" ht="15.75" customHeight="1">
      <c r="A158" s="1"/>
      <c r="B158" s="1"/>
      <c r="C158" s="1"/>
      <c r="D158" s="1"/>
      <c r="E158" s="1"/>
      <c r="F158" s="1"/>
      <c r="G158" s="4"/>
      <c r="H158" s="4"/>
      <c r="I158" s="4"/>
      <c r="J158" s="4"/>
      <c r="K158" s="4"/>
      <c r="L158" s="4"/>
      <c r="M158" s="4"/>
      <c r="N158" s="4"/>
      <c r="O158" s="4"/>
      <c r="P158" s="4"/>
      <c r="Q158" s="4"/>
      <c r="R158" s="4"/>
      <c r="S158" s="4"/>
      <c r="T158" s="4"/>
      <c r="U158" s="4"/>
      <c r="V158" s="4"/>
      <c r="W158" s="4"/>
      <c r="X158" s="4"/>
      <c r="Y158" s="4"/>
      <c r="Z158" s="4"/>
    </row>
    <row r="159" ht="15.75" customHeight="1">
      <c r="A159" s="1"/>
      <c r="B159" s="1"/>
      <c r="C159" s="1"/>
      <c r="D159" s="1"/>
      <c r="E159" s="1"/>
      <c r="F159" s="1"/>
      <c r="G159" s="4"/>
      <c r="H159" s="4"/>
      <c r="I159" s="4"/>
      <c r="J159" s="4"/>
      <c r="K159" s="4"/>
      <c r="L159" s="4"/>
      <c r="M159" s="4"/>
      <c r="N159" s="4"/>
      <c r="O159" s="4"/>
      <c r="P159" s="4"/>
      <c r="Q159" s="4"/>
      <c r="R159" s="4"/>
      <c r="S159" s="4"/>
      <c r="T159" s="4"/>
      <c r="U159" s="4"/>
      <c r="V159" s="4"/>
      <c r="W159" s="4"/>
      <c r="X159" s="4"/>
      <c r="Y159" s="4"/>
      <c r="Z159" s="4"/>
    </row>
    <row r="160" ht="15.75" customHeight="1">
      <c r="A160" s="1"/>
      <c r="B160" s="1"/>
      <c r="C160" s="1"/>
      <c r="D160" s="1"/>
      <c r="E160" s="1"/>
      <c r="F160" s="1"/>
      <c r="G160" s="4"/>
      <c r="H160" s="4"/>
      <c r="I160" s="4"/>
      <c r="J160" s="4"/>
      <c r="K160" s="4"/>
      <c r="L160" s="4"/>
      <c r="M160" s="4"/>
      <c r="N160" s="4"/>
      <c r="O160" s="4"/>
      <c r="P160" s="4"/>
      <c r="Q160" s="4"/>
      <c r="R160" s="4"/>
      <c r="S160" s="4"/>
      <c r="T160" s="4"/>
      <c r="U160" s="4"/>
      <c r="V160" s="4"/>
      <c r="W160" s="4"/>
      <c r="X160" s="4"/>
      <c r="Y160" s="4"/>
      <c r="Z160" s="4"/>
    </row>
    <row r="161" ht="15.75" customHeight="1">
      <c r="A161" s="1"/>
      <c r="B161" s="1"/>
      <c r="C161" s="1"/>
      <c r="D161" s="1"/>
      <c r="E161" s="1"/>
      <c r="F161" s="1"/>
      <c r="G161" s="4"/>
      <c r="H161" s="4"/>
      <c r="I161" s="4"/>
      <c r="J161" s="4"/>
      <c r="K161" s="4"/>
      <c r="L161" s="4"/>
      <c r="M161" s="4"/>
      <c r="N161" s="4"/>
      <c r="O161" s="4"/>
      <c r="P161" s="4"/>
      <c r="Q161" s="4"/>
      <c r="R161" s="4"/>
      <c r="S161" s="4"/>
      <c r="T161" s="4"/>
      <c r="U161" s="4"/>
      <c r="V161" s="4"/>
      <c r="W161" s="4"/>
      <c r="X161" s="4"/>
      <c r="Y161" s="4"/>
      <c r="Z161" s="4"/>
    </row>
    <row r="162" ht="15.75" customHeight="1">
      <c r="A162" s="1"/>
      <c r="B162" s="1"/>
      <c r="C162" s="1"/>
      <c r="D162" s="1"/>
      <c r="E162" s="1"/>
      <c r="F162" s="1"/>
      <c r="G162" s="4"/>
      <c r="H162" s="4"/>
      <c r="I162" s="4"/>
      <c r="J162" s="4"/>
      <c r="K162" s="4"/>
      <c r="L162" s="4"/>
      <c r="M162" s="4"/>
      <c r="N162" s="4"/>
      <c r="O162" s="4"/>
      <c r="P162" s="4"/>
      <c r="Q162" s="4"/>
      <c r="R162" s="4"/>
      <c r="S162" s="4"/>
      <c r="T162" s="4"/>
      <c r="U162" s="4"/>
      <c r="V162" s="4"/>
      <c r="W162" s="4"/>
      <c r="X162" s="4"/>
      <c r="Y162" s="4"/>
      <c r="Z162" s="4"/>
    </row>
    <row r="163" ht="15.75" customHeight="1">
      <c r="A163" s="1"/>
      <c r="B163" s="1"/>
      <c r="C163" s="1"/>
      <c r="D163" s="1"/>
      <c r="E163" s="1"/>
      <c r="F163" s="1"/>
      <c r="G163" s="4"/>
      <c r="H163" s="4"/>
      <c r="I163" s="4"/>
      <c r="J163" s="4"/>
      <c r="K163" s="4"/>
      <c r="L163" s="4"/>
      <c r="M163" s="4"/>
      <c r="N163" s="4"/>
      <c r="O163" s="4"/>
      <c r="P163" s="4"/>
      <c r="Q163" s="4"/>
      <c r="R163" s="4"/>
      <c r="S163" s="4"/>
      <c r="T163" s="4"/>
      <c r="U163" s="4"/>
      <c r="V163" s="4"/>
      <c r="W163" s="4"/>
      <c r="X163" s="4"/>
      <c r="Y163" s="4"/>
      <c r="Z163" s="4"/>
    </row>
    <row r="164" ht="15.75" customHeight="1">
      <c r="A164" s="1"/>
      <c r="B164" s="1"/>
      <c r="C164" s="1"/>
      <c r="D164" s="1"/>
      <c r="E164" s="1"/>
      <c r="F164" s="1"/>
      <c r="G164" s="4"/>
      <c r="H164" s="4"/>
      <c r="I164" s="4"/>
      <c r="J164" s="4"/>
      <c r="K164" s="4"/>
      <c r="L164" s="4"/>
      <c r="M164" s="4"/>
      <c r="N164" s="4"/>
      <c r="O164" s="4"/>
      <c r="P164" s="4"/>
      <c r="Q164" s="4"/>
      <c r="R164" s="4"/>
      <c r="S164" s="4"/>
      <c r="T164" s="4"/>
      <c r="U164" s="4"/>
      <c r="V164" s="4"/>
      <c r="W164" s="4"/>
      <c r="X164" s="4"/>
      <c r="Y164" s="4"/>
      <c r="Z164" s="4"/>
    </row>
    <row r="165" ht="15.75" customHeight="1">
      <c r="A165" s="1"/>
      <c r="B165" s="1"/>
      <c r="C165" s="1"/>
      <c r="D165" s="1"/>
      <c r="E165" s="1"/>
      <c r="F165" s="1"/>
      <c r="G165" s="4"/>
      <c r="H165" s="4"/>
      <c r="I165" s="4"/>
      <c r="J165" s="4"/>
      <c r="K165" s="4"/>
      <c r="L165" s="4"/>
      <c r="M165" s="4"/>
      <c r="N165" s="4"/>
      <c r="O165" s="4"/>
      <c r="P165" s="4"/>
      <c r="Q165" s="4"/>
      <c r="R165" s="4"/>
      <c r="S165" s="4"/>
      <c r="T165" s="4"/>
      <c r="U165" s="4"/>
      <c r="V165" s="4"/>
      <c r="W165" s="4"/>
      <c r="X165" s="4"/>
      <c r="Y165" s="4"/>
      <c r="Z165" s="4"/>
    </row>
    <row r="166" ht="15.75" customHeight="1">
      <c r="A166" s="1"/>
      <c r="B166" s="1"/>
      <c r="C166" s="1"/>
      <c r="D166" s="1"/>
      <c r="E166" s="1"/>
      <c r="F166" s="1"/>
      <c r="G166" s="4"/>
      <c r="H166" s="4"/>
      <c r="I166" s="4"/>
      <c r="J166" s="4"/>
      <c r="K166" s="4"/>
      <c r="L166" s="4"/>
      <c r="M166" s="4"/>
      <c r="N166" s="4"/>
      <c r="O166" s="4"/>
      <c r="P166" s="4"/>
      <c r="Q166" s="4"/>
      <c r="R166" s="4"/>
      <c r="S166" s="4"/>
      <c r="T166" s="4"/>
      <c r="U166" s="4"/>
      <c r="V166" s="4"/>
      <c r="W166" s="4"/>
      <c r="X166" s="4"/>
      <c r="Y166" s="4"/>
      <c r="Z166" s="4"/>
    </row>
    <row r="167" ht="15.75" customHeight="1">
      <c r="A167" s="1"/>
      <c r="B167" s="1"/>
      <c r="C167" s="1"/>
      <c r="D167" s="1"/>
      <c r="E167" s="1"/>
      <c r="F167" s="1"/>
      <c r="G167" s="4"/>
      <c r="H167" s="4"/>
      <c r="I167" s="4"/>
      <c r="J167" s="4"/>
      <c r="K167" s="4"/>
      <c r="L167" s="4"/>
      <c r="M167" s="4"/>
      <c r="N167" s="4"/>
      <c r="O167" s="4"/>
      <c r="P167" s="4"/>
      <c r="Q167" s="4"/>
      <c r="R167" s="4"/>
      <c r="S167" s="4"/>
      <c r="T167" s="4"/>
      <c r="U167" s="4"/>
      <c r="V167" s="4"/>
      <c r="W167" s="4"/>
      <c r="X167" s="4"/>
      <c r="Y167" s="4"/>
      <c r="Z167" s="4"/>
    </row>
    <row r="168" ht="15.75" customHeight="1">
      <c r="A168" s="1"/>
      <c r="B168" s="1"/>
      <c r="C168" s="1"/>
      <c r="D168" s="1"/>
      <c r="E168" s="1"/>
      <c r="F168" s="1"/>
      <c r="G168" s="4"/>
      <c r="H168" s="4"/>
      <c r="I168" s="4"/>
      <c r="J168" s="4"/>
      <c r="K168" s="4"/>
      <c r="L168" s="4"/>
      <c r="M168" s="4"/>
      <c r="N168" s="4"/>
      <c r="O168" s="4"/>
      <c r="P168" s="4"/>
      <c r="Q168" s="4"/>
      <c r="R168" s="4"/>
      <c r="S168" s="4"/>
      <c r="T168" s="4"/>
      <c r="U168" s="4"/>
      <c r="V168" s="4"/>
      <c r="W168" s="4"/>
      <c r="X168" s="4"/>
      <c r="Y168" s="4"/>
      <c r="Z168" s="4"/>
    </row>
    <row r="169" ht="15.75" customHeight="1">
      <c r="A169" s="1"/>
      <c r="B169" s="1"/>
      <c r="C169" s="1"/>
      <c r="D169" s="1"/>
      <c r="E169" s="1"/>
      <c r="F169" s="1"/>
      <c r="G169" s="4"/>
      <c r="H169" s="4"/>
      <c r="I169" s="4"/>
      <c r="J169" s="4"/>
      <c r="K169" s="4"/>
      <c r="L169" s="4"/>
      <c r="M169" s="4"/>
      <c r="N169" s="4"/>
      <c r="O169" s="4"/>
      <c r="P169" s="4"/>
      <c r="Q169" s="4"/>
      <c r="R169" s="4"/>
      <c r="S169" s="4"/>
      <c r="T169" s="4"/>
      <c r="U169" s="4"/>
      <c r="V169" s="4"/>
      <c r="W169" s="4"/>
      <c r="X169" s="4"/>
      <c r="Y169" s="4"/>
      <c r="Z169" s="4"/>
    </row>
    <row r="170" ht="15.75" customHeight="1">
      <c r="A170" s="1"/>
      <c r="B170" s="1"/>
      <c r="C170" s="1"/>
      <c r="D170" s="1"/>
      <c r="E170" s="1"/>
      <c r="F170" s="1"/>
      <c r="G170" s="4"/>
      <c r="H170" s="4"/>
      <c r="I170" s="4"/>
      <c r="J170" s="4"/>
      <c r="K170" s="4"/>
      <c r="L170" s="4"/>
      <c r="M170" s="4"/>
      <c r="N170" s="4"/>
      <c r="O170" s="4"/>
      <c r="P170" s="4"/>
      <c r="Q170" s="4"/>
      <c r="R170" s="4"/>
      <c r="S170" s="4"/>
      <c r="T170" s="4"/>
      <c r="U170" s="4"/>
      <c r="V170" s="4"/>
      <c r="W170" s="4"/>
      <c r="X170" s="4"/>
      <c r="Y170" s="4"/>
      <c r="Z170" s="4"/>
    </row>
    <row r="171" ht="15.75" customHeight="1">
      <c r="A171" s="1"/>
      <c r="B171" s="1"/>
      <c r="C171" s="1"/>
      <c r="D171" s="1"/>
      <c r="E171" s="1"/>
      <c r="F171" s="1"/>
      <c r="G171" s="4"/>
      <c r="H171" s="4"/>
      <c r="I171" s="4"/>
      <c r="J171" s="4"/>
      <c r="K171" s="4"/>
      <c r="L171" s="4"/>
      <c r="M171" s="4"/>
      <c r="N171" s="4"/>
      <c r="O171" s="4"/>
      <c r="P171" s="4"/>
      <c r="Q171" s="4"/>
      <c r="R171" s="4"/>
      <c r="S171" s="4"/>
      <c r="T171" s="4"/>
      <c r="U171" s="4"/>
      <c r="V171" s="4"/>
      <c r="W171" s="4"/>
      <c r="X171" s="4"/>
      <c r="Y171" s="4"/>
      <c r="Z171" s="4"/>
    </row>
    <row r="172" ht="15.75" customHeight="1">
      <c r="A172" s="1"/>
      <c r="B172" s="1"/>
      <c r="C172" s="1"/>
      <c r="D172" s="1"/>
      <c r="E172" s="1"/>
      <c r="F172" s="1"/>
      <c r="G172" s="4"/>
      <c r="H172" s="4"/>
      <c r="I172" s="4"/>
      <c r="J172" s="4"/>
      <c r="K172" s="4"/>
      <c r="L172" s="4"/>
      <c r="M172" s="4"/>
      <c r="N172" s="4"/>
      <c r="O172" s="4"/>
      <c r="P172" s="4"/>
      <c r="Q172" s="4"/>
      <c r="R172" s="4"/>
      <c r="S172" s="4"/>
      <c r="T172" s="4"/>
      <c r="U172" s="4"/>
      <c r="V172" s="4"/>
      <c r="W172" s="4"/>
      <c r="X172" s="4"/>
      <c r="Y172" s="4"/>
      <c r="Z172" s="4"/>
    </row>
    <row r="173" ht="15.75" customHeight="1">
      <c r="A173" s="1"/>
      <c r="B173" s="1"/>
      <c r="C173" s="1"/>
      <c r="D173" s="1"/>
      <c r="E173" s="1"/>
      <c r="F173" s="1"/>
      <c r="G173" s="4"/>
      <c r="H173" s="4"/>
      <c r="I173" s="4"/>
      <c r="J173" s="4"/>
      <c r="K173" s="4"/>
      <c r="L173" s="4"/>
      <c r="M173" s="4"/>
      <c r="N173" s="4"/>
      <c r="O173" s="4"/>
      <c r="P173" s="4"/>
      <c r="Q173" s="4"/>
      <c r="R173" s="4"/>
      <c r="S173" s="4"/>
      <c r="T173" s="4"/>
      <c r="U173" s="4"/>
      <c r="V173" s="4"/>
      <c r="W173" s="4"/>
      <c r="X173" s="4"/>
      <c r="Y173" s="4"/>
      <c r="Z173" s="4"/>
    </row>
    <row r="174" ht="15.75" customHeight="1">
      <c r="A174" s="1"/>
      <c r="B174" s="1"/>
      <c r="C174" s="1"/>
      <c r="D174" s="1"/>
      <c r="E174" s="1"/>
      <c r="F174" s="1"/>
      <c r="G174" s="4"/>
      <c r="H174" s="4"/>
      <c r="I174" s="4"/>
      <c r="J174" s="4"/>
      <c r="K174" s="4"/>
      <c r="L174" s="4"/>
      <c r="M174" s="4"/>
      <c r="N174" s="4"/>
      <c r="O174" s="4"/>
      <c r="P174" s="4"/>
      <c r="Q174" s="4"/>
      <c r="R174" s="4"/>
      <c r="S174" s="4"/>
      <c r="T174" s="4"/>
      <c r="U174" s="4"/>
      <c r="V174" s="4"/>
      <c r="W174" s="4"/>
      <c r="X174" s="4"/>
      <c r="Y174" s="4"/>
      <c r="Z174" s="4"/>
    </row>
    <row r="175" ht="15.75" customHeight="1">
      <c r="A175" s="1"/>
      <c r="B175" s="1"/>
      <c r="C175" s="1"/>
      <c r="D175" s="1"/>
      <c r="E175" s="1"/>
      <c r="F175" s="1"/>
      <c r="G175" s="4"/>
      <c r="H175" s="4"/>
      <c r="I175" s="4"/>
      <c r="J175" s="4"/>
      <c r="K175" s="4"/>
      <c r="L175" s="4"/>
      <c r="M175" s="4"/>
      <c r="N175" s="4"/>
      <c r="O175" s="4"/>
      <c r="P175" s="4"/>
      <c r="Q175" s="4"/>
      <c r="R175" s="4"/>
      <c r="S175" s="4"/>
      <c r="T175" s="4"/>
      <c r="U175" s="4"/>
      <c r="V175" s="4"/>
      <c r="W175" s="4"/>
      <c r="X175" s="4"/>
      <c r="Y175" s="4"/>
      <c r="Z175" s="4"/>
    </row>
    <row r="176" ht="15.75" customHeight="1">
      <c r="A176" s="1"/>
      <c r="B176" s="1"/>
      <c r="C176" s="1"/>
      <c r="D176" s="1"/>
      <c r="E176" s="1"/>
      <c r="F176" s="1"/>
      <c r="G176" s="4"/>
      <c r="H176" s="4"/>
      <c r="I176" s="4"/>
      <c r="J176" s="4"/>
      <c r="K176" s="4"/>
      <c r="L176" s="4"/>
      <c r="M176" s="4"/>
      <c r="N176" s="4"/>
      <c r="O176" s="4"/>
      <c r="P176" s="4"/>
      <c r="Q176" s="4"/>
      <c r="R176" s="4"/>
      <c r="S176" s="4"/>
      <c r="T176" s="4"/>
      <c r="U176" s="4"/>
      <c r="V176" s="4"/>
      <c r="W176" s="4"/>
      <c r="X176" s="4"/>
      <c r="Y176" s="4"/>
      <c r="Z176" s="4"/>
    </row>
    <row r="177" ht="15.75" customHeight="1">
      <c r="A177" s="1"/>
      <c r="B177" s="1"/>
      <c r="C177" s="1"/>
      <c r="D177" s="1"/>
      <c r="E177" s="1"/>
      <c r="F177" s="1"/>
      <c r="G177" s="4"/>
      <c r="H177" s="4"/>
      <c r="I177" s="4"/>
      <c r="J177" s="4"/>
      <c r="K177" s="4"/>
      <c r="L177" s="4"/>
      <c r="M177" s="4"/>
      <c r="N177" s="4"/>
      <c r="O177" s="4"/>
      <c r="P177" s="4"/>
      <c r="Q177" s="4"/>
      <c r="R177" s="4"/>
      <c r="S177" s="4"/>
      <c r="T177" s="4"/>
      <c r="U177" s="4"/>
      <c r="V177" s="4"/>
      <c r="W177" s="4"/>
      <c r="X177" s="4"/>
      <c r="Y177" s="4"/>
      <c r="Z177" s="4"/>
    </row>
    <row r="178" ht="15.75" customHeight="1">
      <c r="A178" s="1"/>
      <c r="B178" s="1"/>
      <c r="C178" s="1"/>
      <c r="D178" s="1"/>
      <c r="E178" s="1"/>
      <c r="F178" s="1"/>
      <c r="G178" s="4"/>
      <c r="H178" s="4"/>
      <c r="I178" s="4"/>
      <c r="J178" s="4"/>
      <c r="K178" s="4"/>
      <c r="L178" s="4"/>
      <c r="M178" s="4"/>
      <c r="N178" s="4"/>
      <c r="O178" s="4"/>
      <c r="P178" s="4"/>
      <c r="Q178" s="4"/>
      <c r="R178" s="4"/>
      <c r="S178" s="4"/>
      <c r="T178" s="4"/>
      <c r="U178" s="4"/>
      <c r="V178" s="4"/>
      <c r="W178" s="4"/>
      <c r="X178" s="4"/>
      <c r="Y178" s="4"/>
      <c r="Z178" s="4"/>
    </row>
    <row r="179" ht="15.75" customHeight="1">
      <c r="A179" s="1"/>
      <c r="B179" s="1"/>
      <c r="C179" s="1"/>
      <c r="D179" s="1"/>
      <c r="E179" s="1"/>
      <c r="F179" s="1"/>
      <c r="G179" s="4"/>
      <c r="H179" s="4"/>
      <c r="I179" s="4"/>
      <c r="J179" s="4"/>
      <c r="K179" s="4"/>
      <c r="L179" s="4"/>
      <c r="M179" s="4"/>
      <c r="N179" s="4"/>
      <c r="O179" s="4"/>
      <c r="P179" s="4"/>
      <c r="Q179" s="4"/>
      <c r="R179" s="4"/>
      <c r="S179" s="4"/>
      <c r="T179" s="4"/>
      <c r="U179" s="4"/>
      <c r="V179" s="4"/>
      <c r="W179" s="4"/>
      <c r="X179" s="4"/>
      <c r="Y179" s="4"/>
      <c r="Z179" s="4"/>
    </row>
    <row r="180" ht="15.75" customHeight="1">
      <c r="A180" s="1"/>
      <c r="B180" s="1"/>
      <c r="C180" s="1"/>
      <c r="D180" s="1"/>
      <c r="E180" s="1"/>
      <c r="F180" s="1"/>
      <c r="G180" s="4"/>
      <c r="H180" s="4"/>
      <c r="I180" s="4"/>
      <c r="J180" s="4"/>
      <c r="K180" s="4"/>
      <c r="L180" s="4"/>
      <c r="M180" s="4"/>
      <c r="N180" s="4"/>
      <c r="O180" s="4"/>
      <c r="P180" s="4"/>
      <c r="Q180" s="4"/>
      <c r="R180" s="4"/>
      <c r="S180" s="4"/>
      <c r="T180" s="4"/>
      <c r="U180" s="4"/>
      <c r="V180" s="4"/>
      <c r="W180" s="4"/>
      <c r="X180" s="4"/>
      <c r="Y180" s="4"/>
      <c r="Z180" s="4"/>
    </row>
    <row r="181" ht="15.75" customHeight="1">
      <c r="A181" s="1"/>
      <c r="B181" s="1"/>
      <c r="C181" s="1"/>
      <c r="D181" s="1"/>
      <c r="E181" s="1"/>
      <c r="F181" s="1"/>
      <c r="G181" s="4"/>
      <c r="H181" s="4"/>
      <c r="I181" s="4"/>
      <c r="J181" s="4"/>
      <c r="K181" s="4"/>
      <c r="L181" s="4"/>
      <c r="M181" s="4"/>
      <c r="N181" s="4"/>
      <c r="O181" s="4"/>
      <c r="P181" s="4"/>
      <c r="Q181" s="4"/>
      <c r="R181" s="4"/>
      <c r="S181" s="4"/>
      <c r="T181" s="4"/>
      <c r="U181" s="4"/>
      <c r="V181" s="4"/>
      <c r="W181" s="4"/>
      <c r="X181" s="4"/>
      <c r="Y181" s="4"/>
      <c r="Z181" s="4"/>
    </row>
    <row r="182" ht="15.75" customHeight="1">
      <c r="A182" s="1"/>
      <c r="B182" s="1"/>
      <c r="C182" s="1"/>
      <c r="D182" s="1"/>
      <c r="E182" s="1"/>
      <c r="F182" s="1"/>
      <c r="G182" s="4"/>
      <c r="H182" s="4"/>
      <c r="I182" s="4"/>
      <c r="J182" s="4"/>
      <c r="K182" s="4"/>
      <c r="L182" s="4"/>
      <c r="M182" s="4"/>
      <c r="N182" s="4"/>
      <c r="O182" s="4"/>
      <c r="P182" s="4"/>
      <c r="Q182" s="4"/>
      <c r="R182" s="4"/>
      <c r="S182" s="4"/>
      <c r="T182" s="4"/>
      <c r="U182" s="4"/>
      <c r="V182" s="4"/>
      <c r="W182" s="4"/>
      <c r="X182" s="4"/>
      <c r="Y182" s="4"/>
      <c r="Z182" s="4"/>
    </row>
    <row r="183" ht="15.75" customHeight="1">
      <c r="A183" s="1"/>
      <c r="B183" s="1"/>
      <c r="C183" s="1"/>
      <c r="D183" s="1"/>
      <c r="E183" s="1"/>
      <c r="F183" s="1"/>
      <c r="G183" s="4"/>
      <c r="H183" s="4"/>
      <c r="I183" s="4"/>
      <c r="J183" s="4"/>
      <c r="K183" s="4"/>
      <c r="L183" s="4"/>
      <c r="M183" s="4"/>
      <c r="N183" s="4"/>
      <c r="O183" s="4"/>
      <c r="P183" s="4"/>
      <c r="Q183" s="4"/>
      <c r="R183" s="4"/>
      <c r="S183" s="4"/>
      <c r="T183" s="4"/>
      <c r="U183" s="4"/>
      <c r="V183" s="4"/>
      <c r="W183" s="4"/>
      <c r="X183" s="4"/>
      <c r="Y183" s="4"/>
      <c r="Z183" s="4"/>
    </row>
    <row r="184" ht="15.75" customHeight="1">
      <c r="A184" s="1"/>
      <c r="B184" s="1"/>
      <c r="C184" s="1"/>
      <c r="D184" s="1"/>
      <c r="E184" s="1"/>
      <c r="F184" s="1"/>
      <c r="G184" s="4"/>
      <c r="H184" s="4"/>
      <c r="I184" s="4"/>
      <c r="J184" s="4"/>
      <c r="K184" s="4"/>
      <c r="L184" s="4"/>
      <c r="M184" s="4"/>
      <c r="N184" s="4"/>
      <c r="O184" s="4"/>
      <c r="P184" s="4"/>
      <c r="Q184" s="4"/>
      <c r="R184" s="4"/>
      <c r="S184" s="4"/>
      <c r="T184" s="4"/>
      <c r="U184" s="4"/>
      <c r="V184" s="4"/>
      <c r="W184" s="4"/>
      <c r="X184" s="4"/>
      <c r="Y184" s="4"/>
      <c r="Z184" s="4"/>
    </row>
    <row r="185" ht="15.75" customHeight="1">
      <c r="A185" s="1"/>
      <c r="B185" s="1"/>
      <c r="C185" s="1"/>
      <c r="D185" s="1"/>
      <c r="E185" s="1"/>
      <c r="F185" s="1"/>
      <c r="G185" s="4"/>
      <c r="H185" s="4"/>
      <c r="I185" s="4"/>
      <c r="J185" s="4"/>
      <c r="K185" s="4"/>
      <c r="L185" s="4"/>
      <c r="M185" s="4"/>
      <c r="N185" s="4"/>
      <c r="O185" s="4"/>
      <c r="P185" s="4"/>
      <c r="Q185" s="4"/>
      <c r="R185" s="4"/>
      <c r="S185" s="4"/>
      <c r="T185" s="4"/>
      <c r="U185" s="4"/>
      <c r="V185" s="4"/>
      <c r="W185" s="4"/>
      <c r="X185" s="4"/>
      <c r="Y185" s="4"/>
      <c r="Z185" s="4"/>
    </row>
    <row r="186" ht="15.75" customHeight="1">
      <c r="A186" s="1"/>
      <c r="B186" s="1"/>
      <c r="C186" s="1"/>
      <c r="D186" s="1"/>
      <c r="E186" s="1"/>
      <c r="F186" s="1"/>
      <c r="G186" s="4"/>
      <c r="H186" s="4"/>
      <c r="I186" s="4"/>
      <c r="J186" s="4"/>
      <c r="K186" s="4"/>
      <c r="L186" s="4"/>
      <c r="M186" s="4"/>
      <c r="N186" s="4"/>
      <c r="O186" s="4"/>
      <c r="P186" s="4"/>
      <c r="Q186" s="4"/>
      <c r="R186" s="4"/>
      <c r="S186" s="4"/>
      <c r="T186" s="4"/>
      <c r="U186" s="4"/>
      <c r="V186" s="4"/>
      <c r="W186" s="4"/>
      <c r="X186" s="4"/>
      <c r="Y186" s="4"/>
      <c r="Z186" s="4"/>
    </row>
    <row r="187" ht="15.75" customHeight="1">
      <c r="A187" s="1"/>
      <c r="B187" s="1"/>
      <c r="C187" s="1"/>
      <c r="D187" s="1"/>
      <c r="E187" s="1"/>
      <c r="F187" s="1"/>
      <c r="G187" s="4"/>
      <c r="H187" s="4"/>
      <c r="I187" s="4"/>
      <c r="J187" s="4"/>
      <c r="K187" s="4"/>
      <c r="L187" s="4"/>
      <c r="M187" s="4"/>
      <c r="N187" s="4"/>
      <c r="O187" s="4"/>
      <c r="P187" s="4"/>
      <c r="Q187" s="4"/>
      <c r="R187" s="4"/>
      <c r="S187" s="4"/>
      <c r="T187" s="4"/>
      <c r="U187" s="4"/>
      <c r="V187" s="4"/>
      <c r="W187" s="4"/>
      <c r="X187" s="4"/>
      <c r="Y187" s="4"/>
      <c r="Z187" s="4"/>
    </row>
    <row r="188" ht="15.75" customHeight="1">
      <c r="A188" s="1"/>
      <c r="B188" s="1"/>
      <c r="C188" s="1"/>
      <c r="D188" s="1"/>
      <c r="E188" s="1"/>
      <c r="F188" s="1"/>
      <c r="G188" s="4"/>
      <c r="H188" s="4"/>
      <c r="I188" s="4"/>
      <c r="J188" s="4"/>
      <c r="K188" s="4"/>
      <c r="L188" s="4"/>
      <c r="M188" s="4"/>
      <c r="N188" s="4"/>
      <c r="O188" s="4"/>
      <c r="P188" s="4"/>
      <c r="Q188" s="4"/>
      <c r="R188" s="4"/>
      <c r="S188" s="4"/>
      <c r="T188" s="4"/>
      <c r="U188" s="4"/>
      <c r="V188" s="4"/>
      <c r="W188" s="4"/>
      <c r="X188" s="4"/>
      <c r="Y188" s="4"/>
      <c r="Z188" s="4"/>
    </row>
    <row r="189" ht="15.75" customHeight="1">
      <c r="A189" s="1"/>
      <c r="B189" s="1"/>
      <c r="C189" s="1"/>
      <c r="D189" s="1"/>
      <c r="E189" s="1"/>
      <c r="F189" s="1"/>
      <c r="G189" s="4"/>
      <c r="H189" s="4"/>
      <c r="I189" s="4"/>
      <c r="J189" s="4"/>
      <c r="K189" s="4"/>
      <c r="L189" s="4"/>
      <c r="M189" s="4"/>
      <c r="N189" s="4"/>
      <c r="O189" s="4"/>
      <c r="P189" s="4"/>
      <c r="Q189" s="4"/>
      <c r="R189" s="4"/>
      <c r="S189" s="4"/>
      <c r="T189" s="4"/>
      <c r="U189" s="4"/>
      <c r="V189" s="4"/>
      <c r="W189" s="4"/>
      <c r="X189" s="4"/>
      <c r="Y189" s="4"/>
      <c r="Z189" s="4"/>
    </row>
    <row r="190" ht="15.75" customHeight="1">
      <c r="A190" s="1"/>
      <c r="B190" s="1"/>
      <c r="C190" s="1"/>
      <c r="D190" s="1"/>
      <c r="E190" s="1"/>
      <c r="F190" s="1"/>
      <c r="G190" s="4"/>
      <c r="H190" s="4"/>
      <c r="I190" s="4"/>
      <c r="J190" s="4"/>
      <c r="K190" s="4"/>
      <c r="L190" s="4"/>
      <c r="M190" s="4"/>
      <c r="N190" s="4"/>
      <c r="O190" s="4"/>
      <c r="P190" s="4"/>
      <c r="Q190" s="4"/>
      <c r="R190" s="4"/>
      <c r="S190" s="4"/>
      <c r="T190" s="4"/>
      <c r="U190" s="4"/>
      <c r="V190" s="4"/>
      <c r="W190" s="4"/>
      <c r="X190" s="4"/>
      <c r="Y190" s="4"/>
      <c r="Z190" s="4"/>
    </row>
    <row r="191" ht="15.75" customHeight="1">
      <c r="A191" s="1"/>
      <c r="B191" s="1"/>
      <c r="C191" s="1"/>
      <c r="D191" s="1"/>
      <c r="E191" s="1"/>
      <c r="F191" s="1"/>
      <c r="G191" s="4"/>
      <c r="H191" s="4"/>
      <c r="I191" s="4"/>
      <c r="J191" s="4"/>
      <c r="K191" s="4"/>
      <c r="L191" s="4"/>
      <c r="M191" s="4"/>
      <c r="N191" s="4"/>
      <c r="O191" s="4"/>
      <c r="P191" s="4"/>
      <c r="Q191" s="4"/>
      <c r="R191" s="4"/>
      <c r="S191" s="4"/>
      <c r="T191" s="4"/>
      <c r="U191" s="4"/>
      <c r="V191" s="4"/>
      <c r="W191" s="4"/>
      <c r="X191" s="4"/>
      <c r="Y191" s="4"/>
      <c r="Z191" s="4"/>
    </row>
    <row r="192" ht="15.75" customHeight="1">
      <c r="A192" s="1"/>
      <c r="B192" s="1"/>
      <c r="C192" s="1"/>
      <c r="D192" s="1"/>
      <c r="E192" s="1"/>
      <c r="F192" s="1"/>
      <c r="G192" s="4"/>
      <c r="H192" s="4"/>
      <c r="I192" s="4"/>
      <c r="J192" s="4"/>
      <c r="K192" s="4"/>
      <c r="L192" s="4"/>
      <c r="M192" s="4"/>
      <c r="N192" s="4"/>
      <c r="O192" s="4"/>
      <c r="P192" s="4"/>
      <c r="Q192" s="4"/>
      <c r="R192" s="4"/>
      <c r="S192" s="4"/>
      <c r="T192" s="4"/>
      <c r="U192" s="4"/>
      <c r="V192" s="4"/>
      <c r="W192" s="4"/>
      <c r="X192" s="4"/>
      <c r="Y192" s="4"/>
      <c r="Z192" s="4"/>
    </row>
    <row r="193" ht="15.75" customHeight="1">
      <c r="A193" s="1"/>
      <c r="B193" s="1"/>
      <c r="C193" s="1"/>
      <c r="D193" s="1"/>
      <c r="E193" s="1"/>
      <c r="F193" s="1"/>
      <c r="G193" s="4"/>
      <c r="H193" s="4"/>
      <c r="I193" s="4"/>
      <c r="J193" s="4"/>
      <c r="K193" s="4"/>
      <c r="L193" s="4"/>
      <c r="M193" s="4"/>
      <c r="N193" s="4"/>
      <c r="O193" s="4"/>
      <c r="P193" s="4"/>
      <c r="Q193" s="4"/>
      <c r="R193" s="4"/>
      <c r="S193" s="4"/>
      <c r="T193" s="4"/>
      <c r="U193" s="4"/>
      <c r="V193" s="4"/>
      <c r="W193" s="4"/>
      <c r="X193" s="4"/>
      <c r="Y193" s="4"/>
      <c r="Z193" s="4"/>
    </row>
    <row r="194" ht="15.75" customHeight="1">
      <c r="A194" s="1"/>
      <c r="B194" s="1"/>
      <c r="C194" s="1"/>
      <c r="D194" s="1"/>
      <c r="E194" s="1"/>
      <c r="F194" s="1"/>
      <c r="G194" s="4"/>
      <c r="H194" s="4"/>
      <c r="I194" s="4"/>
      <c r="J194" s="4"/>
      <c r="K194" s="4"/>
      <c r="L194" s="4"/>
      <c r="M194" s="4"/>
      <c r="N194" s="4"/>
      <c r="O194" s="4"/>
      <c r="P194" s="4"/>
      <c r="Q194" s="4"/>
      <c r="R194" s="4"/>
      <c r="S194" s="4"/>
      <c r="T194" s="4"/>
      <c r="U194" s="4"/>
      <c r="V194" s="4"/>
      <c r="W194" s="4"/>
      <c r="X194" s="4"/>
      <c r="Y194" s="4"/>
      <c r="Z194" s="4"/>
    </row>
    <row r="195" ht="15.75" customHeight="1">
      <c r="A195" s="1"/>
      <c r="B195" s="1"/>
      <c r="C195" s="1"/>
      <c r="D195" s="1"/>
      <c r="E195" s="1"/>
      <c r="F195" s="1"/>
      <c r="G195" s="4"/>
      <c r="H195" s="4"/>
      <c r="I195" s="4"/>
      <c r="J195" s="4"/>
      <c r="K195" s="4"/>
      <c r="L195" s="4"/>
      <c r="M195" s="4"/>
      <c r="N195" s="4"/>
      <c r="O195" s="4"/>
      <c r="P195" s="4"/>
      <c r="Q195" s="4"/>
      <c r="R195" s="4"/>
      <c r="S195" s="4"/>
      <c r="T195" s="4"/>
      <c r="U195" s="4"/>
      <c r="V195" s="4"/>
      <c r="W195" s="4"/>
      <c r="X195" s="4"/>
      <c r="Y195" s="4"/>
      <c r="Z195" s="4"/>
    </row>
    <row r="196" ht="15.75" customHeight="1">
      <c r="A196" s="1"/>
      <c r="B196" s="1"/>
      <c r="C196" s="1"/>
      <c r="D196" s="1"/>
      <c r="E196" s="1"/>
      <c r="F196" s="1"/>
      <c r="G196" s="4"/>
      <c r="H196" s="4"/>
      <c r="I196" s="4"/>
      <c r="J196" s="4"/>
      <c r="K196" s="4"/>
      <c r="L196" s="4"/>
      <c r="M196" s="4"/>
      <c r="N196" s="4"/>
      <c r="O196" s="4"/>
      <c r="P196" s="4"/>
      <c r="Q196" s="4"/>
      <c r="R196" s="4"/>
      <c r="S196" s="4"/>
      <c r="T196" s="4"/>
      <c r="U196" s="4"/>
      <c r="V196" s="4"/>
      <c r="W196" s="4"/>
      <c r="X196" s="4"/>
      <c r="Y196" s="4"/>
      <c r="Z196" s="4"/>
    </row>
    <row r="197" ht="15.75" customHeight="1">
      <c r="A197" s="1"/>
      <c r="B197" s="1"/>
      <c r="C197" s="1"/>
      <c r="D197" s="1"/>
      <c r="E197" s="1"/>
      <c r="F197" s="1"/>
      <c r="G197" s="4"/>
      <c r="H197" s="4"/>
      <c r="I197" s="4"/>
      <c r="J197" s="4"/>
      <c r="K197" s="4"/>
      <c r="L197" s="4"/>
      <c r="M197" s="4"/>
      <c r="N197" s="4"/>
      <c r="O197" s="4"/>
      <c r="P197" s="4"/>
      <c r="Q197" s="4"/>
      <c r="R197" s="4"/>
      <c r="S197" s="4"/>
      <c r="T197" s="4"/>
      <c r="U197" s="4"/>
      <c r="V197" s="4"/>
      <c r="W197" s="4"/>
      <c r="X197" s="4"/>
      <c r="Y197" s="4"/>
      <c r="Z197" s="4"/>
    </row>
    <row r="198" ht="15.75" customHeight="1">
      <c r="A198" s="1"/>
      <c r="B198" s="1"/>
      <c r="C198" s="1"/>
      <c r="D198" s="1"/>
      <c r="E198" s="1"/>
      <c r="F198" s="1"/>
      <c r="G198" s="4"/>
      <c r="H198" s="4"/>
      <c r="I198" s="4"/>
      <c r="J198" s="4"/>
      <c r="K198" s="4"/>
      <c r="L198" s="4"/>
      <c r="M198" s="4"/>
      <c r="N198" s="4"/>
      <c r="O198" s="4"/>
      <c r="P198" s="4"/>
      <c r="Q198" s="4"/>
      <c r="R198" s="4"/>
      <c r="S198" s="4"/>
      <c r="T198" s="4"/>
      <c r="U198" s="4"/>
      <c r="V198" s="4"/>
      <c r="W198" s="4"/>
      <c r="X198" s="4"/>
      <c r="Y198" s="4"/>
      <c r="Z198" s="4"/>
    </row>
    <row r="199" ht="15.75" customHeight="1">
      <c r="A199" s="1"/>
      <c r="B199" s="1"/>
      <c r="C199" s="1"/>
      <c r="D199" s="1"/>
      <c r="E199" s="1"/>
      <c r="F199" s="1"/>
      <c r="G199" s="4"/>
      <c r="H199" s="4"/>
      <c r="I199" s="4"/>
      <c r="J199" s="4"/>
      <c r="K199" s="4"/>
      <c r="L199" s="4"/>
      <c r="M199" s="4"/>
      <c r="N199" s="4"/>
      <c r="O199" s="4"/>
      <c r="P199" s="4"/>
      <c r="Q199" s="4"/>
      <c r="R199" s="4"/>
      <c r="S199" s="4"/>
      <c r="T199" s="4"/>
      <c r="U199" s="4"/>
      <c r="V199" s="4"/>
      <c r="W199" s="4"/>
      <c r="X199" s="4"/>
      <c r="Y199" s="4"/>
      <c r="Z199" s="4"/>
    </row>
    <row r="200" ht="15.75" customHeight="1">
      <c r="A200" s="1"/>
      <c r="B200" s="1"/>
      <c r="C200" s="1"/>
      <c r="D200" s="1"/>
      <c r="E200" s="1"/>
      <c r="F200" s="1"/>
      <c r="G200" s="4"/>
      <c r="H200" s="4"/>
      <c r="I200" s="4"/>
      <c r="J200" s="4"/>
      <c r="K200" s="4"/>
      <c r="L200" s="4"/>
      <c r="M200" s="4"/>
      <c r="N200" s="4"/>
      <c r="O200" s="4"/>
      <c r="P200" s="4"/>
      <c r="Q200" s="4"/>
      <c r="R200" s="4"/>
      <c r="S200" s="4"/>
      <c r="T200" s="4"/>
      <c r="U200" s="4"/>
      <c r="V200" s="4"/>
      <c r="W200" s="4"/>
      <c r="X200" s="4"/>
      <c r="Y200" s="4"/>
      <c r="Z200" s="4"/>
    </row>
    <row r="201" ht="15.75" customHeight="1">
      <c r="A201" s="1"/>
      <c r="B201" s="1"/>
      <c r="C201" s="1"/>
      <c r="D201" s="1"/>
      <c r="E201" s="1"/>
      <c r="F201" s="1"/>
      <c r="G201" s="4"/>
      <c r="H201" s="4"/>
      <c r="I201" s="4"/>
      <c r="J201" s="4"/>
      <c r="K201" s="4"/>
      <c r="L201" s="4"/>
      <c r="M201" s="4"/>
      <c r="N201" s="4"/>
      <c r="O201" s="4"/>
      <c r="P201" s="4"/>
      <c r="Q201" s="4"/>
      <c r="R201" s="4"/>
      <c r="S201" s="4"/>
      <c r="T201" s="4"/>
      <c r="U201" s="4"/>
      <c r="V201" s="4"/>
      <c r="W201" s="4"/>
      <c r="X201" s="4"/>
      <c r="Y201" s="4"/>
      <c r="Z201" s="4"/>
    </row>
    <row r="202" ht="15.75" customHeight="1">
      <c r="A202" s="1"/>
      <c r="B202" s="1"/>
      <c r="C202" s="1"/>
      <c r="D202" s="1"/>
      <c r="E202" s="1"/>
      <c r="F202" s="1"/>
      <c r="G202" s="4"/>
      <c r="H202" s="4"/>
      <c r="I202" s="4"/>
      <c r="J202" s="4"/>
      <c r="K202" s="4"/>
      <c r="L202" s="4"/>
      <c r="M202" s="4"/>
      <c r="N202" s="4"/>
      <c r="O202" s="4"/>
      <c r="P202" s="4"/>
      <c r="Q202" s="4"/>
      <c r="R202" s="4"/>
      <c r="S202" s="4"/>
      <c r="T202" s="4"/>
      <c r="U202" s="4"/>
      <c r="V202" s="4"/>
      <c r="W202" s="4"/>
      <c r="X202" s="4"/>
      <c r="Y202" s="4"/>
      <c r="Z202" s="4"/>
    </row>
    <row r="203" ht="15.75" customHeight="1">
      <c r="A203" s="1"/>
      <c r="B203" s="1"/>
      <c r="C203" s="1"/>
      <c r="D203" s="1"/>
      <c r="E203" s="1"/>
      <c r="F203" s="1"/>
      <c r="G203" s="4"/>
      <c r="H203" s="4"/>
      <c r="I203" s="4"/>
      <c r="J203" s="4"/>
      <c r="K203" s="4"/>
      <c r="L203" s="4"/>
      <c r="M203" s="4"/>
      <c r="N203" s="4"/>
      <c r="O203" s="4"/>
      <c r="P203" s="4"/>
      <c r="Q203" s="4"/>
      <c r="R203" s="4"/>
      <c r="S203" s="4"/>
      <c r="T203" s="4"/>
      <c r="U203" s="4"/>
      <c r="V203" s="4"/>
      <c r="W203" s="4"/>
      <c r="X203" s="4"/>
      <c r="Y203" s="4"/>
      <c r="Z203" s="4"/>
    </row>
    <row r="204" ht="15.75" customHeight="1">
      <c r="A204" s="1"/>
      <c r="B204" s="1"/>
      <c r="C204" s="1"/>
      <c r="D204" s="1"/>
      <c r="E204" s="1"/>
      <c r="F204" s="1"/>
      <c r="G204" s="4"/>
      <c r="H204" s="4"/>
      <c r="I204" s="4"/>
      <c r="J204" s="4"/>
      <c r="K204" s="4"/>
      <c r="L204" s="4"/>
      <c r="M204" s="4"/>
      <c r="N204" s="4"/>
      <c r="O204" s="4"/>
      <c r="P204" s="4"/>
      <c r="Q204" s="4"/>
      <c r="R204" s="4"/>
      <c r="S204" s="4"/>
      <c r="T204" s="4"/>
      <c r="U204" s="4"/>
      <c r="V204" s="4"/>
      <c r="W204" s="4"/>
      <c r="X204" s="4"/>
      <c r="Y204" s="4"/>
      <c r="Z204" s="4"/>
    </row>
    <row r="205" ht="15.75" customHeight="1">
      <c r="A205" s="1"/>
      <c r="B205" s="1"/>
      <c r="C205" s="1"/>
      <c r="D205" s="1"/>
      <c r="E205" s="1"/>
      <c r="F205" s="1"/>
      <c r="G205" s="4"/>
      <c r="H205" s="4"/>
      <c r="I205" s="4"/>
      <c r="J205" s="4"/>
      <c r="K205" s="4"/>
      <c r="L205" s="4"/>
      <c r="M205" s="4"/>
      <c r="N205" s="4"/>
      <c r="O205" s="4"/>
      <c r="P205" s="4"/>
      <c r="Q205" s="4"/>
      <c r="R205" s="4"/>
      <c r="S205" s="4"/>
      <c r="T205" s="4"/>
      <c r="U205" s="4"/>
      <c r="V205" s="4"/>
      <c r="W205" s="4"/>
      <c r="X205" s="4"/>
      <c r="Y205" s="4"/>
      <c r="Z205" s="4"/>
    </row>
    <row r="206" ht="15.75" customHeight="1">
      <c r="A206" s="1"/>
      <c r="B206" s="1"/>
      <c r="C206" s="1"/>
      <c r="D206" s="1"/>
      <c r="E206" s="1"/>
      <c r="F206" s="1"/>
      <c r="G206" s="4"/>
      <c r="H206" s="4"/>
      <c r="I206" s="4"/>
      <c r="J206" s="4"/>
      <c r="K206" s="4"/>
      <c r="L206" s="4"/>
      <c r="M206" s="4"/>
      <c r="N206" s="4"/>
      <c r="O206" s="4"/>
      <c r="P206" s="4"/>
      <c r="Q206" s="4"/>
      <c r="R206" s="4"/>
      <c r="S206" s="4"/>
      <c r="T206" s="4"/>
      <c r="U206" s="4"/>
      <c r="V206" s="4"/>
      <c r="W206" s="4"/>
      <c r="X206" s="4"/>
      <c r="Y206" s="4"/>
      <c r="Z206" s="4"/>
    </row>
    <row r="207" ht="15.75" customHeight="1">
      <c r="A207" s="1"/>
      <c r="B207" s="1"/>
      <c r="C207" s="1"/>
      <c r="D207" s="1"/>
      <c r="E207" s="1"/>
      <c r="F207" s="1"/>
      <c r="G207" s="4"/>
      <c r="H207" s="4"/>
      <c r="I207" s="4"/>
      <c r="J207" s="4"/>
      <c r="K207" s="4"/>
      <c r="L207" s="4"/>
      <c r="M207" s="4"/>
      <c r="N207" s="4"/>
      <c r="O207" s="4"/>
      <c r="P207" s="4"/>
      <c r="Q207" s="4"/>
      <c r="R207" s="4"/>
      <c r="S207" s="4"/>
      <c r="T207" s="4"/>
      <c r="U207" s="4"/>
      <c r="V207" s="4"/>
      <c r="W207" s="4"/>
      <c r="X207" s="4"/>
      <c r="Y207" s="4"/>
      <c r="Z207" s="4"/>
    </row>
    <row r="208" ht="15.75" customHeight="1">
      <c r="A208" s="1"/>
      <c r="B208" s="1"/>
      <c r="C208" s="1"/>
      <c r="D208" s="1"/>
      <c r="E208" s="1"/>
      <c r="F208" s="1"/>
      <c r="G208" s="4"/>
      <c r="H208" s="4"/>
      <c r="I208" s="4"/>
      <c r="J208" s="4"/>
      <c r="K208" s="4"/>
      <c r="L208" s="4"/>
      <c r="M208" s="4"/>
      <c r="N208" s="4"/>
      <c r="O208" s="4"/>
      <c r="P208" s="4"/>
      <c r="Q208" s="4"/>
      <c r="R208" s="4"/>
      <c r="S208" s="4"/>
      <c r="T208" s="4"/>
      <c r="U208" s="4"/>
      <c r="V208" s="4"/>
      <c r="W208" s="4"/>
      <c r="X208" s="4"/>
      <c r="Y208" s="4"/>
      <c r="Z208" s="4"/>
    </row>
    <row r="209" ht="15.75" customHeight="1">
      <c r="A209" s="1"/>
      <c r="B209" s="1"/>
      <c r="C209" s="1"/>
      <c r="D209" s="1"/>
      <c r="E209" s="1"/>
      <c r="F209" s="1"/>
      <c r="G209" s="4"/>
      <c r="H209" s="4"/>
      <c r="I209" s="4"/>
      <c r="J209" s="4"/>
      <c r="K209" s="4"/>
      <c r="L209" s="4"/>
      <c r="M209" s="4"/>
      <c r="N209" s="4"/>
      <c r="O209" s="4"/>
      <c r="P209" s="4"/>
      <c r="Q209" s="4"/>
      <c r="R209" s="4"/>
      <c r="S209" s="4"/>
      <c r="T209" s="4"/>
      <c r="U209" s="4"/>
      <c r="V209" s="4"/>
      <c r="W209" s="4"/>
      <c r="X209" s="4"/>
      <c r="Y209" s="4"/>
      <c r="Z209" s="4"/>
    </row>
    <row r="210" ht="15.75" customHeight="1">
      <c r="A210" s="1"/>
      <c r="B210" s="1"/>
      <c r="C210" s="1"/>
      <c r="D210" s="1"/>
      <c r="E210" s="1"/>
      <c r="F210" s="1"/>
      <c r="G210" s="4"/>
      <c r="H210" s="4"/>
      <c r="I210" s="4"/>
      <c r="J210" s="4"/>
      <c r="K210" s="4"/>
      <c r="L210" s="4"/>
      <c r="M210" s="4"/>
      <c r="N210" s="4"/>
      <c r="O210" s="4"/>
      <c r="P210" s="4"/>
      <c r="Q210" s="4"/>
      <c r="R210" s="4"/>
      <c r="S210" s="4"/>
      <c r="T210" s="4"/>
      <c r="U210" s="4"/>
      <c r="V210" s="4"/>
      <c r="W210" s="4"/>
      <c r="X210" s="4"/>
      <c r="Y210" s="4"/>
      <c r="Z210" s="4"/>
    </row>
    <row r="211" ht="15.75" customHeight="1">
      <c r="A211" s="1"/>
      <c r="B211" s="1"/>
      <c r="C211" s="1"/>
      <c r="D211" s="1"/>
      <c r="E211" s="1"/>
      <c r="F211" s="1"/>
      <c r="G211" s="4"/>
      <c r="H211" s="4"/>
      <c r="I211" s="4"/>
      <c r="J211" s="4"/>
      <c r="K211" s="4"/>
      <c r="L211" s="4"/>
      <c r="M211" s="4"/>
      <c r="N211" s="4"/>
      <c r="O211" s="4"/>
      <c r="P211" s="4"/>
      <c r="Q211" s="4"/>
      <c r="R211" s="4"/>
      <c r="S211" s="4"/>
      <c r="T211" s="4"/>
      <c r="U211" s="4"/>
      <c r="V211" s="4"/>
      <c r="W211" s="4"/>
      <c r="X211" s="4"/>
      <c r="Y211" s="4"/>
      <c r="Z211" s="4"/>
    </row>
    <row r="212" ht="15.75" customHeight="1">
      <c r="A212" s="1"/>
      <c r="B212" s="1"/>
      <c r="C212" s="1"/>
      <c r="D212" s="1"/>
      <c r="E212" s="1"/>
      <c r="F212" s="1"/>
      <c r="G212" s="4"/>
      <c r="H212" s="4"/>
      <c r="I212" s="4"/>
      <c r="J212" s="4"/>
      <c r="K212" s="4"/>
      <c r="L212" s="4"/>
      <c r="M212" s="4"/>
      <c r="N212" s="4"/>
      <c r="O212" s="4"/>
      <c r="P212" s="4"/>
      <c r="Q212" s="4"/>
      <c r="R212" s="4"/>
      <c r="S212" s="4"/>
      <c r="T212" s="4"/>
      <c r="U212" s="4"/>
      <c r="V212" s="4"/>
      <c r="W212" s="4"/>
      <c r="X212" s="4"/>
      <c r="Y212" s="4"/>
      <c r="Z212" s="4"/>
    </row>
    <row r="213" ht="15.75" customHeight="1">
      <c r="A213" s="1"/>
      <c r="B213" s="1"/>
      <c r="C213" s="1"/>
      <c r="D213" s="1"/>
      <c r="E213" s="1"/>
      <c r="F213" s="1"/>
      <c r="G213" s="4"/>
      <c r="H213" s="4"/>
      <c r="I213" s="4"/>
      <c r="J213" s="4"/>
      <c r="K213" s="4"/>
      <c r="L213" s="4"/>
      <c r="M213" s="4"/>
      <c r="N213" s="4"/>
      <c r="O213" s="4"/>
      <c r="P213" s="4"/>
      <c r="Q213" s="4"/>
      <c r="R213" s="4"/>
      <c r="S213" s="4"/>
      <c r="T213" s="4"/>
      <c r="U213" s="4"/>
      <c r="V213" s="4"/>
      <c r="W213" s="4"/>
      <c r="X213" s="4"/>
      <c r="Y213" s="4"/>
      <c r="Z213" s="4"/>
    </row>
    <row r="214" ht="15.75" customHeight="1">
      <c r="A214" s="1"/>
      <c r="B214" s="1"/>
      <c r="C214" s="1"/>
      <c r="D214" s="1"/>
      <c r="E214" s="1"/>
      <c r="F214" s="1"/>
      <c r="G214" s="4"/>
      <c r="H214" s="4"/>
      <c r="I214" s="4"/>
      <c r="J214" s="4"/>
      <c r="K214" s="4"/>
      <c r="L214" s="4"/>
      <c r="M214" s="4"/>
      <c r="N214" s="4"/>
      <c r="O214" s="4"/>
      <c r="P214" s="4"/>
      <c r="Q214" s="4"/>
      <c r="R214" s="4"/>
      <c r="S214" s="4"/>
      <c r="T214" s="4"/>
      <c r="U214" s="4"/>
      <c r="V214" s="4"/>
      <c r="W214" s="4"/>
      <c r="X214" s="4"/>
      <c r="Y214" s="4"/>
      <c r="Z214" s="4"/>
    </row>
    <row r="215" ht="15.75" customHeight="1">
      <c r="A215" s="1"/>
      <c r="B215" s="1"/>
      <c r="C215" s="1"/>
      <c r="D215" s="1"/>
      <c r="E215" s="1"/>
      <c r="F215" s="1"/>
      <c r="G215" s="4"/>
      <c r="H215" s="4"/>
      <c r="I215" s="4"/>
      <c r="J215" s="4"/>
      <c r="K215" s="4"/>
      <c r="L215" s="4"/>
      <c r="M215" s="4"/>
      <c r="N215" s="4"/>
      <c r="O215" s="4"/>
      <c r="P215" s="4"/>
      <c r="Q215" s="4"/>
      <c r="R215" s="4"/>
      <c r="S215" s="4"/>
      <c r="T215" s="4"/>
      <c r="U215" s="4"/>
      <c r="V215" s="4"/>
      <c r="W215" s="4"/>
      <c r="X215" s="4"/>
      <c r="Y215" s="4"/>
      <c r="Z215" s="4"/>
    </row>
    <row r="216" ht="15.75" customHeight="1">
      <c r="A216" s="1"/>
      <c r="B216" s="1"/>
      <c r="C216" s="1"/>
      <c r="D216" s="1"/>
      <c r="E216" s="1"/>
      <c r="F216" s="1"/>
      <c r="G216" s="4"/>
      <c r="H216" s="4"/>
      <c r="I216" s="4"/>
      <c r="J216" s="4"/>
      <c r="K216" s="4"/>
      <c r="L216" s="4"/>
      <c r="M216" s="4"/>
      <c r="N216" s="4"/>
      <c r="O216" s="4"/>
      <c r="P216" s="4"/>
      <c r="Q216" s="4"/>
      <c r="R216" s="4"/>
      <c r="S216" s="4"/>
      <c r="T216" s="4"/>
      <c r="U216" s="4"/>
      <c r="V216" s="4"/>
      <c r="W216" s="4"/>
      <c r="X216" s="4"/>
      <c r="Y216" s="4"/>
      <c r="Z216" s="4"/>
    </row>
    <row r="217" ht="15.75" customHeight="1">
      <c r="A217" s="1"/>
      <c r="B217" s="1"/>
      <c r="C217" s="1"/>
      <c r="D217" s="1"/>
      <c r="E217" s="1"/>
      <c r="F217" s="1"/>
      <c r="G217" s="4"/>
      <c r="H217" s="4"/>
      <c r="I217" s="4"/>
      <c r="J217" s="4"/>
      <c r="K217" s="4"/>
      <c r="L217" s="4"/>
      <c r="M217" s="4"/>
      <c r="N217" s="4"/>
      <c r="O217" s="4"/>
      <c r="P217" s="4"/>
      <c r="Q217" s="4"/>
      <c r="R217" s="4"/>
      <c r="S217" s="4"/>
      <c r="T217" s="4"/>
      <c r="U217" s="4"/>
      <c r="V217" s="4"/>
      <c r="W217" s="4"/>
      <c r="X217" s="4"/>
      <c r="Y217" s="4"/>
      <c r="Z217" s="4"/>
    </row>
    <row r="218" ht="15.75" customHeight="1">
      <c r="A218" s="1"/>
      <c r="B218" s="1"/>
      <c r="C218" s="1"/>
      <c r="D218" s="1"/>
      <c r="E218" s="1"/>
      <c r="F218" s="1"/>
      <c r="G218" s="4"/>
      <c r="H218" s="4"/>
      <c r="I218" s="4"/>
      <c r="J218" s="4"/>
      <c r="K218" s="4"/>
      <c r="L218" s="4"/>
      <c r="M218" s="4"/>
      <c r="N218" s="4"/>
      <c r="O218" s="4"/>
      <c r="P218" s="4"/>
      <c r="Q218" s="4"/>
      <c r="R218" s="4"/>
      <c r="S218" s="4"/>
      <c r="T218" s="4"/>
      <c r="U218" s="4"/>
      <c r="V218" s="4"/>
      <c r="W218" s="4"/>
      <c r="X218" s="4"/>
      <c r="Y218" s="4"/>
      <c r="Z218" s="4"/>
    </row>
    <row r="219" ht="15.75" customHeight="1">
      <c r="A219" s="1"/>
      <c r="B219" s="1"/>
      <c r="C219" s="1"/>
      <c r="D219" s="1"/>
      <c r="E219" s="1"/>
      <c r="F219" s="1"/>
      <c r="G219" s="4"/>
      <c r="H219" s="4"/>
      <c r="I219" s="4"/>
      <c r="J219" s="4"/>
      <c r="K219" s="4"/>
      <c r="L219" s="4"/>
      <c r="M219" s="4"/>
      <c r="N219" s="4"/>
      <c r="O219" s="4"/>
      <c r="P219" s="4"/>
      <c r="Q219" s="4"/>
      <c r="R219" s="4"/>
      <c r="S219" s="4"/>
      <c r="T219" s="4"/>
      <c r="U219" s="4"/>
      <c r="V219" s="4"/>
      <c r="W219" s="4"/>
      <c r="X219" s="4"/>
      <c r="Y219" s="4"/>
      <c r="Z219" s="4"/>
    </row>
    <row r="220" ht="15.75" customHeight="1">
      <c r="A220" s="1"/>
      <c r="B220" s="1"/>
      <c r="C220" s="1"/>
      <c r="D220" s="1"/>
      <c r="E220" s="1"/>
      <c r="F220" s="1"/>
      <c r="G220" s="4"/>
      <c r="H220" s="4"/>
      <c r="I220" s="4"/>
      <c r="J220" s="4"/>
      <c r="K220" s="4"/>
      <c r="L220" s="4"/>
      <c r="M220" s="4"/>
      <c r="N220" s="4"/>
      <c r="O220" s="4"/>
      <c r="P220" s="4"/>
      <c r="Q220" s="4"/>
      <c r="R220" s="4"/>
      <c r="S220" s="4"/>
      <c r="T220" s="4"/>
      <c r="U220" s="4"/>
      <c r="V220" s="4"/>
      <c r="W220" s="4"/>
      <c r="X220" s="4"/>
      <c r="Y220" s="4"/>
      <c r="Z220" s="4"/>
    </row>
    <row r="221" ht="15.75" customHeight="1">
      <c r="A221" s="1"/>
      <c r="B221" s="1"/>
      <c r="C221" s="1"/>
      <c r="D221" s="1"/>
      <c r="E221" s="1"/>
      <c r="F221" s="1"/>
      <c r="G221" s="4"/>
      <c r="H221" s="4"/>
      <c r="I221" s="4"/>
      <c r="J221" s="4"/>
      <c r="K221" s="4"/>
      <c r="L221" s="4"/>
      <c r="M221" s="4"/>
      <c r="N221" s="4"/>
      <c r="O221" s="4"/>
      <c r="P221" s="4"/>
      <c r="Q221" s="4"/>
      <c r="R221" s="4"/>
      <c r="S221" s="4"/>
      <c r="T221" s="4"/>
      <c r="U221" s="4"/>
      <c r="V221" s="4"/>
      <c r="W221" s="4"/>
      <c r="X221" s="4"/>
      <c r="Y221" s="4"/>
      <c r="Z221" s="4"/>
    </row>
    <row r="222" ht="15.75" customHeight="1">
      <c r="A222" s="1"/>
      <c r="B222" s="1"/>
      <c r="C222" s="1"/>
      <c r="D222" s="1"/>
      <c r="E222" s="1"/>
      <c r="F222" s="1"/>
      <c r="G222" s="4"/>
      <c r="H222" s="4"/>
      <c r="I222" s="4"/>
      <c r="J222" s="4"/>
      <c r="K222" s="4"/>
      <c r="L222" s="4"/>
      <c r="M222" s="4"/>
      <c r="N222" s="4"/>
      <c r="O222" s="4"/>
      <c r="P222" s="4"/>
      <c r="Q222" s="4"/>
      <c r="R222" s="4"/>
      <c r="S222" s="4"/>
      <c r="T222" s="4"/>
      <c r="U222" s="4"/>
      <c r="V222" s="4"/>
      <c r="W222" s="4"/>
      <c r="X222" s="4"/>
      <c r="Y222" s="4"/>
      <c r="Z222" s="4"/>
    </row>
    <row r="223" ht="15.75" customHeight="1">
      <c r="A223" s="1"/>
      <c r="B223" s="1"/>
      <c r="C223" s="1"/>
      <c r="D223" s="1"/>
      <c r="E223" s="1"/>
      <c r="F223" s="1"/>
      <c r="G223" s="4"/>
      <c r="H223" s="4"/>
      <c r="I223" s="4"/>
      <c r="J223" s="4"/>
      <c r="K223" s="4"/>
      <c r="L223" s="4"/>
      <c r="M223" s="4"/>
      <c r="N223" s="4"/>
      <c r="O223" s="4"/>
      <c r="P223" s="4"/>
      <c r="Q223" s="4"/>
      <c r="R223" s="4"/>
      <c r="S223" s="4"/>
      <c r="T223" s="4"/>
      <c r="U223" s="4"/>
      <c r="V223" s="4"/>
      <c r="W223" s="4"/>
      <c r="X223" s="4"/>
      <c r="Y223" s="4"/>
      <c r="Z223" s="4"/>
    </row>
    <row r="224" ht="15.75" customHeight="1">
      <c r="A224" s="1"/>
      <c r="B224" s="1"/>
      <c r="C224" s="1"/>
      <c r="D224" s="1"/>
      <c r="E224" s="1"/>
      <c r="F224" s="1"/>
      <c r="G224" s="4"/>
      <c r="H224" s="4"/>
      <c r="I224" s="4"/>
      <c r="J224" s="4"/>
      <c r="K224" s="4"/>
      <c r="L224" s="4"/>
      <c r="M224" s="4"/>
      <c r="N224" s="4"/>
      <c r="O224" s="4"/>
      <c r="P224" s="4"/>
      <c r="Q224" s="4"/>
      <c r="R224" s="4"/>
      <c r="S224" s="4"/>
      <c r="T224" s="4"/>
      <c r="U224" s="4"/>
      <c r="V224" s="4"/>
      <c r="W224" s="4"/>
      <c r="X224" s="4"/>
      <c r="Y224" s="4"/>
      <c r="Z224" s="4"/>
    </row>
    <row r="225" ht="15.75" customHeight="1">
      <c r="A225" s="1"/>
      <c r="B225" s="1"/>
      <c r="C225" s="1"/>
      <c r="D225" s="1"/>
      <c r="E225" s="1"/>
      <c r="F225" s="1"/>
      <c r="G225" s="4"/>
      <c r="H225" s="4"/>
      <c r="I225" s="4"/>
      <c r="J225" s="4"/>
      <c r="K225" s="4"/>
      <c r="L225" s="4"/>
      <c r="M225" s="4"/>
      <c r="N225" s="4"/>
      <c r="O225" s="4"/>
      <c r="P225" s="4"/>
      <c r="Q225" s="4"/>
      <c r="R225" s="4"/>
      <c r="S225" s="4"/>
      <c r="T225" s="4"/>
      <c r="U225" s="4"/>
      <c r="V225" s="4"/>
      <c r="W225" s="4"/>
      <c r="X225" s="4"/>
      <c r="Y225" s="4"/>
      <c r="Z225" s="4"/>
    </row>
    <row r="226" ht="15.75" customHeight="1">
      <c r="A226" s="1"/>
      <c r="B226" s="1"/>
      <c r="C226" s="1"/>
      <c r="D226" s="1"/>
      <c r="E226" s="1"/>
      <c r="F226" s="1"/>
      <c r="G226" s="4"/>
      <c r="H226" s="4"/>
      <c r="I226" s="4"/>
      <c r="J226" s="4"/>
      <c r="K226" s="4"/>
      <c r="L226" s="4"/>
      <c r="M226" s="4"/>
      <c r="N226" s="4"/>
      <c r="O226" s="4"/>
      <c r="P226" s="4"/>
      <c r="Q226" s="4"/>
      <c r="R226" s="4"/>
      <c r="S226" s="4"/>
      <c r="T226" s="4"/>
      <c r="U226" s="4"/>
      <c r="V226" s="4"/>
      <c r="W226" s="4"/>
      <c r="X226" s="4"/>
      <c r="Y226" s="4"/>
      <c r="Z226" s="4"/>
    </row>
    <row r="227" ht="15.75" customHeight="1">
      <c r="A227" s="1"/>
      <c r="B227" s="1"/>
      <c r="C227" s="1"/>
      <c r="D227" s="1"/>
      <c r="E227" s="1"/>
      <c r="F227" s="1"/>
      <c r="G227" s="4"/>
      <c r="H227" s="4"/>
      <c r="I227" s="4"/>
      <c r="J227" s="4"/>
      <c r="K227" s="4"/>
      <c r="L227" s="4"/>
      <c r="M227" s="4"/>
      <c r="N227" s="4"/>
      <c r="O227" s="4"/>
      <c r="P227" s="4"/>
      <c r="Q227" s="4"/>
      <c r="R227" s="4"/>
      <c r="S227" s="4"/>
      <c r="T227" s="4"/>
      <c r="U227" s="4"/>
      <c r="V227" s="4"/>
      <c r="W227" s="4"/>
      <c r="X227" s="4"/>
      <c r="Y227" s="4"/>
      <c r="Z227" s="4"/>
    </row>
    <row r="228" ht="15.75" customHeight="1">
      <c r="A228" s="1"/>
      <c r="B228" s="1"/>
      <c r="C228" s="1"/>
      <c r="D228" s="1"/>
      <c r="E228" s="1"/>
      <c r="F228" s="1"/>
      <c r="G228" s="4"/>
      <c r="H228" s="4"/>
      <c r="I228" s="4"/>
      <c r="J228" s="4"/>
      <c r="K228" s="4"/>
      <c r="L228" s="4"/>
      <c r="M228" s="4"/>
      <c r="N228" s="4"/>
      <c r="O228" s="4"/>
      <c r="P228" s="4"/>
      <c r="Q228" s="4"/>
      <c r="R228" s="4"/>
      <c r="S228" s="4"/>
      <c r="T228" s="4"/>
      <c r="U228" s="4"/>
      <c r="V228" s="4"/>
      <c r="W228" s="4"/>
      <c r="X228" s="4"/>
      <c r="Y228" s="4"/>
      <c r="Z228" s="4"/>
    </row>
    <row r="229" ht="15.75" customHeight="1">
      <c r="A229" s="1"/>
      <c r="B229" s="1"/>
      <c r="C229" s="1"/>
      <c r="D229" s="1"/>
      <c r="E229" s="1"/>
      <c r="F229" s="1"/>
      <c r="G229" s="4"/>
      <c r="H229" s="4"/>
      <c r="I229" s="4"/>
      <c r="J229" s="4"/>
      <c r="K229" s="4"/>
      <c r="L229" s="4"/>
      <c r="M229" s="4"/>
      <c r="N229" s="4"/>
      <c r="O229" s="4"/>
      <c r="P229" s="4"/>
      <c r="Q229" s="4"/>
      <c r="R229" s="4"/>
      <c r="S229" s="4"/>
      <c r="T229" s="4"/>
      <c r="U229" s="4"/>
      <c r="V229" s="4"/>
      <c r="W229" s="4"/>
      <c r="X229" s="4"/>
      <c r="Y229" s="4"/>
      <c r="Z229" s="4"/>
    </row>
    <row r="230" ht="15.75" customHeight="1">
      <c r="A230" s="1"/>
      <c r="B230" s="1"/>
      <c r="C230" s="1"/>
      <c r="D230" s="1"/>
      <c r="E230" s="1"/>
      <c r="F230" s="1"/>
      <c r="G230" s="4"/>
      <c r="H230" s="4"/>
      <c r="I230" s="4"/>
      <c r="J230" s="4"/>
      <c r="K230" s="4"/>
      <c r="L230" s="4"/>
      <c r="M230" s="4"/>
      <c r="N230" s="4"/>
      <c r="O230" s="4"/>
      <c r="P230" s="4"/>
      <c r="Q230" s="4"/>
      <c r="R230" s="4"/>
      <c r="S230" s="4"/>
      <c r="T230" s="4"/>
      <c r="U230" s="4"/>
      <c r="V230" s="4"/>
      <c r="W230" s="4"/>
      <c r="X230" s="4"/>
      <c r="Y230" s="4"/>
      <c r="Z230" s="4"/>
    </row>
    <row r="231" ht="15.75" customHeight="1">
      <c r="A231" s="1"/>
      <c r="B231" s="1"/>
      <c r="C231" s="1"/>
      <c r="D231" s="1"/>
      <c r="E231" s="1"/>
      <c r="F231" s="1"/>
      <c r="G231" s="4"/>
      <c r="H231" s="4"/>
      <c r="I231" s="4"/>
      <c r="J231" s="4"/>
      <c r="K231" s="4"/>
      <c r="L231" s="4"/>
      <c r="M231" s="4"/>
      <c r="N231" s="4"/>
      <c r="O231" s="4"/>
      <c r="P231" s="4"/>
      <c r="Q231" s="4"/>
      <c r="R231" s="4"/>
      <c r="S231" s="4"/>
      <c r="T231" s="4"/>
      <c r="U231" s="4"/>
      <c r="V231" s="4"/>
      <c r="W231" s="4"/>
      <c r="X231" s="4"/>
      <c r="Y231" s="4"/>
      <c r="Z231" s="4"/>
    </row>
    <row r="232" ht="15.75" customHeight="1">
      <c r="A232" s="1"/>
      <c r="B232" s="1"/>
      <c r="C232" s="1"/>
      <c r="D232" s="1"/>
      <c r="E232" s="1"/>
      <c r="F232" s="1"/>
      <c r="G232" s="4"/>
      <c r="H232" s="4"/>
      <c r="I232" s="4"/>
      <c r="J232" s="4"/>
      <c r="K232" s="4"/>
      <c r="L232" s="4"/>
      <c r="M232" s="4"/>
      <c r="N232" s="4"/>
      <c r="O232" s="4"/>
      <c r="P232" s="4"/>
      <c r="Q232" s="4"/>
      <c r="R232" s="4"/>
      <c r="S232" s="4"/>
      <c r="T232" s="4"/>
      <c r="U232" s="4"/>
      <c r="V232" s="4"/>
      <c r="W232" s="4"/>
      <c r="X232" s="4"/>
      <c r="Y232" s="4"/>
      <c r="Z232" s="4"/>
    </row>
    <row r="233" ht="15.75" customHeight="1">
      <c r="A233" s="1"/>
      <c r="B233" s="1"/>
      <c r="C233" s="1"/>
      <c r="D233" s="1"/>
      <c r="E233" s="1"/>
      <c r="F233" s="1"/>
      <c r="G233" s="4"/>
      <c r="H233" s="4"/>
      <c r="I233" s="4"/>
      <c r="J233" s="4"/>
      <c r="K233" s="4"/>
      <c r="L233" s="4"/>
      <c r="M233" s="4"/>
      <c r="N233" s="4"/>
      <c r="O233" s="4"/>
      <c r="P233" s="4"/>
      <c r="Q233" s="4"/>
      <c r="R233" s="4"/>
      <c r="S233" s="4"/>
      <c r="T233" s="4"/>
      <c r="U233" s="4"/>
      <c r="V233" s="4"/>
      <c r="W233" s="4"/>
      <c r="X233" s="4"/>
      <c r="Y233" s="4"/>
      <c r="Z233" s="4"/>
    </row>
    <row r="234" ht="15.75" customHeight="1">
      <c r="A234" s="1"/>
      <c r="B234" s="1"/>
      <c r="C234" s="1"/>
      <c r="D234" s="1"/>
      <c r="E234" s="1"/>
      <c r="F234" s="1"/>
      <c r="G234" s="4"/>
      <c r="H234" s="4"/>
      <c r="I234" s="4"/>
      <c r="J234" s="4"/>
      <c r="K234" s="4"/>
      <c r="L234" s="4"/>
      <c r="M234" s="4"/>
      <c r="N234" s="4"/>
      <c r="O234" s="4"/>
      <c r="P234" s="4"/>
      <c r="Q234" s="4"/>
      <c r="R234" s="4"/>
      <c r="S234" s="4"/>
      <c r="T234" s="4"/>
      <c r="U234" s="4"/>
      <c r="V234" s="4"/>
      <c r="W234" s="4"/>
      <c r="X234" s="4"/>
      <c r="Y234" s="4"/>
      <c r="Z234" s="4"/>
    </row>
    <row r="235" ht="15.75" customHeight="1">
      <c r="A235" s="1"/>
      <c r="B235" s="1"/>
      <c r="C235" s="1"/>
      <c r="D235" s="1"/>
      <c r="E235" s="1"/>
      <c r="F235" s="1"/>
      <c r="G235" s="4"/>
      <c r="H235" s="4"/>
      <c r="I235" s="4"/>
      <c r="J235" s="4"/>
      <c r="K235" s="4"/>
      <c r="L235" s="4"/>
      <c r="M235" s="4"/>
      <c r="N235" s="4"/>
      <c r="O235" s="4"/>
      <c r="P235" s="4"/>
      <c r="Q235" s="4"/>
      <c r="R235" s="4"/>
      <c r="S235" s="4"/>
      <c r="T235" s="4"/>
      <c r="U235" s="4"/>
      <c r="V235" s="4"/>
      <c r="W235" s="4"/>
      <c r="X235" s="4"/>
      <c r="Y235" s="4"/>
      <c r="Z235" s="4"/>
    </row>
    <row r="236" ht="15.75" customHeight="1">
      <c r="A236" s="1"/>
      <c r="B236" s="1"/>
      <c r="C236" s="1"/>
      <c r="D236" s="1"/>
      <c r="E236" s="1"/>
      <c r="F236" s="1"/>
      <c r="G236" s="4"/>
      <c r="H236" s="4"/>
      <c r="I236" s="4"/>
      <c r="J236" s="4"/>
      <c r="K236" s="4"/>
      <c r="L236" s="4"/>
      <c r="M236" s="4"/>
      <c r="N236" s="4"/>
      <c r="O236" s="4"/>
      <c r="P236" s="4"/>
      <c r="Q236" s="4"/>
      <c r="R236" s="4"/>
      <c r="S236" s="4"/>
      <c r="T236" s="4"/>
      <c r="U236" s="4"/>
      <c r="V236" s="4"/>
      <c r="W236" s="4"/>
      <c r="X236" s="4"/>
      <c r="Y236" s="4"/>
      <c r="Z236" s="4"/>
    </row>
    <row r="237" ht="15.75" customHeight="1">
      <c r="A237" s="1"/>
      <c r="B237" s="1"/>
      <c r="C237" s="1"/>
      <c r="D237" s="1"/>
      <c r="E237" s="1"/>
      <c r="F237" s="1"/>
      <c r="G237" s="4"/>
      <c r="H237" s="4"/>
      <c r="I237" s="4"/>
      <c r="J237" s="4"/>
      <c r="K237" s="4"/>
      <c r="L237" s="4"/>
      <c r="M237" s="4"/>
      <c r="N237" s="4"/>
      <c r="O237" s="4"/>
      <c r="P237" s="4"/>
      <c r="Q237" s="4"/>
      <c r="R237" s="4"/>
      <c r="S237" s="4"/>
      <c r="T237" s="4"/>
      <c r="U237" s="4"/>
      <c r="V237" s="4"/>
      <c r="W237" s="4"/>
      <c r="X237" s="4"/>
      <c r="Y237" s="4"/>
      <c r="Z237" s="4"/>
    </row>
    <row r="238" ht="15.75" customHeight="1">
      <c r="A238" s="1"/>
      <c r="B238" s="1"/>
      <c r="C238" s="1"/>
      <c r="D238" s="1"/>
      <c r="E238" s="1"/>
      <c r="F238" s="1"/>
      <c r="G238" s="4"/>
      <c r="H238" s="4"/>
      <c r="I238" s="4"/>
      <c r="J238" s="4"/>
      <c r="K238" s="4"/>
      <c r="L238" s="4"/>
      <c r="M238" s="4"/>
      <c r="N238" s="4"/>
      <c r="O238" s="4"/>
      <c r="P238" s="4"/>
      <c r="Q238" s="4"/>
      <c r="R238" s="4"/>
      <c r="S238" s="4"/>
      <c r="T238" s="4"/>
      <c r="U238" s="4"/>
      <c r="V238" s="4"/>
      <c r="W238" s="4"/>
      <c r="X238" s="4"/>
      <c r="Y238" s="4"/>
      <c r="Z238" s="4"/>
    </row>
    <row r="239" ht="15.75" customHeight="1">
      <c r="A239" s="1"/>
      <c r="B239" s="1"/>
      <c r="C239" s="1"/>
      <c r="D239" s="1"/>
      <c r="E239" s="1"/>
      <c r="F239" s="1"/>
      <c r="G239" s="4"/>
      <c r="H239" s="4"/>
      <c r="I239" s="4"/>
      <c r="J239" s="4"/>
      <c r="K239" s="4"/>
      <c r="L239" s="4"/>
      <c r="M239" s="4"/>
      <c r="N239" s="4"/>
      <c r="O239" s="4"/>
      <c r="P239" s="4"/>
      <c r="Q239" s="4"/>
      <c r="R239" s="4"/>
      <c r="S239" s="4"/>
      <c r="T239" s="4"/>
      <c r="U239" s="4"/>
      <c r="V239" s="4"/>
      <c r="W239" s="4"/>
      <c r="X239" s="4"/>
      <c r="Y239" s="4"/>
      <c r="Z239" s="4"/>
    </row>
    <row r="240" ht="15.75" customHeight="1">
      <c r="A240" s="1"/>
      <c r="B240" s="1"/>
      <c r="C240" s="1"/>
      <c r="D240" s="1"/>
      <c r="E240" s="1"/>
      <c r="F240" s="1"/>
      <c r="G240" s="4"/>
      <c r="H240" s="4"/>
      <c r="I240" s="4"/>
      <c r="J240" s="4"/>
      <c r="K240" s="4"/>
      <c r="L240" s="4"/>
      <c r="M240" s="4"/>
      <c r="N240" s="4"/>
      <c r="O240" s="4"/>
      <c r="P240" s="4"/>
      <c r="Q240" s="4"/>
      <c r="R240" s="4"/>
      <c r="S240" s="4"/>
      <c r="T240" s="4"/>
      <c r="U240" s="4"/>
      <c r="V240" s="4"/>
      <c r="W240" s="4"/>
      <c r="X240" s="4"/>
      <c r="Y240" s="4"/>
      <c r="Z240" s="4"/>
    </row>
    <row r="241" ht="15.75" customHeight="1">
      <c r="A241" s="1"/>
      <c r="B241" s="1"/>
      <c r="C241" s="1"/>
      <c r="D241" s="1"/>
      <c r="E241" s="1"/>
      <c r="F241" s="1"/>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2">
    <mergeCell ref="A23:F23"/>
    <mergeCell ref="A24:F24"/>
    <mergeCell ref="B25:F25"/>
    <mergeCell ref="B32:F32"/>
    <mergeCell ref="B37:F37"/>
    <mergeCell ref="A1:F1"/>
    <mergeCell ref="A2:F2"/>
    <mergeCell ref="A4:F4"/>
    <mergeCell ref="A5:F5"/>
    <mergeCell ref="A15:F15"/>
    <mergeCell ref="A17:F17"/>
    <mergeCell ref="B22:F22"/>
  </mergeCells>
  <conditionalFormatting sqref="F19:F21">
    <cfRule type="expression" dxfId="0" priority="1">
      <formula>F19="PASS"</formula>
    </cfRule>
  </conditionalFormatting>
  <conditionalFormatting sqref="F19:F21">
    <cfRule type="expression" dxfId="1" priority="2">
      <formula>F19="BREACH"</formula>
    </cfRule>
  </conditionalFormatting>
  <conditionalFormatting sqref="F19:F21">
    <cfRule type="expression" dxfId="2" priority="3">
      <formula>F19="N/A"</formula>
    </cfRule>
  </conditionalFormatting>
  <dataValidations>
    <dataValidation type="list" allowBlank="1" sqref="F19:F21">
      <formula1>"PASS,BREACH,N/A"</formula1>
    </dataValidation>
    <dataValidation type="list" allowBlank="1" showErrorMessage="1" sqref="F7:F9 F11 F13 F27:F29 F34:F36 F39:F42">
      <formula1>"PASS,BREACH,N/A"</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40.0"/>
    <col customWidth="1" min="3" max="4" width="16.0"/>
    <col customWidth="1" min="5" max="5" width="27.0"/>
    <col customWidth="1" min="6" max="7" width="22.0"/>
    <col customWidth="1" min="8" max="8" width="20.0"/>
  </cols>
  <sheetData>
    <row r="1" ht="24.0" customHeight="1">
      <c r="A1" s="39" t="s">
        <v>180</v>
      </c>
      <c r="G1" s="40"/>
      <c r="H1" s="40"/>
      <c r="I1" s="41"/>
      <c r="J1" s="41"/>
      <c r="K1" s="41"/>
      <c r="L1" s="41"/>
      <c r="M1" s="41"/>
      <c r="N1" s="41"/>
      <c r="O1" s="4"/>
      <c r="P1" s="4"/>
      <c r="Q1" s="4"/>
      <c r="R1" s="4"/>
      <c r="S1" s="4"/>
      <c r="T1" s="4"/>
      <c r="U1" s="4"/>
      <c r="V1" s="4"/>
      <c r="W1" s="4"/>
      <c r="X1" s="4"/>
      <c r="Y1" s="4"/>
      <c r="Z1" s="4"/>
    </row>
    <row r="2" ht="15.0" customHeight="1">
      <c r="A2" s="42" t="s">
        <v>182</v>
      </c>
      <c r="G2" s="43"/>
      <c r="H2" s="43"/>
      <c r="I2" s="41"/>
      <c r="J2" s="41"/>
      <c r="K2" s="41"/>
      <c r="L2" s="41"/>
      <c r="M2" s="41"/>
      <c r="N2" s="41"/>
      <c r="O2" s="4"/>
      <c r="P2" s="4"/>
      <c r="Q2" s="4"/>
      <c r="R2" s="4"/>
      <c r="S2" s="4"/>
      <c r="T2" s="4"/>
      <c r="U2" s="4"/>
      <c r="V2" s="4"/>
      <c r="W2" s="4"/>
      <c r="X2" s="4"/>
      <c r="Y2" s="4"/>
      <c r="Z2" s="4"/>
    </row>
    <row r="3" ht="15.0" customHeight="1">
      <c r="A3" s="2"/>
      <c r="B3" s="2"/>
      <c r="C3" s="2"/>
      <c r="D3" s="2"/>
      <c r="E3" s="2"/>
      <c r="F3" s="2"/>
      <c r="G3" s="41"/>
      <c r="H3" s="41"/>
      <c r="I3" s="41"/>
      <c r="J3" s="41"/>
      <c r="K3" s="41"/>
      <c r="L3" s="41"/>
      <c r="M3" s="41"/>
      <c r="N3" s="41"/>
      <c r="O3" s="4"/>
      <c r="P3" s="4"/>
      <c r="Q3" s="4"/>
      <c r="R3" s="4"/>
      <c r="S3" s="4"/>
      <c r="T3" s="4"/>
      <c r="U3" s="4"/>
      <c r="V3" s="4"/>
      <c r="W3" s="4"/>
      <c r="X3" s="4"/>
      <c r="Y3" s="4"/>
      <c r="Z3" s="4"/>
    </row>
    <row r="4" ht="15.0" customHeight="1">
      <c r="A4" s="44" t="s">
        <v>184</v>
      </c>
      <c r="G4" s="41"/>
      <c r="H4" s="41"/>
      <c r="I4" s="41"/>
      <c r="J4" s="41"/>
      <c r="K4" s="41"/>
      <c r="L4" s="41"/>
      <c r="M4" s="41"/>
      <c r="N4" s="41"/>
      <c r="O4" s="4"/>
      <c r="P4" s="4"/>
      <c r="Q4" s="4"/>
      <c r="R4" s="4"/>
      <c r="S4" s="4"/>
      <c r="T4" s="4"/>
      <c r="U4" s="4"/>
      <c r="V4" s="4"/>
      <c r="W4" s="4"/>
      <c r="X4" s="4"/>
      <c r="Y4" s="4"/>
      <c r="Z4" s="4"/>
    </row>
    <row r="5" ht="26.25" customHeight="1">
      <c r="A5" s="9"/>
      <c r="B5" s="46" t="s">
        <v>67</v>
      </c>
      <c r="C5" s="46" t="s">
        <v>160</v>
      </c>
      <c r="D5" s="46" t="s">
        <v>161</v>
      </c>
      <c r="E5" s="46" t="s">
        <v>187</v>
      </c>
      <c r="F5" s="46" t="s">
        <v>188</v>
      </c>
      <c r="G5" s="47" t="s">
        <v>164</v>
      </c>
      <c r="H5" s="48" t="s">
        <v>189</v>
      </c>
      <c r="I5" s="41"/>
      <c r="J5" s="41"/>
      <c r="K5" s="41"/>
      <c r="L5" s="41"/>
      <c r="M5" s="41"/>
      <c r="N5" s="41"/>
      <c r="O5" s="4"/>
      <c r="P5" s="4"/>
      <c r="Q5" s="4"/>
      <c r="R5" s="4"/>
      <c r="S5" s="4"/>
      <c r="T5" s="4"/>
      <c r="U5" s="4"/>
      <c r="V5" s="4"/>
      <c r="W5" s="4"/>
      <c r="X5" s="4"/>
      <c r="Y5" s="4"/>
      <c r="Z5" s="4"/>
    </row>
    <row r="6" ht="15.0" customHeight="1">
      <c r="A6" s="2"/>
      <c r="B6" s="51" t="s">
        <v>191</v>
      </c>
      <c r="C6" s="52"/>
      <c r="D6" s="52"/>
      <c r="E6" s="52" t="str">
        <f t="shared" ref="E6:E12" si="1">IF(AND(ISNUMBER(C6),ISNUMBER(D6)),C6-D6,"")</f>
        <v/>
      </c>
      <c r="F6" s="52"/>
      <c r="G6" s="41" t="s">
        <v>195</v>
      </c>
      <c r="H6" s="49" t="str">
        <f>IF(OR(C6="",'A — Scorecard Identity'!B27="",'A — Scorecard Identity'!B27&lt;=0),"",C6/'A — Scorecard Identity'!B27*1000)</f>
        <v/>
      </c>
      <c r="I6" s="41"/>
      <c r="J6" s="41"/>
      <c r="K6" s="41"/>
      <c r="L6" s="41"/>
      <c r="M6" s="41"/>
      <c r="N6" s="41"/>
      <c r="O6" s="4"/>
      <c r="P6" s="4"/>
      <c r="Q6" s="4"/>
      <c r="R6" s="4"/>
      <c r="S6" s="4"/>
      <c r="T6" s="4"/>
      <c r="U6" s="4"/>
      <c r="V6" s="4"/>
      <c r="W6" s="4"/>
      <c r="X6" s="4"/>
      <c r="Y6" s="4"/>
      <c r="Z6" s="4"/>
    </row>
    <row r="7" ht="15.0" customHeight="1">
      <c r="A7" s="2"/>
      <c r="B7" s="56" t="s">
        <v>201</v>
      </c>
      <c r="C7" s="57"/>
      <c r="D7" s="57"/>
      <c r="E7" s="57" t="str">
        <f t="shared" si="1"/>
        <v/>
      </c>
      <c r="F7" s="57"/>
      <c r="G7" s="41" t="s">
        <v>195</v>
      </c>
      <c r="H7" s="49" t="str">
        <f>IF(OR(C7="",'A — Scorecard Identity'!B27="",'A — Scorecard Identity'!B27&lt;=0),"",C7/'A — Scorecard Identity'!B27*1000)</f>
        <v/>
      </c>
      <c r="I7" s="41"/>
      <c r="J7" s="41"/>
      <c r="K7" s="41"/>
      <c r="L7" s="41"/>
      <c r="M7" s="41"/>
      <c r="N7" s="41"/>
      <c r="O7" s="4"/>
      <c r="P7" s="4"/>
      <c r="Q7" s="4"/>
      <c r="R7" s="4"/>
      <c r="S7" s="4"/>
      <c r="T7" s="4"/>
      <c r="U7" s="4"/>
      <c r="V7" s="4"/>
      <c r="W7" s="4"/>
      <c r="X7" s="4"/>
      <c r="Y7" s="4"/>
      <c r="Z7" s="4"/>
    </row>
    <row r="8" ht="15.0" customHeight="1">
      <c r="A8" s="2"/>
      <c r="B8" s="51" t="s">
        <v>206</v>
      </c>
      <c r="C8" s="52"/>
      <c r="D8" s="52"/>
      <c r="E8" s="52" t="str">
        <f t="shared" si="1"/>
        <v/>
      </c>
      <c r="F8" s="52"/>
      <c r="G8" s="41" t="s">
        <v>195</v>
      </c>
      <c r="H8" s="49" t="str">
        <f>IF(OR(C8="",'A — Scorecard Identity'!B27="",'A — Scorecard Identity'!B27&lt;=0),"",C8/'A — Scorecard Identity'!B27*1000)</f>
        <v/>
      </c>
      <c r="I8" s="41"/>
      <c r="J8" s="41"/>
      <c r="K8" s="41"/>
      <c r="L8" s="41"/>
      <c r="M8" s="41"/>
      <c r="N8" s="41"/>
      <c r="O8" s="4"/>
      <c r="P8" s="4"/>
      <c r="Q8" s="4"/>
      <c r="R8" s="4"/>
      <c r="S8" s="4"/>
      <c r="T8" s="4"/>
      <c r="U8" s="4"/>
      <c r="V8" s="4"/>
      <c r="W8" s="4"/>
      <c r="X8" s="4"/>
      <c r="Y8" s="4"/>
      <c r="Z8" s="4"/>
    </row>
    <row r="9" ht="15.0" customHeight="1">
      <c r="A9" s="2"/>
      <c r="B9" s="56" t="s">
        <v>209</v>
      </c>
      <c r="C9" s="57"/>
      <c r="D9" s="57"/>
      <c r="E9" s="57" t="str">
        <f t="shared" si="1"/>
        <v/>
      </c>
      <c r="F9" s="57"/>
      <c r="G9" s="41" t="s">
        <v>195</v>
      </c>
      <c r="H9" s="49" t="str">
        <f>IF(OR(C9="",'A — Scorecard Identity'!B27="",'A — Scorecard Identity'!B27&lt;=0),"",C9/'A — Scorecard Identity'!B27*1000)</f>
        <v/>
      </c>
      <c r="I9" s="41"/>
      <c r="J9" s="41"/>
      <c r="K9" s="41"/>
      <c r="L9" s="41"/>
      <c r="M9" s="41"/>
      <c r="N9" s="41"/>
      <c r="O9" s="4"/>
      <c r="P9" s="4"/>
      <c r="Q9" s="4"/>
      <c r="R9" s="4"/>
      <c r="S9" s="4"/>
      <c r="T9" s="4"/>
      <c r="U9" s="4"/>
      <c r="V9" s="4"/>
      <c r="W9" s="4"/>
      <c r="X9" s="4"/>
      <c r="Y9" s="4"/>
      <c r="Z9" s="4"/>
    </row>
    <row r="10" ht="36.0" customHeight="1">
      <c r="A10" s="2"/>
      <c r="B10" s="51" t="s">
        <v>216</v>
      </c>
      <c r="C10" s="52" t="str">
        <f t="shared" ref="C10:D10" si="2">IF(COUNT(C6:C9)=4,SUM(C6:C9),"")</f>
        <v/>
      </c>
      <c r="D10" s="52" t="str">
        <f t="shared" si="2"/>
        <v/>
      </c>
      <c r="E10" s="52" t="str">
        <f t="shared" si="1"/>
        <v/>
      </c>
      <c r="F10" s="52" t="str">
        <f>IF(COUNT(C6:C9)&lt;4,"INCOMPLETE - one or more classification rows not numeric","")</f>
        <v>INCOMPLETE - one or more classification rows not numeric</v>
      </c>
      <c r="G10" s="41" t="s">
        <v>195</v>
      </c>
      <c r="H10" s="49" t="str">
        <f>IF(AND(ISNUMBER(C10),ISNUMBER('A — Scorecard Identity'!B27),'A — Scorecard Identity'!B27&gt;0),C10/'A — Scorecard Identity'!B27*1000,"")</f>
        <v/>
      </c>
      <c r="I10" s="41"/>
      <c r="J10" s="41"/>
      <c r="K10" s="41"/>
      <c r="L10" s="41"/>
      <c r="M10" s="41"/>
      <c r="N10" s="41"/>
      <c r="O10" s="4"/>
      <c r="P10" s="4"/>
      <c r="Q10" s="4"/>
      <c r="R10" s="4"/>
      <c r="S10" s="4"/>
      <c r="T10" s="4"/>
      <c r="U10" s="4"/>
      <c r="V10" s="4"/>
      <c r="W10" s="4"/>
      <c r="X10" s="4"/>
      <c r="Y10" s="4"/>
      <c r="Z10" s="4"/>
    </row>
    <row r="11" ht="15.0" customHeight="1">
      <c r="A11" s="2"/>
      <c r="B11" s="56" t="s">
        <v>232</v>
      </c>
      <c r="C11" s="57"/>
      <c r="D11" s="57"/>
      <c r="E11" s="57" t="str">
        <f t="shared" si="1"/>
        <v/>
      </c>
      <c r="F11" s="57"/>
      <c r="G11" s="41" t="s">
        <v>195</v>
      </c>
      <c r="H11" s="49" t="str">
        <f>IF(OR(C11="",'A — Scorecard Identity'!B27="",'A — Scorecard Identity'!B27&lt;=0),"",C11/'A — Scorecard Identity'!B27*1000)</f>
        <v/>
      </c>
      <c r="I11" s="41"/>
      <c r="J11" s="41"/>
      <c r="K11" s="41"/>
      <c r="L11" s="41"/>
      <c r="M11" s="41"/>
      <c r="N11" s="41"/>
      <c r="O11" s="4"/>
      <c r="P11" s="4"/>
      <c r="Q11" s="4"/>
      <c r="R11" s="4"/>
      <c r="S11" s="4"/>
      <c r="T11" s="4"/>
      <c r="U11" s="4"/>
      <c r="V11" s="4"/>
      <c r="W11" s="4"/>
      <c r="X11" s="4"/>
      <c r="Y11" s="4"/>
      <c r="Z11" s="4"/>
    </row>
    <row r="12" ht="15.0" customHeight="1">
      <c r="A12" s="2"/>
      <c r="B12" s="51" t="s">
        <v>250</v>
      </c>
      <c r="C12" s="52"/>
      <c r="D12" s="52"/>
      <c r="E12" s="52" t="str">
        <f t="shared" si="1"/>
        <v/>
      </c>
      <c r="F12" s="52" t="str">
        <f>IF(AND(ISNUMBER(C12),ISNUMBER('H — Regulatory Status'!E18)),IF(C12='H — Regulatory Status'!E18,"OK","MISMATCH"),"")</f>
        <v/>
      </c>
      <c r="G12" s="41" t="s">
        <v>195</v>
      </c>
      <c r="H12" s="49" t="str">
        <f>IF(OR(C12="",'A — Scorecard Identity'!B27="",'A — Scorecard Identity'!B27&lt;=0),"",C12/'A — Scorecard Identity'!B27*1000)</f>
        <v/>
      </c>
      <c r="I12" s="41"/>
      <c r="J12" s="41"/>
      <c r="K12" s="41"/>
      <c r="L12" s="41"/>
      <c r="M12" s="41"/>
      <c r="N12" s="41"/>
      <c r="O12" s="4"/>
      <c r="P12" s="4"/>
      <c r="Q12" s="4"/>
      <c r="R12" s="4"/>
      <c r="S12" s="4"/>
      <c r="T12" s="4"/>
      <c r="U12" s="4"/>
      <c r="V12" s="4"/>
      <c r="W12" s="4"/>
      <c r="X12" s="4"/>
      <c r="Y12" s="4"/>
      <c r="Z12" s="4"/>
    </row>
    <row r="13" ht="15.0" customHeight="1">
      <c r="A13" s="45" t="s">
        <v>263</v>
      </c>
      <c r="G13" s="41"/>
      <c r="H13" s="41"/>
      <c r="I13" s="41"/>
      <c r="J13" s="41"/>
      <c r="K13" s="41"/>
      <c r="L13" s="41"/>
      <c r="M13" s="41"/>
      <c r="N13" s="41"/>
      <c r="O13" s="4"/>
      <c r="P13" s="4"/>
      <c r="Q13" s="4"/>
      <c r="R13" s="4"/>
      <c r="S13" s="4"/>
      <c r="T13" s="4"/>
      <c r="U13" s="4"/>
      <c r="V13" s="4"/>
      <c r="W13" s="4"/>
      <c r="X13" s="4"/>
      <c r="Y13" s="4"/>
      <c r="Z13" s="4"/>
    </row>
    <row r="14" ht="15.0" customHeight="1">
      <c r="A14" s="2"/>
      <c r="B14" s="2"/>
      <c r="C14" s="2"/>
      <c r="D14" s="2"/>
      <c r="E14" s="2"/>
      <c r="F14" s="2"/>
      <c r="G14" s="41"/>
      <c r="H14" s="41"/>
      <c r="I14" s="41"/>
      <c r="J14" s="41"/>
      <c r="K14" s="41"/>
      <c r="L14" s="41"/>
      <c r="M14" s="41"/>
      <c r="N14" s="41"/>
      <c r="O14" s="4"/>
      <c r="P14" s="4"/>
      <c r="Q14" s="4"/>
      <c r="R14" s="4"/>
      <c r="S14" s="4"/>
      <c r="T14" s="4"/>
      <c r="U14" s="4"/>
      <c r="V14" s="4"/>
      <c r="W14" s="4"/>
      <c r="X14" s="4"/>
      <c r="Y14" s="4"/>
      <c r="Z14" s="4"/>
    </row>
    <row r="15" ht="15.0" customHeight="1">
      <c r="A15" s="73" t="s">
        <v>271</v>
      </c>
      <c r="G15" s="74"/>
      <c r="H15" s="74"/>
      <c r="I15" s="41"/>
      <c r="J15" s="41"/>
      <c r="K15" s="41"/>
      <c r="L15" s="41"/>
      <c r="M15" s="41"/>
      <c r="N15" s="41"/>
      <c r="O15" s="4"/>
      <c r="P15" s="4"/>
      <c r="Q15" s="4"/>
      <c r="R15" s="4"/>
      <c r="S15" s="4"/>
      <c r="T15" s="4"/>
      <c r="U15" s="4"/>
      <c r="V15" s="4"/>
      <c r="W15" s="4"/>
      <c r="X15" s="4"/>
      <c r="Y15" s="4"/>
      <c r="Z15" s="4"/>
    </row>
    <row r="16" ht="24.0" customHeight="1">
      <c r="A16" s="75"/>
      <c r="B16" s="75" t="s">
        <v>272</v>
      </c>
      <c r="C16" s="75" t="s">
        <v>229</v>
      </c>
      <c r="D16" s="75" t="s">
        <v>273</v>
      </c>
      <c r="E16" s="75" t="s">
        <v>274</v>
      </c>
      <c r="F16" s="75" t="s">
        <v>163</v>
      </c>
      <c r="G16" s="74" t="s">
        <v>275</v>
      </c>
      <c r="H16" s="74" t="s">
        <v>7</v>
      </c>
      <c r="I16" s="41"/>
      <c r="J16" s="41"/>
      <c r="K16" s="41"/>
      <c r="L16" s="41"/>
      <c r="M16" s="41"/>
      <c r="N16" s="41"/>
      <c r="O16" s="4"/>
      <c r="P16" s="4"/>
      <c r="Q16" s="4"/>
      <c r="R16" s="4"/>
      <c r="S16" s="4"/>
      <c r="T16" s="4"/>
      <c r="U16" s="4"/>
      <c r="V16" s="4"/>
      <c r="W16" s="4"/>
      <c r="X16" s="4"/>
      <c r="Y16" s="4"/>
      <c r="Z16" s="4"/>
    </row>
    <row r="17" ht="36.0" customHeight="1">
      <c r="A17" s="12"/>
      <c r="B17" s="34" t="s">
        <v>277</v>
      </c>
      <c r="C17" s="34" t="s">
        <v>278</v>
      </c>
      <c r="D17" s="34"/>
      <c r="E17" s="34" t="s">
        <v>279</v>
      </c>
      <c r="F17" s="34"/>
      <c r="G17" s="76" t="s">
        <v>281</v>
      </c>
      <c r="H17" s="76" t="s">
        <v>283</v>
      </c>
      <c r="I17" s="41"/>
      <c r="J17" s="41"/>
      <c r="K17" s="41"/>
      <c r="L17" s="41"/>
      <c r="M17" s="41"/>
      <c r="N17" s="41"/>
      <c r="O17" s="4"/>
      <c r="P17" s="4"/>
      <c r="Q17" s="4"/>
      <c r="R17" s="4"/>
      <c r="S17" s="4"/>
      <c r="T17" s="4"/>
      <c r="U17" s="4"/>
      <c r="V17" s="4"/>
      <c r="W17" s="4"/>
      <c r="X17" s="4"/>
      <c r="Y17" s="4"/>
      <c r="Z17" s="4"/>
    </row>
    <row r="18" ht="132.0" customHeight="1">
      <c r="A18" s="16"/>
      <c r="B18" s="77" t="s">
        <v>288</v>
      </c>
      <c r="C18" s="77" t="s">
        <v>289</v>
      </c>
      <c r="D18" s="77"/>
      <c r="E18" s="77" t="s">
        <v>290</v>
      </c>
      <c r="F18" s="77"/>
      <c r="G18" s="78" t="s">
        <v>291</v>
      </c>
      <c r="H18" s="78" t="s">
        <v>292</v>
      </c>
      <c r="I18" s="41"/>
      <c r="J18" s="41"/>
      <c r="K18" s="41"/>
      <c r="L18" s="41"/>
      <c r="M18" s="41"/>
      <c r="N18" s="41"/>
      <c r="O18" s="4"/>
      <c r="P18" s="4"/>
      <c r="Q18" s="4"/>
      <c r="R18" s="4"/>
      <c r="S18" s="4"/>
      <c r="T18" s="4"/>
      <c r="U18" s="4"/>
      <c r="V18" s="4"/>
      <c r="W18" s="4"/>
      <c r="X18" s="4"/>
      <c r="Y18" s="4"/>
      <c r="Z18" s="4"/>
    </row>
    <row r="19" ht="84.0" customHeight="1">
      <c r="A19" s="12"/>
      <c r="B19" s="34" t="s">
        <v>294</v>
      </c>
      <c r="C19" s="34" t="s">
        <v>296</v>
      </c>
      <c r="D19" s="34"/>
      <c r="E19" s="34" t="s">
        <v>297</v>
      </c>
      <c r="F19" s="34"/>
      <c r="G19" s="76" t="s">
        <v>298</v>
      </c>
      <c r="H19" s="76" t="s">
        <v>299</v>
      </c>
      <c r="I19" s="41"/>
      <c r="J19" s="41"/>
      <c r="K19" s="41"/>
      <c r="L19" s="41"/>
      <c r="M19" s="41"/>
      <c r="N19" s="41"/>
      <c r="O19" s="4"/>
      <c r="P19" s="4"/>
      <c r="Q19" s="4"/>
      <c r="R19" s="4"/>
      <c r="S19" s="4"/>
      <c r="T19" s="4"/>
      <c r="U19" s="4"/>
      <c r="V19" s="4"/>
      <c r="W19" s="4"/>
      <c r="X19" s="4"/>
      <c r="Y19" s="4"/>
      <c r="Z19" s="4"/>
    </row>
    <row r="20" ht="132.0" customHeight="1">
      <c r="A20" s="16"/>
      <c r="B20" s="77" t="s">
        <v>301</v>
      </c>
      <c r="C20" s="77" t="s">
        <v>302</v>
      </c>
      <c r="D20" s="77"/>
      <c r="E20" s="77" t="s">
        <v>303</v>
      </c>
      <c r="F20" s="77"/>
      <c r="G20" s="78" t="s">
        <v>306</v>
      </c>
      <c r="H20" s="78" t="s">
        <v>292</v>
      </c>
      <c r="I20" s="41"/>
      <c r="J20" s="41"/>
      <c r="K20" s="41"/>
      <c r="L20" s="41"/>
      <c r="M20" s="41"/>
      <c r="N20" s="41"/>
      <c r="O20" s="4"/>
      <c r="P20" s="4"/>
      <c r="Q20" s="4"/>
      <c r="R20" s="4"/>
      <c r="S20" s="4"/>
      <c r="T20" s="4"/>
      <c r="U20" s="4"/>
      <c r="V20" s="4"/>
      <c r="W20" s="4"/>
      <c r="X20" s="4"/>
      <c r="Y20" s="4"/>
      <c r="Z20" s="4"/>
    </row>
    <row r="21" ht="60.0" customHeight="1">
      <c r="A21" s="12"/>
      <c r="B21" s="34" t="s">
        <v>308</v>
      </c>
      <c r="C21" s="34" t="s">
        <v>309</v>
      </c>
      <c r="D21" s="34"/>
      <c r="E21" s="34" t="s">
        <v>310</v>
      </c>
      <c r="F21" s="34"/>
      <c r="G21" s="76" t="s">
        <v>311</v>
      </c>
      <c r="H21" s="76"/>
      <c r="I21" s="41"/>
      <c r="J21" s="41"/>
      <c r="K21" s="41"/>
      <c r="L21" s="41"/>
      <c r="M21" s="41"/>
      <c r="N21" s="41"/>
      <c r="O21" s="4"/>
      <c r="P21" s="4"/>
      <c r="Q21" s="4"/>
      <c r="R21" s="4"/>
      <c r="S21" s="4"/>
      <c r="T21" s="4"/>
      <c r="U21" s="4"/>
      <c r="V21" s="4"/>
      <c r="W21" s="4"/>
      <c r="X21" s="4"/>
      <c r="Y21" s="4"/>
      <c r="Z21" s="4"/>
    </row>
    <row r="22" ht="36.0" customHeight="1">
      <c r="A22" s="16"/>
      <c r="B22" s="77" t="s">
        <v>312</v>
      </c>
      <c r="C22" s="77" t="s">
        <v>313</v>
      </c>
      <c r="D22" s="77"/>
      <c r="E22" s="77" t="s">
        <v>314</v>
      </c>
      <c r="F22" s="77"/>
      <c r="G22" s="78" t="s">
        <v>311</v>
      </c>
      <c r="H22" s="78"/>
      <c r="I22" s="41"/>
      <c r="J22" s="41"/>
      <c r="K22" s="41"/>
      <c r="L22" s="41"/>
      <c r="M22" s="41"/>
      <c r="N22" s="41"/>
      <c r="O22" s="4"/>
      <c r="P22" s="4"/>
      <c r="Q22" s="4"/>
      <c r="R22" s="4"/>
      <c r="S22" s="4"/>
      <c r="T22" s="4"/>
      <c r="U22" s="4"/>
      <c r="V22" s="4"/>
      <c r="W22" s="4"/>
      <c r="X22" s="4"/>
      <c r="Y22" s="4"/>
      <c r="Z22" s="4"/>
    </row>
    <row r="23" ht="36.0" customHeight="1">
      <c r="A23" s="12"/>
      <c r="B23" s="34" t="s">
        <v>316</v>
      </c>
      <c r="C23" s="34" t="s">
        <v>317</v>
      </c>
      <c r="D23" s="82"/>
      <c r="E23" s="34" t="s">
        <v>322</v>
      </c>
      <c r="F23" s="34"/>
      <c r="G23" s="76" t="s">
        <v>311</v>
      </c>
      <c r="H23" s="76"/>
      <c r="I23" s="41"/>
      <c r="J23" s="41"/>
      <c r="K23" s="41"/>
      <c r="L23" s="41"/>
      <c r="M23" s="41"/>
      <c r="N23" s="41"/>
      <c r="O23" s="4"/>
      <c r="P23" s="4"/>
      <c r="Q23" s="4"/>
      <c r="R23" s="4"/>
      <c r="S23" s="4"/>
      <c r="T23" s="4"/>
      <c r="U23" s="4"/>
      <c r="V23" s="4"/>
      <c r="W23" s="4"/>
      <c r="X23" s="4"/>
      <c r="Y23" s="4"/>
      <c r="Z23" s="4"/>
    </row>
    <row r="24" ht="48.0" customHeight="1">
      <c r="A24" s="2"/>
      <c r="B24" s="78" t="s">
        <v>325</v>
      </c>
      <c r="C24" s="78" t="s">
        <v>326</v>
      </c>
      <c r="D24" s="78"/>
      <c r="E24" s="78" t="s">
        <v>330</v>
      </c>
      <c r="F24" s="78"/>
      <c r="G24" s="78" t="s">
        <v>334</v>
      </c>
      <c r="H24" s="78"/>
      <c r="I24" s="41"/>
      <c r="J24" s="41"/>
      <c r="K24" s="41"/>
      <c r="L24" s="41"/>
      <c r="M24" s="41"/>
      <c r="N24" s="41"/>
      <c r="O24" s="4"/>
      <c r="P24" s="4"/>
      <c r="Q24" s="4"/>
      <c r="R24" s="4"/>
      <c r="S24" s="4"/>
      <c r="T24" s="4"/>
      <c r="U24" s="4"/>
      <c r="V24" s="4"/>
      <c r="W24" s="4"/>
      <c r="X24" s="4"/>
      <c r="Y24" s="4"/>
      <c r="Z24" s="4"/>
    </row>
    <row r="25" ht="36.0" customHeight="1">
      <c r="A25" s="2"/>
      <c r="B25" s="76" t="s">
        <v>336</v>
      </c>
      <c r="C25" s="76" t="s">
        <v>337</v>
      </c>
      <c r="D25" s="76"/>
      <c r="E25" s="76" t="s">
        <v>338</v>
      </c>
      <c r="F25" s="76"/>
      <c r="G25" s="76" t="s">
        <v>339</v>
      </c>
      <c r="H25" s="76"/>
      <c r="I25" s="41"/>
      <c r="J25" s="41"/>
      <c r="K25" s="41"/>
      <c r="L25" s="41"/>
      <c r="M25" s="41"/>
      <c r="N25" s="41"/>
      <c r="O25" s="4"/>
      <c r="P25" s="4"/>
      <c r="Q25" s="4"/>
      <c r="R25" s="4"/>
      <c r="S25" s="4"/>
      <c r="T25" s="4"/>
      <c r="U25" s="4"/>
      <c r="V25" s="4"/>
      <c r="W25" s="4"/>
      <c r="X25" s="4"/>
      <c r="Y25" s="4"/>
      <c r="Z25" s="4"/>
    </row>
    <row r="26" ht="36.0" customHeight="1">
      <c r="A26" s="2"/>
      <c r="B26" s="78" t="s">
        <v>341</v>
      </c>
      <c r="C26" s="78" t="s">
        <v>343</v>
      </c>
      <c r="D26" s="78" t="str">
        <f>IF(AND(ISNUMBER(C9),ISNUMBER(C10),C10&gt;0),C9/C10,"")</f>
        <v/>
      </c>
      <c r="E26" s="78" t="s">
        <v>346</v>
      </c>
      <c r="F26" s="78"/>
      <c r="G26" s="78" t="s">
        <v>347</v>
      </c>
      <c r="H26" s="78"/>
      <c r="I26" s="41"/>
      <c r="J26" s="41"/>
      <c r="K26" s="41"/>
      <c r="L26" s="41"/>
      <c r="M26" s="41"/>
      <c r="N26" s="41"/>
      <c r="O26" s="4"/>
      <c r="P26" s="4"/>
      <c r="Q26" s="4"/>
      <c r="R26" s="4"/>
      <c r="S26" s="4"/>
      <c r="T26" s="4"/>
      <c r="U26" s="4"/>
      <c r="V26" s="4"/>
      <c r="W26" s="4"/>
      <c r="X26" s="4"/>
      <c r="Y26" s="4"/>
      <c r="Z26" s="4"/>
    </row>
    <row r="27" ht="36.0" customHeight="1">
      <c r="A27" s="2"/>
      <c r="B27" s="76" t="s">
        <v>350</v>
      </c>
      <c r="C27" s="76" t="s">
        <v>351</v>
      </c>
      <c r="D27" s="76" t="str">
        <f>IF('C — Behavioral Risk'!C21="","",'C — Behavioral Risk'!C21)</f>
        <v/>
      </c>
      <c r="E27" s="76" t="s">
        <v>353</v>
      </c>
      <c r="F27" s="76" t="str">
        <f>IF('C — Behavioral Risk'!F21="","",'C — Behavioral Risk'!F21)</f>
        <v/>
      </c>
      <c r="G27" s="76" t="s">
        <v>355</v>
      </c>
      <c r="H27" s="76" t="s">
        <v>356</v>
      </c>
      <c r="I27" s="41"/>
      <c r="J27" s="41"/>
      <c r="K27" s="41"/>
      <c r="L27" s="41"/>
      <c r="M27" s="41"/>
      <c r="N27" s="41"/>
      <c r="O27" s="4"/>
      <c r="P27" s="4"/>
      <c r="Q27" s="4"/>
      <c r="R27" s="4"/>
      <c r="S27" s="4"/>
      <c r="T27" s="4"/>
      <c r="U27" s="4"/>
      <c r="V27" s="4"/>
      <c r="W27" s="4"/>
      <c r="X27" s="4"/>
      <c r="Y27" s="4"/>
      <c r="Z27" s="4"/>
    </row>
    <row r="28" ht="36.0" customHeight="1">
      <c r="A28" s="2"/>
      <c r="B28" s="78" t="s">
        <v>358</v>
      </c>
      <c r="C28" s="78" t="s">
        <v>359</v>
      </c>
      <c r="D28" s="78" t="str">
        <f>IF('C — Behavioral Risk'!C29="","",'C — Behavioral Risk'!C29)</f>
        <v/>
      </c>
      <c r="E28" s="78" t="s">
        <v>363</v>
      </c>
      <c r="F28" s="78" t="str">
        <f>IF('C — Behavioral Risk'!F29="","",'C — Behavioral Risk'!F29)</f>
        <v/>
      </c>
      <c r="G28" s="78" t="s">
        <v>364</v>
      </c>
      <c r="H28" s="78" t="s">
        <v>356</v>
      </c>
      <c r="I28" s="41"/>
      <c r="J28" s="41"/>
      <c r="K28" s="41"/>
      <c r="L28" s="41"/>
      <c r="M28" s="41"/>
      <c r="N28" s="41"/>
      <c r="O28" s="4"/>
      <c r="P28" s="4"/>
      <c r="Q28" s="4"/>
      <c r="R28" s="4"/>
      <c r="S28" s="4"/>
      <c r="T28" s="4"/>
      <c r="U28" s="4"/>
      <c r="V28" s="4"/>
      <c r="W28" s="4"/>
      <c r="X28" s="4"/>
      <c r="Y28" s="4"/>
      <c r="Z28" s="4"/>
    </row>
    <row r="29" ht="36.0" customHeight="1">
      <c r="A29" s="2"/>
      <c r="B29" s="76" t="s">
        <v>366</v>
      </c>
      <c r="C29" s="76" t="s">
        <v>367</v>
      </c>
      <c r="D29" s="76" t="str">
        <f>COUNTIF('F — Exercise Results'!E20:E24,"PASS")&amp;"/5 prerequisite TVAs current"</f>
        <v>0/5 prerequisite TVAs current</v>
      </c>
      <c r="E29" s="76" t="s">
        <v>369</v>
      </c>
      <c r="F29" s="76" t="str">
        <f>IF('F — Exercise Results'!E25="","",'F — Exercise Results'!E25)</f>
        <v>BREACH</v>
      </c>
      <c r="G29" s="76" t="s">
        <v>371</v>
      </c>
      <c r="H29" s="76" t="s">
        <v>356</v>
      </c>
      <c r="I29" s="41"/>
      <c r="J29" s="41"/>
      <c r="K29" s="41"/>
      <c r="L29" s="41"/>
      <c r="M29" s="41"/>
      <c r="N29" s="41"/>
      <c r="O29" s="4"/>
      <c r="P29" s="4"/>
      <c r="Q29" s="4"/>
      <c r="R29" s="4"/>
      <c r="S29" s="4"/>
      <c r="T29" s="4"/>
      <c r="U29" s="4"/>
      <c r="V29" s="4"/>
      <c r="W29" s="4"/>
      <c r="X29" s="4"/>
      <c r="Y29" s="4"/>
      <c r="Z29" s="4"/>
    </row>
    <row r="30" ht="91.5" customHeight="1">
      <c r="A30" s="2"/>
      <c r="B30" s="78" t="s">
        <v>373</v>
      </c>
      <c r="C30" s="78" t="s">
        <v>374</v>
      </c>
      <c r="D30" s="78"/>
      <c r="E30" s="78" t="s">
        <v>375</v>
      </c>
      <c r="F30" s="78"/>
      <c r="G30" s="78" t="s">
        <v>377</v>
      </c>
      <c r="H30" s="78" t="s">
        <v>292</v>
      </c>
      <c r="I30" s="41"/>
      <c r="J30" s="41"/>
      <c r="K30" s="41"/>
      <c r="L30" s="41"/>
      <c r="M30" s="41"/>
      <c r="N30" s="41"/>
      <c r="O30" s="4"/>
      <c r="P30" s="4"/>
      <c r="Q30" s="4"/>
      <c r="R30" s="4"/>
      <c r="S30" s="4"/>
      <c r="T30" s="4"/>
      <c r="U30" s="4"/>
      <c r="V30" s="4"/>
      <c r="W30" s="4"/>
      <c r="X30" s="4"/>
      <c r="Y30" s="4"/>
      <c r="Z30" s="4"/>
    </row>
    <row r="31" ht="15.75" customHeight="1">
      <c r="A31" s="2"/>
      <c r="B31" s="2"/>
      <c r="C31" s="2"/>
      <c r="D31" s="2"/>
      <c r="E31" s="2"/>
      <c r="F31" s="2"/>
      <c r="G31" s="41"/>
      <c r="H31" s="41"/>
      <c r="I31" s="41"/>
      <c r="J31" s="41"/>
      <c r="K31" s="41"/>
      <c r="L31" s="41"/>
      <c r="M31" s="41"/>
      <c r="N31" s="41"/>
      <c r="O31" s="4"/>
      <c r="P31" s="4"/>
      <c r="Q31" s="4"/>
      <c r="R31" s="4"/>
      <c r="S31" s="4"/>
      <c r="T31" s="4"/>
      <c r="U31" s="4"/>
      <c r="V31" s="4"/>
      <c r="W31" s="4"/>
      <c r="X31" s="4"/>
      <c r="Y31" s="4"/>
      <c r="Z31" s="4"/>
    </row>
    <row r="32" ht="25.5" customHeight="1">
      <c r="A32" s="73" t="s">
        <v>379</v>
      </c>
      <c r="I32" s="41"/>
      <c r="J32" s="41"/>
      <c r="K32" s="41"/>
      <c r="L32" s="41"/>
      <c r="M32" s="41"/>
      <c r="N32" s="41"/>
      <c r="O32" s="4"/>
      <c r="P32" s="4"/>
      <c r="Q32" s="4"/>
      <c r="R32" s="4"/>
      <c r="S32" s="4"/>
      <c r="T32" s="4"/>
      <c r="U32" s="4"/>
      <c r="V32" s="4"/>
      <c r="W32" s="4"/>
      <c r="X32" s="4"/>
      <c r="Y32" s="4"/>
      <c r="Z32" s="4"/>
    </row>
    <row r="33" ht="42.0" customHeight="1">
      <c r="A33" s="88" t="s">
        <v>381</v>
      </c>
      <c r="I33" s="41"/>
      <c r="J33" s="41"/>
      <c r="K33" s="41"/>
      <c r="L33" s="41"/>
      <c r="M33" s="41"/>
      <c r="N33" s="41"/>
      <c r="O33" s="4"/>
      <c r="P33" s="4"/>
      <c r="Q33" s="4"/>
      <c r="R33" s="4"/>
      <c r="S33" s="4"/>
      <c r="T33" s="4"/>
      <c r="U33" s="4"/>
      <c r="V33" s="4"/>
      <c r="W33" s="4"/>
      <c r="X33" s="4"/>
      <c r="Y33" s="4"/>
      <c r="Z33" s="4"/>
    </row>
    <row r="34" ht="24.0" customHeight="1">
      <c r="A34" s="2"/>
      <c r="B34" s="83" t="s">
        <v>383</v>
      </c>
      <c r="C34" s="83" t="s">
        <v>384</v>
      </c>
      <c r="D34" s="83" t="s">
        <v>385</v>
      </c>
      <c r="E34" s="83" t="s">
        <v>386</v>
      </c>
      <c r="F34" s="83" t="s">
        <v>387</v>
      </c>
      <c r="G34" s="83" t="s">
        <v>163</v>
      </c>
      <c r="H34" s="83" t="s">
        <v>388</v>
      </c>
      <c r="I34" s="41"/>
      <c r="J34" s="41"/>
      <c r="K34" s="41"/>
      <c r="L34" s="41"/>
      <c r="M34" s="41"/>
      <c r="N34" s="41"/>
      <c r="O34" s="4"/>
      <c r="P34" s="4"/>
      <c r="Q34" s="4"/>
      <c r="R34" s="4"/>
      <c r="S34" s="4"/>
      <c r="T34" s="4"/>
      <c r="U34" s="4"/>
      <c r="V34" s="4"/>
      <c r="W34" s="4"/>
      <c r="X34" s="4"/>
      <c r="Y34" s="4"/>
      <c r="Z34" s="4"/>
    </row>
    <row r="35" ht="24.0" customHeight="1">
      <c r="A35" s="2"/>
      <c r="B35" s="76" t="s">
        <v>389</v>
      </c>
      <c r="C35" s="76"/>
      <c r="D35" s="76"/>
      <c r="E35" s="76">
        <v>500.0</v>
      </c>
      <c r="F35" s="76"/>
      <c r="G35" s="29"/>
      <c r="H35" s="29"/>
      <c r="I35" s="41"/>
      <c r="J35" s="41"/>
      <c r="K35" s="41"/>
      <c r="L35" s="41"/>
      <c r="M35" s="41"/>
      <c r="N35" s="41"/>
      <c r="O35" s="4"/>
      <c r="P35" s="4"/>
      <c r="Q35" s="4"/>
      <c r="R35" s="4"/>
      <c r="S35" s="4"/>
      <c r="T35" s="4"/>
      <c r="U35" s="4"/>
      <c r="V35" s="4"/>
      <c r="W35" s="4"/>
      <c r="X35" s="4"/>
      <c r="Y35" s="4"/>
      <c r="Z35" s="4"/>
    </row>
    <row r="36" ht="24.0" customHeight="1">
      <c r="A36" s="2"/>
      <c r="B36" s="78" t="s">
        <v>390</v>
      </c>
      <c r="C36" s="78"/>
      <c r="D36" s="78"/>
      <c r="E36" s="78">
        <v>1000.0</v>
      </c>
      <c r="F36" s="78"/>
      <c r="G36" s="29"/>
      <c r="H36" s="29"/>
      <c r="I36" s="41"/>
      <c r="J36" s="41"/>
      <c r="K36" s="41"/>
      <c r="L36" s="41"/>
      <c r="M36" s="41"/>
      <c r="N36" s="41"/>
      <c r="O36" s="4"/>
      <c r="P36" s="4"/>
      <c r="Q36" s="4"/>
      <c r="R36" s="4"/>
      <c r="S36" s="4"/>
      <c r="T36" s="4"/>
      <c r="U36" s="4"/>
      <c r="V36" s="4"/>
      <c r="W36" s="4"/>
      <c r="X36" s="4"/>
      <c r="Y36" s="4"/>
      <c r="Z36" s="4"/>
    </row>
    <row r="37" ht="24.0" customHeight="1">
      <c r="A37" s="2"/>
      <c r="B37" s="76" t="s">
        <v>391</v>
      </c>
      <c r="C37" s="76"/>
      <c r="D37" s="76"/>
      <c r="E37" s="76">
        <v>200.0</v>
      </c>
      <c r="F37" s="76"/>
      <c r="G37" s="29"/>
      <c r="H37" s="29"/>
      <c r="I37" s="41"/>
      <c r="J37" s="41"/>
      <c r="K37" s="41"/>
      <c r="L37" s="41"/>
      <c r="M37" s="41"/>
      <c r="N37" s="41"/>
      <c r="O37" s="4"/>
      <c r="P37" s="4"/>
      <c r="Q37" s="4"/>
      <c r="R37" s="4"/>
      <c r="S37" s="4"/>
      <c r="T37" s="4"/>
      <c r="U37" s="4"/>
      <c r="V37" s="4"/>
      <c r="W37" s="4"/>
      <c r="X37" s="4"/>
      <c r="Y37" s="4"/>
      <c r="Z37" s="4"/>
    </row>
    <row r="38" ht="36.0" customHeight="1">
      <c r="A38" s="2"/>
      <c r="B38" s="29" t="s">
        <v>393</v>
      </c>
      <c r="C38" s="29" t="s">
        <v>394</v>
      </c>
      <c r="D38" s="29"/>
      <c r="E38" s="29"/>
      <c r="F38" s="29"/>
      <c r="G38" s="29"/>
      <c r="H38" s="29"/>
      <c r="I38" s="41"/>
      <c r="J38" s="41"/>
      <c r="K38" s="41"/>
      <c r="L38" s="41"/>
      <c r="M38" s="41"/>
      <c r="N38" s="41"/>
      <c r="O38" s="4"/>
      <c r="P38" s="4"/>
      <c r="Q38" s="4"/>
      <c r="R38" s="4"/>
      <c r="S38" s="4"/>
      <c r="T38" s="4"/>
      <c r="U38" s="4"/>
      <c r="V38" s="4"/>
      <c r="W38" s="4"/>
      <c r="X38" s="4"/>
      <c r="Y38" s="4"/>
      <c r="Z38" s="4"/>
    </row>
    <row r="39" ht="36.0" customHeight="1">
      <c r="A39" s="2"/>
      <c r="B39" s="29" t="s">
        <v>395</v>
      </c>
      <c r="C39" s="29" t="s">
        <v>396</v>
      </c>
      <c r="D39" s="29"/>
      <c r="E39" s="29"/>
      <c r="F39" s="29"/>
      <c r="G39" s="29"/>
      <c r="H39" s="29"/>
      <c r="I39" s="41"/>
      <c r="J39" s="41"/>
      <c r="K39" s="41"/>
      <c r="L39" s="41"/>
      <c r="M39" s="41"/>
      <c r="N39" s="41"/>
      <c r="O39" s="4"/>
      <c r="P39" s="4"/>
      <c r="Q39" s="4"/>
      <c r="R39" s="4"/>
      <c r="S39" s="4"/>
      <c r="T39" s="4"/>
      <c r="U39" s="4"/>
      <c r="V39" s="4"/>
      <c r="W39" s="4"/>
      <c r="X39" s="4"/>
      <c r="Y39" s="4"/>
      <c r="Z39" s="4"/>
    </row>
    <row r="40" ht="15.75" customHeight="1">
      <c r="A40" s="2"/>
      <c r="B40" s="2"/>
      <c r="C40" s="2"/>
      <c r="D40" s="2"/>
      <c r="E40" s="2"/>
      <c r="F40" s="2"/>
      <c r="G40" s="41"/>
      <c r="H40" s="41"/>
      <c r="I40" s="41"/>
      <c r="J40" s="41"/>
      <c r="K40" s="41"/>
      <c r="L40" s="41"/>
      <c r="M40" s="41"/>
      <c r="N40" s="41"/>
      <c r="O40" s="4"/>
      <c r="P40" s="4"/>
      <c r="Q40" s="4"/>
      <c r="R40" s="4"/>
      <c r="S40" s="4"/>
      <c r="T40" s="4"/>
      <c r="U40" s="4"/>
      <c r="V40" s="4"/>
      <c r="W40" s="4"/>
      <c r="X40" s="4"/>
      <c r="Y40" s="4"/>
      <c r="Z40" s="4"/>
    </row>
    <row r="41" ht="25.5" customHeight="1">
      <c r="A41" s="73" t="s">
        <v>398</v>
      </c>
      <c r="I41" s="41"/>
      <c r="J41" s="41"/>
      <c r="K41" s="41"/>
      <c r="L41" s="41"/>
      <c r="M41" s="41"/>
      <c r="N41" s="41"/>
      <c r="O41" s="4"/>
      <c r="P41" s="4"/>
      <c r="Q41" s="4"/>
      <c r="R41" s="4"/>
      <c r="S41" s="4"/>
      <c r="T41" s="4"/>
      <c r="U41" s="4"/>
      <c r="V41" s="4"/>
      <c r="W41" s="4"/>
      <c r="X41" s="4"/>
      <c r="Y41" s="4"/>
      <c r="Z41" s="4"/>
    </row>
    <row r="42" ht="45.75" customHeight="1">
      <c r="A42" s="88" t="s">
        <v>400</v>
      </c>
      <c r="I42" s="41"/>
      <c r="J42" s="41"/>
      <c r="K42" s="41"/>
      <c r="L42" s="41"/>
      <c r="M42" s="41"/>
      <c r="N42" s="41"/>
      <c r="O42" s="4"/>
      <c r="P42" s="4"/>
      <c r="Q42" s="4"/>
      <c r="R42" s="4"/>
      <c r="S42" s="4"/>
      <c r="T42" s="4"/>
      <c r="U42" s="4"/>
      <c r="V42" s="4"/>
      <c r="W42" s="4"/>
      <c r="X42" s="4"/>
      <c r="Y42" s="4"/>
      <c r="Z42" s="4"/>
    </row>
    <row r="43" ht="15.0" customHeight="1">
      <c r="A43" s="2"/>
      <c r="B43" s="83" t="s">
        <v>124</v>
      </c>
      <c r="C43" s="83" t="s">
        <v>401</v>
      </c>
      <c r="D43" s="83" t="s">
        <v>402</v>
      </c>
      <c r="E43" s="83" t="s">
        <v>403</v>
      </c>
      <c r="F43" s="83" t="s">
        <v>161</v>
      </c>
      <c r="G43" s="83" t="s">
        <v>404</v>
      </c>
      <c r="H43" s="83" t="s">
        <v>405</v>
      </c>
      <c r="I43" s="41"/>
      <c r="J43" s="41"/>
      <c r="K43" s="41"/>
      <c r="L43" s="41"/>
      <c r="M43" s="41"/>
      <c r="N43" s="41"/>
      <c r="O43" s="4"/>
      <c r="P43" s="4"/>
      <c r="Q43" s="4"/>
      <c r="R43" s="4"/>
      <c r="S43" s="4"/>
      <c r="T43" s="4"/>
      <c r="U43" s="4"/>
      <c r="V43" s="4"/>
      <c r="W43" s="4"/>
      <c r="X43" s="4"/>
      <c r="Y43" s="4"/>
      <c r="Z43" s="4"/>
    </row>
    <row r="44" ht="24.0" customHeight="1">
      <c r="A44" s="2"/>
      <c r="B44" s="76" t="s">
        <v>407</v>
      </c>
      <c r="C44" s="76" t="s">
        <v>408</v>
      </c>
      <c r="D44" s="76" t="s">
        <v>409</v>
      </c>
      <c r="E44" s="76" t="str">
        <f>IF(AND(C6&lt;&gt;"",'A — Scorecard Identity'!B25&lt;&gt;"",'A — Scorecard Identity'!B25&gt;0),C6/'A — Scorecard Identity'!B25*1000,"")</f>
        <v/>
      </c>
      <c r="F44" s="76"/>
      <c r="G44" s="76" t="str">
        <f t="shared" ref="G44:G48" si="3">IF(AND(ISNUMBER(E44),ISNUMBER(F44)),E44-F44,"")</f>
        <v/>
      </c>
      <c r="H44" s="76" t="s">
        <v>415</v>
      </c>
      <c r="I44" s="41"/>
      <c r="J44" s="41"/>
      <c r="K44" s="41"/>
      <c r="L44" s="41"/>
      <c r="M44" s="41"/>
      <c r="N44" s="41"/>
      <c r="O44" s="4"/>
      <c r="P44" s="4"/>
      <c r="Q44" s="4"/>
      <c r="R44" s="4"/>
      <c r="S44" s="4"/>
      <c r="T44" s="4"/>
      <c r="U44" s="4"/>
      <c r="V44" s="4"/>
      <c r="W44" s="4"/>
      <c r="X44" s="4"/>
      <c r="Y44" s="4"/>
      <c r="Z44" s="4"/>
    </row>
    <row r="45" ht="24.0" customHeight="1">
      <c r="A45" s="2"/>
      <c r="B45" s="78" t="s">
        <v>417</v>
      </c>
      <c r="C45" s="78" t="s">
        <v>418</v>
      </c>
      <c r="D45" s="78" t="s">
        <v>419</v>
      </c>
      <c r="E45" s="78" t="str">
        <f>IF(AND(C7&lt;&gt;"",'A — Scorecard Identity'!B28&lt;&gt;"",'A — Scorecard Identity'!B28&gt;0),C7/'A — Scorecard Identity'!B28*1000,"")</f>
        <v/>
      </c>
      <c r="F45" s="78"/>
      <c r="G45" s="78" t="str">
        <f t="shared" si="3"/>
        <v/>
      </c>
      <c r="H45" s="78" t="s">
        <v>423</v>
      </c>
      <c r="I45" s="41"/>
      <c r="J45" s="41"/>
      <c r="K45" s="41"/>
      <c r="L45" s="41"/>
      <c r="M45" s="41"/>
      <c r="N45" s="41"/>
      <c r="O45" s="4"/>
      <c r="P45" s="4"/>
      <c r="Q45" s="4"/>
      <c r="R45" s="4"/>
      <c r="S45" s="4"/>
      <c r="T45" s="4"/>
      <c r="U45" s="4"/>
      <c r="V45" s="4"/>
      <c r="W45" s="4"/>
      <c r="X45" s="4"/>
      <c r="Y45" s="4"/>
      <c r="Z45" s="4"/>
    </row>
    <row r="46" ht="36.0" customHeight="1">
      <c r="A46" s="2"/>
      <c r="B46" s="76" t="s">
        <v>425</v>
      </c>
      <c r="C46" s="76" t="s">
        <v>427</v>
      </c>
      <c r="D46" s="76" t="s">
        <v>429</v>
      </c>
      <c r="E46" s="76"/>
      <c r="F46" s="76"/>
      <c r="G46" s="76" t="str">
        <f t="shared" si="3"/>
        <v/>
      </c>
      <c r="H46" s="76" t="s">
        <v>435</v>
      </c>
      <c r="I46" s="41"/>
      <c r="J46" s="41"/>
      <c r="K46" s="41"/>
      <c r="L46" s="41"/>
      <c r="M46" s="41"/>
      <c r="N46" s="41"/>
      <c r="O46" s="4"/>
      <c r="P46" s="4"/>
      <c r="Q46" s="4"/>
      <c r="R46" s="4"/>
      <c r="S46" s="4"/>
      <c r="T46" s="4"/>
      <c r="U46" s="4"/>
      <c r="V46" s="4"/>
      <c r="W46" s="4"/>
      <c r="X46" s="4"/>
      <c r="Y46" s="4"/>
      <c r="Z46" s="4"/>
    </row>
    <row r="47" ht="24.0" customHeight="1">
      <c r="A47" s="2"/>
      <c r="B47" s="78" t="s">
        <v>437</v>
      </c>
      <c r="C47" s="78" t="s">
        <v>438</v>
      </c>
      <c r="D47" s="78" t="s">
        <v>429</v>
      </c>
      <c r="E47" s="78"/>
      <c r="F47" s="78"/>
      <c r="G47" s="78" t="str">
        <f t="shared" si="3"/>
        <v/>
      </c>
      <c r="H47" s="78" t="s">
        <v>435</v>
      </c>
      <c r="I47" s="41"/>
      <c r="J47" s="41"/>
      <c r="K47" s="41"/>
      <c r="L47" s="41"/>
      <c r="M47" s="41"/>
      <c r="N47" s="41"/>
      <c r="O47" s="4"/>
      <c r="P47" s="4"/>
      <c r="Q47" s="4"/>
      <c r="R47" s="4"/>
      <c r="S47" s="4"/>
      <c r="T47" s="4"/>
      <c r="U47" s="4"/>
      <c r="V47" s="4"/>
      <c r="W47" s="4"/>
      <c r="X47" s="4"/>
      <c r="Y47" s="4"/>
      <c r="Z47" s="4"/>
    </row>
    <row r="48" ht="15.75" customHeight="1">
      <c r="A48" s="2"/>
      <c r="B48" s="29" t="s">
        <v>439</v>
      </c>
      <c r="C48" s="29" t="s">
        <v>440</v>
      </c>
      <c r="D48" s="29" t="s">
        <v>419</v>
      </c>
      <c r="E48" s="29" t="str">
        <f>IF(AND(C8&lt;&gt;"",'A — Scorecard Identity'!B28&lt;&gt;"",'A — Scorecard Identity'!B28&gt;0),C8/'A — Scorecard Identity'!B28*1000,"")</f>
        <v/>
      </c>
      <c r="F48" s="29"/>
      <c r="G48" s="29" t="str">
        <f t="shared" si="3"/>
        <v/>
      </c>
      <c r="H48" s="29" t="s">
        <v>423</v>
      </c>
      <c r="I48" s="41"/>
      <c r="J48" s="41"/>
      <c r="K48" s="41"/>
      <c r="L48" s="41"/>
      <c r="M48" s="41"/>
      <c r="N48" s="41"/>
      <c r="O48" s="4"/>
      <c r="P48" s="4"/>
      <c r="Q48" s="4"/>
      <c r="R48" s="4"/>
      <c r="S48" s="4"/>
      <c r="T48" s="4"/>
      <c r="U48" s="4"/>
      <c r="V48" s="4"/>
      <c r="W48" s="4"/>
      <c r="X48" s="4"/>
      <c r="Y48" s="4"/>
      <c r="Z48" s="4"/>
    </row>
    <row r="49" ht="15.75" customHeight="1">
      <c r="A49" s="2"/>
      <c r="B49" s="2"/>
      <c r="C49" s="2"/>
      <c r="D49" s="2"/>
      <c r="E49" s="2"/>
      <c r="F49" s="2"/>
      <c r="G49" s="41"/>
      <c r="H49" s="41"/>
      <c r="I49" s="41"/>
      <c r="J49" s="41"/>
      <c r="K49" s="41"/>
      <c r="L49" s="41"/>
      <c r="M49" s="41"/>
      <c r="N49" s="41"/>
      <c r="O49" s="4"/>
      <c r="P49" s="4"/>
      <c r="Q49" s="4"/>
      <c r="R49" s="4"/>
      <c r="S49" s="4"/>
      <c r="T49" s="4"/>
      <c r="U49" s="4"/>
      <c r="V49" s="4"/>
      <c r="W49" s="4"/>
      <c r="X49" s="4"/>
      <c r="Y49" s="4"/>
      <c r="Z49" s="4"/>
    </row>
    <row r="50" ht="15.75" customHeight="1">
      <c r="A50" s="2"/>
      <c r="B50" s="2"/>
      <c r="C50" s="2"/>
      <c r="D50" s="2"/>
      <c r="E50" s="2"/>
      <c r="F50" s="2"/>
      <c r="G50" s="41"/>
      <c r="H50" s="41"/>
      <c r="I50" s="41"/>
      <c r="J50" s="41"/>
      <c r="K50" s="41"/>
      <c r="L50" s="41"/>
      <c r="M50" s="41"/>
      <c r="N50" s="41"/>
      <c r="O50" s="4"/>
      <c r="P50" s="4"/>
      <c r="Q50" s="4"/>
      <c r="R50" s="4"/>
      <c r="S50" s="4"/>
      <c r="T50" s="4"/>
      <c r="U50" s="4"/>
      <c r="V50" s="4"/>
      <c r="W50" s="4"/>
      <c r="X50" s="4"/>
      <c r="Y50" s="4"/>
      <c r="Z50" s="4"/>
    </row>
    <row r="51" ht="15.75" customHeight="1">
      <c r="A51" s="2"/>
      <c r="B51" s="2"/>
      <c r="C51" s="2"/>
      <c r="D51" s="2"/>
      <c r="E51" s="2"/>
      <c r="F51" s="2"/>
      <c r="G51" s="41"/>
      <c r="H51" s="41"/>
      <c r="I51" s="41"/>
      <c r="J51" s="41"/>
      <c r="K51" s="41"/>
      <c r="L51" s="41"/>
      <c r="M51" s="41"/>
      <c r="N51" s="41"/>
      <c r="O51" s="4"/>
      <c r="P51" s="4"/>
      <c r="Q51" s="4"/>
      <c r="R51" s="4"/>
      <c r="S51" s="4"/>
      <c r="T51" s="4"/>
      <c r="U51" s="4"/>
      <c r="V51" s="4"/>
      <c r="W51" s="4"/>
      <c r="X51" s="4"/>
      <c r="Y51" s="4"/>
      <c r="Z51" s="4"/>
    </row>
    <row r="52" ht="15.75" customHeight="1">
      <c r="A52" s="2"/>
      <c r="B52" s="2"/>
      <c r="C52" s="2"/>
      <c r="D52" s="2"/>
      <c r="E52" s="2"/>
      <c r="F52" s="2"/>
      <c r="G52" s="41"/>
      <c r="H52" s="41"/>
      <c r="I52" s="41"/>
      <c r="J52" s="41"/>
      <c r="K52" s="41"/>
      <c r="L52" s="41"/>
      <c r="M52" s="41"/>
      <c r="N52" s="41"/>
      <c r="O52" s="4"/>
      <c r="P52" s="4"/>
      <c r="Q52" s="4"/>
      <c r="R52" s="4"/>
      <c r="S52" s="4"/>
      <c r="T52" s="4"/>
      <c r="U52" s="4"/>
      <c r="V52" s="4"/>
      <c r="W52" s="4"/>
      <c r="X52" s="4"/>
      <c r="Y52" s="4"/>
      <c r="Z52" s="4"/>
    </row>
    <row r="53" ht="15.75" customHeight="1">
      <c r="A53" s="2"/>
      <c r="B53" s="2"/>
      <c r="C53" s="2"/>
      <c r="D53" s="2"/>
      <c r="E53" s="2"/>
      <c r="F53" s="2"/>
      <c r="G53" s="41"/>
      <c r="H53" s="41"/>
      <c r="I53" s="41"/>
      <c r="J53" s="41"/>
      <c r="K53" s="41"/>
      <c r="L53" s="41"/>
      <c r="M53" s="41"/>
      <c r="N53" s="41"/>
      <c r="O53" s="4"/>
      <c r="P53" s="4"/>
      <c r="Q53" s="4"/>
      <c r="R53" s="4"/>
      <c r="S53" s="4"/>
      <c r="T53" s="4"/>
      <c r="U53" s="4"/>
      <c r="V53" s="4"/>
      <c r="W53" s="4"/>
      <c r="X53" s="4"/>
      <c r="Y53" s="4"/>
      <c r="Z53" s="4"/>
    </row>
    <row r="54" ht="15.75" customHeight="1">
      <c r="A54" s="2"/>
      <c r="B54" s="2"/>
      <c r="C54" s="2"/>
      <c r="D54" s="2"/>
      <c r="E54" s="2"/>
      <c r="F54" s="2"/>
      <c r="G54" s="41"/>
      <c r="H54" s="41"/>
      <c r="I54" s="41"/>
      <c r="J54" s="41"/>
      <c r="K54" s="41"/>
      <c r="L54" s="41"/>
      <c r="M54" s="41"/>
      <c r="N54" s="41"/>
      <c r="O54" s="4"/>
      <c r="P54" s="4"/>
      <c r="Q54" s="4"/>
      <c r="R54" s="4"/>
      <c r="S54" s="4"/>
      <c r="T54" s="4"/>
      <c r="U54" s="4"/>
      <c r="V54" s="4"/>
      <c r="W54" s="4"/>
      <c r="X54" s="4"/>
      <c r="Y54" s="4"/>
      <c r="Z54" s="4"/>
    </row>
    <row r="55" ht="15.75" customHeight="1">
      <c r="A55" s="2"/>
      <c r="B55" s="2"/>
      <c r="C55" s="2"/>
      <c r="D55" s="2"/>
      <c r="E55" s="2"/>
      <c r="F55" s="2"/>
      <c r="G55" s="41"/>
      <c r="H55" s="41"/>
      <c r="I55" s="41"/>
      <c r="J55" s="41"/>
      <c r="K55" s="41"/>
      <c r="L55" s="41"/>
      <c r="M55" s="41"/>
      <c r="N55" s="41"/>
      <c r="O55" s="4"/>
      <c r="P55" s="4"/>
      <c r="Q55" s="4"/>
      <c r="R55" s="4"/>
      <c r="S55" s="4"/>
      <c r="T55" s="4"/>
      <c r="U55" s="4"/>
      <c r="V55" s="4"/>
      <c r="W55" s="4"/>
      <c r="X55" s="4"/>
      <c r="Y55" s="4"/>
      <c r="Z55" s="4"/>
    </row>
    <row r="56" ht="15.75" customHeight="1">
      <c r="A56" s="2"/>
      <c r="B56" s="2"/>
      <c r="C56" s="2"/>
      <c r="D56" s="2"/>
      <c r="E56" s="2"/>
      <c r="F56" s="2"/>
      <c r="G56" s="41"/>
      <c r="H56" s="41"/>
      <c r="I56" s="41"/>
      <c r="J56" s="41"/>
      <c r="K56" s="41"/>
      <c r="L56" s="41"/>
      <c r="M56" s="41"/>
      <c r="N56" s="41"/>
      <c r="O56" s="4"/>
      <c r="P56" s="4"/>
      <c r="Q56" s="4"/>
      <c r="R56" s="4"/>
      <c r="S56" s="4"/>
      <c r="T56" s="4"/>
      <c r="U56" s="4"/>
      <c r="V56" s="4"/>
      <c r="W56" s="4"/>
      <c r="X56" s="4"/>
      <c r="Y56" s="4"/>
      <c r="Z56" s="4"/>
    </row>
    <row r="57" ht="15.75" customHeight="1">
      <c r="A57" s="2"/>
      <c r="B57" s="2"/>
      <c r="C57" s="2"/>
      <c r="D57" s="2"/>
      <c r="E57" s="2"/>
      <c r="F57" s="2"/>
      <c r="G57" s="41"/>
      <c r="H57" s="41"/>
      <c r="I57" s="41"/>
      <c r="J57" s="41"/>
      <c r="K57" s="41"/>
      <c r="L57" s="41"/>
      <c r="M57" s="41"/>
      <c r="N57" s="41"/>
      <c r="O57" s="4"/>
      <c r="P57" s="4"/>
      <c r="Q57" s="4"/>
      <c r="R57" s="4"/>
      <c r="S57" s="4"/>
      <c r="T57" s="4"/>
      <c r="U57" s="4"/>
      <c r="V57" s="4"/>
      <c r="W57" s="4"/>
      <c r="X57" s="4"/>
      <c r="Y57" s="4"/>
      <c r="Z57" s="4"/>
    </row>
    <row r="58" ht="15.75" customHeight="1">
      <c r="A58" s="2"/>
      <c r="B58" s="2"/>
      <c r="C58" s="2"/>
      <c r="D58" s="2"/>
      <c r="E58" s="2"/>
      <c r="F58" s="2"/>
      <c r="G58" s="41"/>
      <c r="H58" s="41"/>
      <c r="I58" s="41"/>
      <c r="J58" s="41"/>
      <c r="K58" s="41"/>
      <c r="L58" s="41"/>
      <c r="M58" s="41"/>
      <c r="N58" s="41"/>
      <c r="O58" s="4"/>
      <c r="P58" s="4"/>
      <c r="Q58" s="4"/>
      <c r="R58" s="4"/>
      <c r="S58" s="4"/>
      <c r="T58" s="4"/>
      <c r="U58" s="4"/>
      <c r="V58" s="4"/>
      <c r="W58" s="4"/>
      <c r="X58" s="4"/>
      <c r="Y58" s="4"/>
      <c r="Z58" s="4"/>
    </row>
    <row r="59" ht="15.75" customHeight="1">
      <c r="A59" s="2"/>
      <c r="B59" s="2"/>
      <c r="C59" s="2"/>
      <c r="D59" s="2"/>
      <c r="E59" s="2"/>
      <c r="F59" s="2"/>
      <c r="G59" s="41"/>
      <c r="H59" s="41"/>
      <c r="I59" s="41"/>
      <c r="J59" s="41"/>
      <c r="K59" s="41"/>
      <c r="L59" s="41"/>
      <c r="M59" s="41"/>
      <c r="N59" s="41"/>
      <c r="O59" s="4"/>
      <c r="P59" s="4"/>
      <c r="Q59" s="4"/>
      <c r="R59" s="4"/>
      <c r="S59" s="4"/>
      <c r="T59" s="4"/>
      <c r="U59" s="4"/>
      <c r="V59" s="4"/>
      <c r="W59" s="4"/>
      <c r="X59" s="4"/>
      <c r="Y59" s="4"/>
      <c r="Z59" s="4"/>
    </row>
    <row r="60" ht="15.75" customHeight="1">
      <c r="A60" s="2"/>
      <c r="B60" s="2"/>
      <c r="C60" s="2"/>
      <c r="D60" s="2"/>
      <c r="E60" s="2"/>
      <c r="F60" s="2"/>
      <c r="G60" s="41"/>
      <c r="H60" s="41"/>
      <c r="I60" s="41"/>
      <c r="J60" s="41"/>
      <c r="K60" s="41"/>
      <c r="L60" s="41"/>
      <c r="M60" s="41"/>
      <c r="N60" s="41"/>
      <c r="O60" s="4"/>
      <c r="P60" s="4"/>
      <c r="Q60" s="4"/>
      <c r="R60" s="4"/>
      <c r="S60" s="4"/>
      <c r="T60" s="4"/>
      <c r="U60" s="4"/>
      <c r="V60" s="4"/>
      <c r="W60" s="4"/>
      <c r="X60" s="4"/>
      <c r="Y60" s="4"/>
      <c r="Z60" s="4"/>
    </row>
    <row r="61" ht="15.75" customHeight="1">
      <c r="A61" s="2"/>
      <c r="B61" s="2"/>
      <c r="C61" s="2"/>
      <c r="D61" s="2"/>
      <c r="E61" s="2"/>
      <c r="F61" s="2"/>
      <c r="G61" s="41"/>
      <c r="H61" s="41"/>
      <c r="I61" s="41"/>
      <c r="J61" s="41"/>
      <c r="K61" s="41"/>
      <c r="L61" s="41"/>
      <c r="M61" s="41"/>
      <c r="N61" s="41"/>
      <c r="O61" s="4"/>
      <c r="P61" s="4"/>
      <c r="Q61" s="4"/>
      <c r="R61" s="4"/>
      <c r="S61" s="4"/>
      <c r="T61" s="4"/>
      <c r="U61" s="4"/>
      <c r="V61" s="4"/>
      <c r="W61" s="4"/>
      <c r="X61" s="4"/>
      <c r="Y61" s="4"/>
      <c r="Z61" s="4"/>
    </row>
    <row r="62" ht="15.75" customHeight="1">
      <c r="A62" s="2"/>
      <c r="B62" s="2"/>
      <c r="C62" s="2"/>
      <c r="D62" s="2"/>
      <c r="E62" s="2"/>
      <c r="F62" s="2"/>
      <c r="G62" s="41"/>
      <c r="H62" s="41"/>
      <c r="I62" s="41"/>
      <c r="J62" s="41"/>
      <c r="K62" s="41"/>
      <c r="L62" s="41"/>
      <c r="M62" s="41"/>
      <c r="N62" s="41"/>
      <c r="O62" s="4"/>
      <c r="P62" s="4"/>
      <c r="Q62" s="4"/>
      <c r="R62" s="4"/>
      <c r="S62" s="4"/>
      <c r="T62" s="4"/>
      <c r="U62" s="4"/>
      <c r="V62" s="4"/>
      <c r="W62" s="4"/>
      <c r="X62" s="4"/>
      <c r="Y62" s="4"/>
      <c r="Z62" s="4"/>
    </row>
    <row r="63" ht="15.75" customHeight="1">
      <c r="A63" s="2"/>
      <c r="B63" s="2"/>
      <c r="C63" s="2"/>
      <c r="D63" s="2"/>
      <c r="E63" s="2"/>
      <c r="F63" s="2"/>
      <c r="G63" s="41"/>
      <c r="H63" s="41"/>
      <c r="I63" s="41"/>
      <c r="J63" s="41"/>
      <c r="K63" s="41"/>
      <c r="L63" s="41"/>
      <c r="M63" s="41"/>
      <c r="N63" s="41"/>
      <c r="O63" s="4"/>
      <c r="P63" s="4"/>
      <c r="Q63" s="4"/>
      <c r="R63" s="4"/>
      <c r="S63" s="4"/>
      <c r="T63" s="4"/>
      <c r="U63" s="4"/>
      <c r="V63" s="4"/>
      <c r="W63" s="4"/>
      <c r="X63" s="4"/>
      <c r="Y63" s="4"/>
      <c r="Z63" s="4"/>
    </row>
    <row r="64" ht="15.75" customHeight="1">
      <c r="A64" s="2"/>
      <c r="B64" s="2"/>
      <c r="C64" s="2"/>
      <c r="D64" s="2"/>
      <c r="E64" s="2"/>
      <c r="F64" s="2"/>
      <c r="G64" s="41"/>
      <c r="H64" s="41"/>
      <c r="I64" s="41"/>
      <c r="J64" s="41"/>
      <c r="K64" s="41"/>
      <c r="L64" s="41"/>
      <c r="M64" s="41"/>
      <c r="N64" s="41"/>
      <c r="O64" s="4"/>
      <c r="P64" s="4"/>
      <c r="Q64" s="4"/>
      <c r="R64" s="4"/>
      <c r="S64" s="4"/>
      <c r="T64" s="4"/>
      <c r="U64" s="4"/>
      <c r="V64" s="4"/>
      <c r="W64" s="4"/>
      <c r="X64" s="4"/>
      <c r="Y64" s="4"/>
      <c r="Z64" s="4"/>
    </row>
    <row r="65" ht="15.75" customHeight="1">
      <c r="A65" s="2"/>
      <c r="B65" s="2"/>
      <c r="C65" s="2"/>
      <c r="D65" s="2"/>
      <c r="E65" s="2"/>
      <c r="F65" s="2"/>
      <c r="G65" s="41"/>
      <c r="H65" s="41"/>
      <c r="I65" s="41"/>
      <c r="J65" s="41"/>
      <c r="K65" s="41"/>
      <c r="L65" s="41"/>
      <c r="M65" s="41"/>
      <c r="N65" s="41"/>
      <c r="O65" s="4"/>
      <c r="P65" s="4"/>
      <c r="Q65" s="4"/>
      <c r="R65" s="4"/>
      <c r="S65" s="4"/>
      <c r="T65" s="4"/>
      <c r="U65" s="4"/>
      <c r="V65" s="4"/>
      <c r="W65" s="4"/>
      <c r="X65" s="4"/>
      <c r="Y65" s="4"/>
      <c r="Z65" s="4"/>
    </row>
    <row r="66" ht="15.75" customHeight="1">
      <c r="A66" s="2"/>
      <c r="B66" s="2"/>
      <c r="C66" s="2"/>
      <c r="D66" s="2"/>
      <c r="E66" s="2"/>
      <c r="F66" s="2"/>
      <c r="G66" s="41"/>
      <c r="H66" s="41"/>
      <c r="I66" s="41"/>
      <c r="J66" s="41"/>
      <c r="K66" s="41"/>
      <c r="L66" s="41"/>
      <c r="M66" s="41"/>
      <c r="N66" s="41"/>
      <c r="O66" s="4"/>
      <c r="P66" s="4"/>
      <c r="Q66" s="4"/>
      <c r="R66" s="4"/>
      <c r="S66" s="4"/>
      <c r="T66" s="4"/>
      <c r="U66" s="4"/>
      <c r="V66" s="4"/>
      <c r="W66" s="4"/>
      <c r="X66" s="4"/>
      <c r="Y66" s="4"/>
      <c r="Z66" s="4"/>
    </row>
    <row r="67" ht="15.75" customHeight="1">
      <c r="A67" s="2"/>
      <c r="B67" s="2"/>
      <c r="C67" s="2"/>
      <c r="D67" s="2"/>
      <c r="E67" s="2"/>
      <c r="F67" s="2"/>
      <c r="G67" s="41"/>
      <c r="H67" s="41"/>
      <c r="I67" s="41"/>
      <c r="J67" s="41"/>
      <c r="K67" s="41"/>
      <c r="L67" s="41"/>
      <c r="M67" s="41"/>
      <c r="N67" s="41"/>
      <c r="O67" s="4"/>
      <c r="P67" s="4"/>
      <c r="Q67" s="4"/>
      <c r="R67" s="4"/>
      <c r="S67" s="4"/>
      <c r="T67" s="4"/>
      <c r="U67" s="4"/>
      <c r="V67" s="4"/>
      <c r="W67" s="4"/>
      <c r="X67" s="4"/>
      <c r="Y67" s="4"/>
      <c r="Z67" s="4"/>
    </row>
    <row r="68" ht="15.75" customHeight="1">
      <c r="A68" s="2"/>
      <c r="B68" s="2"/>
      <c r="C68" s="2"/>
      <c r="D68" s="2"/>
      <c r="E68" s="2"/>
      <c r="F68" s="2"/>
      <c r="G68" s="41"/>
      <c r="H68" s="41"/>
      <c r="I68" s="41"/>
      <c r="J68" s="41"/>
      <c r="K68" s="41"/>
      <c r="L68" s="41"/>
      <c r="M68" s="41"/>
      <c r="N68" s="41"/>
      <c r="O68" s="4"/>
      <c r="P68" s="4"/>
      <c r="Q68" s="4"/>
      <c r="R68" s="4"/>
      <c r="S68" s="4"/>
      <c r="T68" s="4"/>
      <c r="U68" s="4"/>
      <c r="V68" s="4"/>
      <c r="W68" s="4"/>
      <c r="X68" s="4"/>
      <c r="Y68" s="4"/>
      <c r="Z68" s="4"/>
    </row>
    <row r="69" ht="15.75" customHeight="1">
      <c r="A69" s="2"/>
      <c r="B69" s="2"/>
      <c r="C69" s="2"/>
      <c r="D69" s="2"/>
      <c r="E69" s="2"/>
      <c r="F69" s="2"/>
      <c r="G69" s="41"/>
      <c r="H69" s="41"/>
      <c r="I69" s="41"/>
      <c r="J69" s="41"/>
      <c r="K69" s="41"/>
      <c r="L69" s="41"/>
      <c r="M69" s="41"/>
      <c r="N69" s="41"/>
      <c r="O69" s="4"/>
      <c r="P69" s="4"/>
      <c r="Q69" s="4"/>
      <c r="R69" s="4"/>
      <c r="S69" s="4"/>
      <c r="T69" s="4"/>
      <c r="U69" s="4"/>
      <c r="V69" s="4"/>
      <c r="W69" s="4"/>
      <c r="X69" s="4"/>
      <c r="Y69" s="4"/>
      <c r="Z69" s="4"/>
    </row>
    <row r="70" ht="15.75" customHeight="1">
      <c r="A70" s="2"/>
      <c r="B70" s="2"/>
      <c r="C70" s="2"/>
      <c r="D70" s="2"/>
      <c r="E70" s="2"/>
      <c r="F70" s="2"/>
      <c r="G70" s="41"/>
      <c r="H70" s="41"/>
      <c r="I70" s="41"/>
      <c r="J70" s="41"/>
      <c r="K70" s="41"/>
      <c r="L70" s="41"/>
      <c r="M70" s="41"/>
      <c r="N70" s="41"/>
      <c r="O70" s="4"/>
      <c r="P70" s="4"/>
      <c r="Q70" s="4"/>
      <c r="R70" s="4"/>
      <c r="S70" s="4"/>
      <c r="T70" s="4"/>
      <c r="U70" s="4"/>
      <c r="V70" s="4"/>
      <c r="W70" s="4"/>
      <c r="X70" s="4"/>
      <c r="Y70" s="4"/>
      <c r="Z70" s="4"/>
    </row>
    <row r="71" ht="15.75" customHeight="1">
      <c r="A71" s="2"/>
      <c r="B71" s="2"/>
      <c r="C71" s="2"/>
      <c r="D71" s="2"/>
      <c r="E71" s="2"/>
      <c r="F71" s="2"/>
      <c r="G71" s="41"/>
      <c r="H71" s="41"/>
      <c r="I71" s="41"/>
      <c r="J71" s="41"/>
      <c r="K71" s="41"/>
      <c r="L71" s="41"/>
      <c r="M71" s="41"/>
      <c r="N71" s="41"/>
      <c r="O71" s="4"/>
      <c r="P71" s="4"/>
      <c r="Q71" s="4"/>
      <c r="R71" s="4"/>
      <c r="S71" s="4"/>
      <c r="T71" s="4"/>
      <c r="U71" s="4"/>
      <c r="V71" s="4"/>
      <c r="W71" s="4"/>
      <c r="X71" s="4"/>
      <c r="Y71" s="4"/>
      <c r="Z71" s="4"/>
    </row>
    <row r="72" ht="15.75" customHeight="1">
      <c r="A72" s="2"/>
      <c r="B72" s="2"/>
      <c r="C72" s="2"/>
      <c r="D72" s="2"/>
      <c r="E72" s="2"/>
      <c r="F72" s="2"/>
      <c r="G72" s="41"/>
      <c r="H72" s="41"/>
      <c r="I72" s="41"/>
      <c r="J72" s="41"/>
      <c r="K72" s="41"/>
      <c r="L72" s="41"/>
      <c r="M72" s="41"/>
      <c r="N72" s="41"/>
      <c r="O72" s="4"/>
      <c r="P72" s="4"/>
      <c r="Q72" s="4"/>
      <c r="R72" s="4"/>
      <c r="S72" s="4"/>
      <c r="T72" s="4"/>
      <c r="U72" s="4"/>
      <c r="V72" s="4"/>
      <c r="W72" s="4"/>
      <c r="X72" s="4"/>
      <c r="Y72" s="4"/>
      <c r="Z72" s="4"/>
    </row>
    <row r="73" ht="15.75" customHeight="1">
      <c r="A73" s="2"/>
      <c r="B73" s="2"/>
      <c r="C73" s="2"/>
      <c r="D73" s="2"/>
      <c r="E73" s="2"/>
      <c r="F73" s="2"/>
      <c r="G73" s="41"/>
      <c r="H73" s="41"/>
      <c r="I73" s="41"/>
      <c r="J73" s="41"/>
      <c r="K73" s="41"/>
      <c r="L73" s="41"/>
      <c r="M73" s="41"/>
      <c r="N73" s="41"/>
      <c r="O73" s="4"/>
      <c r="P73" s="4"/>
      <c r="Q73" s="4"/>
      <c r="R73" s="4"/>
      <c r="S73" s="4"/>
      <c r="T73" s="4"/>
      <c r="U73" s="4"/>
      <c r="V73" s="4"/>
      <c r="W73" s="4"/>
      <c r="X73" s="4"/>
      <c r="Y73" s="4"/>
      <c r="Z73" s="4"/>
    </row>
    <row r="74" ht="15.75" customHeight="1">
      <c r="A74" s="2"/>
      <c r="B74" s="2"/>
      <c r="C74" s="2"/>
      <c r="D74" s="2"/>
      <c r="E74" s="2"/>
      <c r="F74" s="2"/>
      <c r="G74" s="41"/>
      <c r="H74" s="41"/>
      <c r="I74" s="41"/>
      <c r="J74" s="41"/>
      <c r="K74" s="41"/>
      <c r="L74" s="41"/>
      <c r="M74" s="41"/>
      <c r="N74" s="41"/>
      <c r="O74" s="4"/>
      <c r="P74" s="4"/>
      <c r="Q74" s="4"/>
      <c r="R74" s="4"/>
      <c r="S74" s="4"/>
      <c r="T74" s="4"/>
      <c r="U74" s="4"/>
      <c r="V74" s="4"/>
      <c r="W74" s="4"/>
      <c r="X74" s="4"/>
      <c r="Y74" s="4"/>
      <c r="Z74" s="4"/>
    </row>
    <row r="75" ht="15.75" customHeight="1">
      <c r="A75" s="2"/>
      <c r="B75" s="2"/>
      <c r="C75" s="2"/>
      <c r="D75" s="2"/>
      <c r="E75" s="2"/>
      <c r="F75" s="2"/>
      <c r="G75" s="41"/>
      <c r="H75" s="41"/>
      <c r="I75" s="41"/>
      <c r="J75" s="41"/>
      <c r="K75" s="41"/>
      <c r="L75" s="41"/>
      <c r="M75" s="41"/>
      <c r="N75" s="41"/>
      <c r="O75" s="4"/>
      <c r="P75" s="4"/>
      <c r="Q75" s="4"/>
      <c r="R75" s="4"/>
      <c r="S75" s="4"/>
      <c r="T75" s="4"/>
      <c r="U75" s="4"/>
      <c r="V75" s="4"/>
      <c r="W75" s="4"/>
      <c r="X75" s="4"/>
      <c r="Y75" s="4"/>
      <c r="Z75" s="4"/>
    </row>
    <row r="76" ht="15.75" customHeight="1">
      <c r="A76" s="2"/>
      <c r="B76" s="2"/>
      <c r="C76" s="2"/>
      <c r="D76" s="2"/>
      <c r="E76" s="2"/>
      <c r="F76" s="2"/>
      <c r="G76" s="41"/>
      <c r="H76" s="41"/>
      <c r="I76" s="41"/>
      <c r="J76" s="41"/>
      <c r="K76" s="41"/>
      <c r="L76" s="41"/>
      <c r="M76" s="41"/>
      <c r="N76" s="41"/>
      <c r="O76" s="4"/>
      <c r="P76" s="4"/>
      <c r="Q76" s="4"/>
      <c r="R76" s="4"/>
      <c r="S76" s="4"/>
      <c r="T76" s="4"/>
      <c r="U76" s="4"/>
      <c r="V76" s="4"/>
      <c r="W76" s="4"/>
      <c r="X76" s="4"/>
      <c r="Y76" s="4"/>
      <c r="Z76" s="4"/>
    </row>
    <row r="77" ht="15.75" customHeight="1">
      <c r="A77" s="2"/>
      <c r="B77" s="2"/>
      <c r="C77" s="2"/>
      <c r="D77" s="2"/>
      <c r="E77" s="2"/>
      <c r="F77" s="2"/>
      <c r="G77" s="41"/>
      <c r="H77" s="41"/>
      <c r="I77" s="41"/>
      <c r="J77" s="41"/>
      <c r="K77" s="41"/>
      <c r="L77" s="41"/>
      <c r="M77" s="41"/>
      <c r="N77" s="41"/>
      <c r="O77" s="4"/>
      <c r="P77" s="4"/>
      <c r="Q77" s="4"/>
      <c r="R77" s="4"/>
      <c r="S77" s="4"/>
      <c r="T77" s="4"/>
      <c r="U77" s="4"/>
      <c r="V77" s="4"/>
      <c r="W77" s="4"/>
      <c r="X77" s="4"/>
      <c r="Y77" s="4"/>
      <c r="Z77" s="4"/>
    </row>
    <row r="78" ht="15.75" customHeight="1">
      <c r="A78" s="2"/>
      <c r="B78" s="2"/>
      <c r="C78" s="2"/>
      <c r="D78" s="2"/>
      <c r="E78" s="2"/>
      <c r="F78" s="2"/>
      <c r="G78" s="41"/>
      <c r="H78" s="41"/>
      <c r="I78" s="41"/>
      <c r="J78" s="41"/>
      <c r="K78" s="41"/>
      <c r="L78" s="41"/>
      <c r="M78" s="41"/>
      <c r="N78" s="41"/>
      <c r="O78" s="4"/>
      <c r="P78" s="4"/>
      <c r="Q78" s="4"/>
      <c r="R78" s="4"/>
      <c r="S78" s="4"/>
      <c r="T78" s="4"/>
      <c r="U78" s="4"/>
      <c r="V78" s="4"/>
      <c r="W78" s="4"/>
      <c r="X78" s="4"/>
      <c r="Y78" s="4"/>
      <c r="Z78" s="4"/>
    </row>
    <row r="79" ht="15.75" customHeight="1">
      <c r="A79" s="2"/>
      <c r="B79" s="2"/>
      <c r="C79" s="2"/>
      <c r="D79" s="2"/>
      <c r="E79" s="2"/>
      <c r="F79" s="2"/>
      <c r="G79" s="41"/>
      <c r="H79" s="41"/>
      <c r="I79" s="41"/>
      <c r="J79" s="41"/>
      <c r="K79" s="41"/>
      <c r="L79" s="41"/>
      <c r="M79" s="41"/>
      <c r="N79" s="41"/>
      <c r="O79" s="4"/>
      <c r="P79" s="4"/>
      <c r="Q79" s="4"/>
      <c r="R79" s="4"/>
      <c r="S79" s="4"/>
      <c r="T79" s="4"/>
      <c r="U79" s="4"/>
      <c r="V79" s="4"/>
      <c r="W79" s="4"/>
      <c r="X79" s="4"/>
      <c r="Y79" s="4"/>
      <c r="Z79" s="4"/>
    </row>
    <row r="80" ht="15.75" customHeight="1">
      <c r="A80" s="2"/>
      <c r="B80" s="2"/>
      <c r="C80" s="2"/>
      <c r="D80" s="2"/>
      <c r="E80" s="2"/>
      <c r="F80" s="2"/>
      <c r="G80" s="41"/>
      <c r="H80" s="41"/>
      <c r="I80" s="41"/>
      <c r="J80" s="41"/>
      <c r="K80" s="41"/>
      <c r="L80" s="41"/>
      <c r="M80" s="41"/>
      <c r="N80" s="41"/>
      <c r="O80" s="4"/>
      <c r="P80" s="4"/>
      <c r="Q80" s="4"/>
      <c r="R80" s="4"/>
      <c r="S80" s="4"/>
      <c r="T80" s="4"/>
      <c r="U80" s="4"/>
      <c r="V80" s="4"/>
      <c r="W80" s="4"/>
      <c r="X80" s="4"/>
      <c r="Y80" s="4"/>
      <c r="Z80" s="4"/>
    </row>
    <row r="81" ht="15.75" customHeight="1">
      <c r="A81" s="1"/>
      <c r="B81" s="1"/>
      <c r="C81" s="1"/>
      <c r="D81" s="1"/>
      <c r="E81" s="1"/>
      <c r="F81" s="1"/>
      <c r="G81" s="4"/>
      <c r="H81" s="4"/>
      <c r="I81" s="4"/>
      <c r="J81" s="4"/>
      <c r="K81" s="4"/>
      <c r="L81" s="4"/>
      <c r="M81" s="4"/>
      <c r="N81" s="4"/>
      <c r="O81" s="4"/>
      <c r="P81" s="4"/>
      <c r="Q81" s="4"/>
      <c r="R81" s="4"/>
      <c r="S81" s="4"/>
      <c r="T81" s="4"/>
      <c r="U81" s="4"/>
      <c r="V81" s="4"/>
      <c r="W81" s="4"/>
      <c r="X81" s="4"/>
      <c r="Y81" s="4"/>
      <c r="Z81" s="4"/>
    </row>
    <row r="82" ht="15.75" customHeight="1">
      <c r="A82" s="1"/>
      <c r="B82" s="1"/>
      <c r="C82" s="1"/>
      <c r="D82" s="1"/>
      <c r="E82" s="1"/>
      <c r="F82" s="1"/>
      <c r="G82" s="4"/>
      <c r="H82" s="4"/>
      <c r="I82" s="4"/>
      <c r="J82" s="4"/>
      <c r="K82" s="4"/>
      <c r="L82" s="4"/>
      <c r="M82" s="4"/>
      <c r="N82" s="4"/>
      <c r="O82" s="4"/>
      <c r="P82" s="4"/>
      <c r="Q82" s="4"/>
      <c r="R82" s="4"/>
      <c r="S82" s="4"/>
      <c r="T82" s="4"/>
      <c r="U82" s="4"/>
      <c r="V82" s="4"/>
      <c r="W82" s="4"/>
      <c r="X82" s="4"/>
      <c r="Y82" s="4"/>
      <c r="Z82" s="4"/>
    </row>
    <row r="83" ht="15.75" customHeight="1">
      <c r="A83" s="1"/>
      <c r="B83" s="1"/>
      <c r="C83" s="1"/>
      <c r="D83" s="1"/>
      <c r="E83" s="1"/>
      <c r="F83" s="1"/>
      <c r="G83" s="4"/>
      <c r="H83" s="4"/>
      <c r="I83" s="4"/>
      <c r="J83" s="4"/>
      <c r="K83" s="4"/>
      <c r="L83" s="4"/>
      <c r="M83" s="4"/>
      <c r="N83" s="4"/>
      <c r="O83" s="4"/>
      <c r="P83" s="4"/>
      <c r="Q83" s="4"/>
      <c r="R83" s="4"/>
      <c r="S83" s="4"/>
      <c r="T83" s="4"/>
      <c r="U83" s="4"/>
      <c r="V83" s="4"/>
      <c r="W83" s="4"/>
      <c r="X83" s="4"/>
      <c r="Y83" s="4"/>
      <c r="Z83" s="4"/>
    </row>
    <row r="84" ht="15.75" customHeight="1">
      <c r="A84" s="1"/>
      <c r="B84" s="1"/>
      <c r="C84" s="1"/>
      <c r="D84" s="1"/>
      <c r="E84" s="1"/>
      <c r="F84" s="1"/>
      <c r="G84" s="4"/>
      <c r="H84" s="4"/>
      <c r="I84" s="4"/>
      <c r="J84" s="4"/>
      <c r="K84" s="4"/>
      <c r="L84" s="4"/>
      <c r="M84" s="4"/>
      <c r="N84" s="4"/>
      <c r="O84" s="4"/>
      <c r="P84" s="4"/>
      <c r="Q84" s="4"/>
      <c r="R84" s="4"/>
      <c r="S84" s="4"/>
      <c r="T84" s="4"/>
      <c r="U84" s="4"/>
      <c r="V84" s="4"/>
      <c r="W84" s="4"/>
      <c r="X84" s="4"/>
      <c r="Y84" s="4"/>
      <c r="Z84" s="4"/>
    </row>
    <row r="85" ht="15.75" customHeight="1">
      <c r="A85" s="1"/>
      <c r="B85" s="1"/>
      <c r="C85" s="1"/>
      <c r="D85" s="1"/>
      <c r="E85" s="1"/>
      <c r="F85" s="1"/>
      <c r="G85" s="4"/>
      <c r="H85" s="4"/>
      <c r="I85" s="4"/>
      <c r="J85" s="4"/>
      <c r="K85" s="4"/>
      <c r="L85" s="4"/>
      <c r="M85" s="4"/>
      <c r="N85" s="4"/>
      <c r="O85" s="4"/>
      <c r="P85" s="4"/>
      <c r="Q85" s="4"/>
      <c r="R85" s="4"/>
      <c r="S85" s="4"/>
      <c r="T85" s="4"/>
      <c r="U85" s="4"/>
      <c r="V85" s="4"/>
      <c r="W85" s="4"/>
      <c r="X85" s="4"/>
      <c r="Y85" s="4"/>
      <c r="Z85" s="4"/>
    </row>
    <row r="86" ht="15.75" customHeight="1">
      <c r="A86" s="1"/>
      <c r="B86" s="1"/>
      <c r="C86" s="1"/>
      <c r="D86" s="1"/>
      <c r="E86" s="1"/>
      <c r="F86" s="1"/>
      <c r="G86" s="4"/>
      <c r="H86" s="4"/>
      <c r="I86" s="4"/>
      <c r="J86" s="4"/>
      <c r="K86" s="4"/>
      <c r="L86" s="4"/>
      <c r="M86" s="4"/>
      <c r="N86" s="4"/>
      <c r="O86" s="4"/>
      <c r="P86" s="4"/>
      <c r="Q86" s="4"/>
      <c r="R86" s="4"/>
      <c r="S86" s="4"/>
      <c r="T86" s="4"/>
      <c r="U86" s="4"/>
      <c r="V86" s="4"/>
      <c r="W86" s="4"/>
      <c r="X86" s="4"/>
      <c r="Y86" s="4"/>
      <c r="Z86" s="4"/>
    </row>
    <row r="87" ht="15.75" customHeight="1">
      <c r="A87" s="1"/>
      <c r="B87" s="1"/>
      <c r="C87" s="1"/>
      <c r="D87" s="1"/>
      <c r="E87" s="1"/>
      <c r="F87" s="1"/>
      <c r="G87" s="4"/>
      <c r="H87" s="4"/>
      <c r="I87" s="4"/>
      <c r="J87" s="4"/>
      <c r="K87" s="4"/>
      <c r="L87" s="4"/>
      <c r="M87" s="4"/>
      <c r="N87" s="4"/>
      <c r="O87" s="4"/>
      <c r="P87" s="4"/>
      <c r="Q87" s="4"/>
      <c r="R87" s="4"/>
      <c r="S87" s="4"/>
      <c r="T87" s="4"/>
      <c r="U87" s="4"/>
      <c r="V87" s="4"/>
      <c r="W87" s="4"/>
      <c r="X87" s="4"/>
      <c r="Y87" s="4"/>
      <c r="Z87" s="4"/>
    </row>
    <row r="88" ht="15.75" customHeight="1">
      <c r="A88" s="1"/>
      <c r="B88" s="1"/>
      <c r="C88" s="1"/>
      <c r="D88" s="1"/>
      <c r="E88" s="1"/>
      <c r="F88" s="1"/>
      <c r="G88" s="4"/>
      <c r="H88" s="4"/>
      <c r="I88" s="4"/>
      <c r="J88" s="4"/>
      <c r="K88" s="4"/>
      <c r="L88" s="4"/>
      <c r="M88" s="4"/>
      <c r="N88" s="4"/>
      <c r="O88" s="4"/>
      <c r="P88" s="4"/>
      <c r="Q88" s="4"/>
      <c r="R88" s="4"/>
      <c r="S88" s="4"/>
      <c r="T88" s="4"/>
      <c r="U88" s="4"/>
      <c r="V88" s="4"/>
      <c r="W88" s="4"/>
      <c r="X88" s="4"/>
      <c r="Y88" s="4"/>
      <c r="Z88" s="4"/>
    </row>
    <row r="89" ht="15.75" customHeight="1">
      <c r="A89" s="1"/>
      <c r="B89" s="1"/>
      <c r="C89" s="1"/>
      <c r="D89" s="1"/>
      <c r="E89" s="1"/>
      <c r="F89" s="1"/>
      <c r="G89" s="4"/>
      <c r="H89" s="4"/>
      <c r="I89" s="4"/>
      <c r="J89" s="4"/>
      <c r="K89" s="4"/>
      <c r="L89" s="4"/>
      <c r="M89" s="4"/>
      <c r="N89" s="4"/>
      <c r="O89" s="4"/>
      <c r="P89" s="4"/>
      <c r="Q89" s="4"/>
      <c r="R89" s="4"/>
      <c r="S89" s="4"/>
      <c r="T89" s="4"/>
      <c r="U89" s="4"/>
      <c r="V89" s="4"/>
      <c r="W89" s="4"/>
      <c r="X89" s="4"/>
      <c r="Y89" s="4"/>
      <c r="Z89" s="4"/>
    </row>
    <row r="90" ht="15.75" customHeight="1">
      <c r="A90" s="1"/>
      <c r="B90" s="1"/>
      <c r="C90" s="1"/>
      <c r="D90" s="1"/>
      <c r="E90" s="1"/>
      <c r="F90" s="1"/>
      <c r="G90" s="4"/>
      <c r="H90" s="4"/>
      <c r="I90" s="4"/>
      <c r="J90" s="4"/>
      <c r="K90" s="4"/>
      <c r="L90" s="4"/>
      <c r="M90" s="4"/>
      <c r="N90" s="4"/>
      <c r="O90" s="4"/>
      <c r="P90" s="4"/>
      <c r="Q90" s="4"/>
      <c r="R90" s="4"/>
      <c r="S90" s="4"/>
      <c r="T90" s="4"/>
      <c r="U90" s="4"/>
      <c r="V90" s="4"/>
      <c r="W90" s="4"/>
      <c r="X90" s="4"/>
      <c r="Y90" s="4"/>
      <c r="Z90" s="4"/>
    </row>
    <row r="91" ht="15.75" customHeight="1">
      <c r="A91" s="1"/>
      <c r="B91" s="1"/>
      <c r="C91" s="1"/>
      <c r="D91" s="1"/>
      <c r="E91" s="1"/>
      <c r="F91" s="1"/>
      <c r="G91" s="4"/>
      <c r="H91" s="4"/>
      <c r="I91" s="4"/>
      <c r="J91" s="4"/>
      <c r="K91" s="4"/>
      <c r="L91" s="4"/>
      <c r="M91" s="4"/>
      <c r="N91" s="4"/>
      <c r="O91" s="4"/>
      <c r="P91" s="4"/>
      <c r="Q91" s="4"/>
      <c r="R91" s="4"/>
      <c r="S91" s="4"/>
      <c r="T91" s="4"/>
      <c r="U91" s="4"/>
      <c r="V91" s="4"/>
      <c r="W91" s="4"/>
      <c r="X91" s="4"/>
      <c r="Y91" s="4"/>
      <c r="Z91" s="4"/>
    </row>
    <row r="92" ht="15.75" customHeight="1">
      <c r="A92" s="1"/>
      <c r="B92" s="1"/>
      <c r="C92" s="1"/>
      <c r="D92" s="1"/>
      <c r="E92" s="1"/>
      <c r="F92" s="1"/>
      <c r="G92" s="4"/>
      <c r="H92" s="4"/>
      <c r="I92" s="4"/>
      <c r="J92" s="4"/>
      <c r="K92" s="4"/>
      <c r="L92" s="4"/>
      <c r="M92" s="4"/>
      <c r="N92" s="4"/>
      <c r="O92" s="4"/>
      <c r="P92" s="4"/>
      <c r="Q92" s="4"/>
      <c r="R92" s="4"/>
      <c r="S92" s="4"/>
      <c r="T92" s="4"/>
      <c r="U92" s="4"/>
      <c r="V92" s="4"/>
      <c r="W92" s="4"/>
      <c r="X92" s="4"/>
      <c r="Y92" s="4"/>
      <c r="Z92" s="4"/>
    </row>
    <row r="93" ht="15.75" customHeight="1">
      <c r="A93" s="1"/>
      <c r="B93" s="1"/>
      <c r="C93" s="1"/>
      <c r="D93" s="1"/>
      <c r="E93" s="1"/>
      <c r="F93" s="1"/>
      <c r="G93" s="4"/>
      <c r="H93" s="4"/>
      <c r="I93" s="4"/>
      <c r="J93" s="4"/>
      <c r="K93" s="4"/>
      <c r="L93" s="4"/>
      <c r="M93" s="4"/>
      <c r="N93" s="4"/>
      <c r="O93" s="4"/>
      <c r="P93" s="4"/>
      <c r="Q93" s="4"/>
      <c r="R93" s="4"/>
      <c r="S93" s="4"/>
      <c r="T93" s="4"/>
      <c r="U93" s="4"/>
      <c r="V93" s="4"/>
      <c r="W93" s="4"/>
      <c r="X93" s="4"/>
      <c r="Y93" s="4"/>
      <c r="Z93" s="4"/>
    </row>
    <row r="94" ht="15.75" customHeight="1">
      <c r="A94" s="1"/>
      <c r="B94" s="1"/>
      <c r="C94" s="1"/>
      <c r="D94" s="1"/>
      <c r="E94" s="1"/>
      <c r="F94" s="1"/>
      <c r="G94" s="4"/>
      <c r="H94" s="4"/>
      <c r="I94" s="4"/>
      <c r="J94" s="4"/>
      <c r="K94" s="4"/>
      <c r="L94" s="4"/>
      <c r="M94" s="4"/>
      <c r="N94" s="4"/>
      <c r="O94" s="4"/>
      <c r="P94" s="4"/>
      <c r="Q94" s="4"/>
      <c r="R94" s="4"/>
      <c r="S94" s="4"/>
      <c r="T94" s="4"/>
      <c r="U94" s="4"/>
      <c r="V94" s="4"/>
      <c r="W94" s="4"/>
      <c r="X94" s="4"/>
      <c r="Y94" s="4"/>
      <c r="Z94" s="4"/>
    </row>
    <row r="95" ht="15.75" customHeight="1">
      <c r="A95" s="1"/>
      <c r="B95" s="1"/>
      <c r="C95" s="1"/>
      <c r="D95" s="1"/>
      <c r="E95" s="1"/>
      <c r="F95" s="1"/>
      <c r="G95" s="4"/>
      <c r="H95" s="4"/>
      <c r="I95" s="4"/>
      <c r="J95" s="4"/>
      <c r="K95" s="4"/>
      <c r="L95" s="4"/>
      <c r="M95" s="4"/>
      <c r="N95" s="4"/>
      <c r="O95" s="4"/>
      <c r="P95" s="4"/>
      <c r="Q95" s="4"/>
      <c r="R95" s="4"/>
      <c r="S95" s="4"/>
      <c r="T95" s="4"/>
      <c r="U95" s="4"/>
      <c r="V95" s="4"/>
      <c r="W95" s="4"/>
      <c r="X95" s="4"/>
      <c r="Y95" s="4"/>
      <c r="Z95" s="4"/>
    </row>
    <row r="96" ht="15.75" customHeight="1">
      <c r="A96" s="1"/>
      <c r="B96" s="1"/>
      <c r="C96" s="1"/>
      <c r="D96" s="1"/>
      <c r="E96" s="1"/>
      <c r="F96" s="1"/>
      <c r="G96" s="4"/>
      <c r="H96" s="4"/>
      <c r="I96" s="4"/>
      <c r="J96" s="4"/>
      <c r="K96" s="4"/>
      <c r="L96" s="4"/>
      <c r="M96" s="4"/>
      <c r="N96" s="4"/>
      <c r="O96" s="4"/>
      <c r="P96" s="4"/>
      <c r="Q96" s="4"/>
      <c r="R96" s="4"/>
      <c r="S96" s="4"/>
      <c r="T96" s="4"/>
      <c r="U96" s="4"/>
      <c r="V96" s="4"/>
      <c r="W96" s="4"/>
      <c r="X96" s="4"/>
      <c r="Y96" s="4"/>
      <c r="Z96" s="4"/>
    </row>
    <row r="97" ht="15.75" customHeight="1">
      <c r="A97" s="1"/>
      <c r="B97" s="1"/>
      <c r="C97" s="1"/>
      <c r="D97" s="1"/>
      <c r="E97" s="1"/>
      <c r="F97" s="1"/>
      <c r="G97" s="4"/>
      <c r="H97" s="4"/>
      <c r="I97" s="4"/>
      <c r="J97" s="4"/>
      <c r="K97" s="4"/>
      <c r="L97" s="4"/>
      <c r="M97" s="4"/>
      <c r="N97" s="4"/>
      <c r="O97" s="4"/>
      <c r="P97" s="4"/>
      <c r="Q97" s="4"/>
      <c r="R97" s="4"/>
      <c r="S97" s="4"/>
      <c r="T97" s="4"/>
      <c r="U97" s="4"/>
      <c r="V97" s="4"/>
      <c r="W97" s="4"/>
      <c r="X97" s="4"/>
      <c r="Y97" s="4"/>
      <c r="Z97" s="4"/>
    </row>
    <row r="98" ht="15.75" customHeight="1">
      <c r="A98" s="1"/>
      <c r="B98" s="1"/>
      <c r="C98" s="1"/>
      <c r="D98" s="1"/>
      <c r="E98" s="1"/>
      <c r="F98" s="1"/>
      <c r="G98" s="4"/>
      <c r="H98" s="4"/>
      <c r="I98" s="4"/>
      <c r="J98" s="4"/>
      <c r="K98" s="4"/>
      <c r="L98" s="4"/>
      <c r="M98" s="4"/>
      <c r="N98" s="4"/>
      <c r="O98" s="4"/>
      <c r="P98" s="4"/>
      <c r="Q98" s="4"/>
      <c r="R98" s="4"/>
      <c r="S98" s="4"/>
      <c r="T98" s="4"/>
      <c r="U98" s="4"/>
      <c r="V98" s="4"/>
      <c r="W98" s="4"/>
      <c r="X98" s="4"/>
      <c r="Y98" s="4"/>
      <c r="Z98" s="4"/>
    </row>
    <row r="99" ht="15.75" customHeight="1">
      <c r="A99" s="1"/>
      <c r="B99" s="1"/>
      <c r="C99" s="1"/>
      <c r="D99" s="1"/>
      <c r="E99" s="1"/>
      <c r="F99" s="1"/>
      <c r="G99" s="4"/>
      <c r="H99" s="4"/>
      <c r="I99" s="4"/>
      <c r="J99" s="4"/>
      <c r="K99" s="4"/>
      <c r="L99" s="4"/>
      <c r="M99" s="4"/>
      <c r="N99" s="4"/>
      <c r="O99" s="4"/>
      <c r="P99" s="4"/>
      <c r="Q99" s="4"/>
      <c r="R99" s="4"/>
      <c r="S99" s="4"/>
      <c r="T99" s="4"/>
      <c r="U99" s="4"/>
      <c r="V99" s="4"/>
      <c r="W99" s="4"/>
      <c r="X99" s="4"/>
      <c r="Y99" s="4"/>
      <c r="Z99" s="4"/>
    </row>
    <row r="100" ht="15.75" customHeight="1">
      <c r="A100" s="1"/>
      <c r="B100" s="1"/>
      <c r="C100" s="1"/>
      <c r="D100" s="1"/>
      <c r="E100" s="1"/>
      <c r="F100" s="1"/>
      <c r="G100" s="4"/>
      <c r="H100" s="4"/>
      <c r="I100" s="4"/>
      <c r="J100" s="4"/>
      <c r="K100" s="4"/>
      <c r="L100" s="4"/>
      <c r="M100" s="4"/>
      <c r="N100" s="4"/>
      <c r="O100" s="4"/>
      <c r="P100" s="4"/>
      <c r="Q100" s="4"/>
      <c r="R100" s="4"/>
      <c r="S100" s="4"/>
      <c r="T100" s="4"/>
      <c r="U100" s="4"/>
      <c r="V100" s="4"/>
      <c r="W100" s="4"/>
      <c r="X100" s="4"/>
      <c r="Y100" s="4"/>
      <c r="Z100" s="4"/>
    </row>
    <row r="101" ht="15.75" customHeight="1">
      <c r="A101" s="1"/>
      <c r="B101" s="1"/>
      <c r="C101" s="1"/>
      <c r="D101" s="1"/>
      <c r="E101" s="1"/>
      <c r="F101" s="1"/>
      <c r="G101" s="4"/>
      <c r="H101" s="4"/>
      <c r="I101" s="4"/>
      <c r="J101" s="4"/>
      <c r="K101" s="4"/>
      <c r="L101" s="4"/>
      <c r="M101" s="4"/>
      <c r="N101" s="4"/>
      <c r="O101" s="4"/>
      <c r="P101" s="4"/>
      <c r="Q101" s="4"/>
      <c r="R101" s="4"/>
      <c r="S101" s="4"/>
      <c r="T101" s="4"/>
      <c r="U101" s="4"/>
      <c r="V101" s="4"/>
      <c r="W101" s="4"/>
      <c r="X101" s="4"/>
      <c r="Y101" s="4"/>
      <c r="Z101" s="4"/>
    </row>
    <row r="102" ht="15.75" customHeight="1">
      <c r="A102" s="1"/>
      <c r="B102" s="1"/>
      <c r="C102" s="1"/>
      <c r="D102" s="1"/>
      <c r="E102" s="1"/>
      <c r="F102" s="1"/>
      <c r="G102" s="4"/>
      <c r="H102" s="4"/>
      <c r="I102" s="4"/>
      <c r="J102" s="4"/>
      <c r="K102" s="4"/>
      <c r="L102" s="4"/>
      <c r="M102" s="4"/>
      <c r="N102" s="4"/>
      <c r="O102" s="4"/>
      <c r="P102" s="4"/>
      <c r="Q102" s="4"/>
      <c r="R102" s="4"/>
      <c r="S102" s="4"/>
      <c r="T102" s="4"/>
      <c r="U102" s="4"/>
      <c r="V102" s="4"/>
      <c r="W102" s="4"/>
      <c r="X102" s="4"/>
      <c r="Y102" s="4"/>
      <c r="Z102" s="4"/>
    </row>
    <row r="103" ht="15.75" customHeight="1">
      <c r="A103" s="1"/>
      <c r="B103" s="1"/>
      <c r="C103" s="1"/>
      <c r="D103" s="1"/>
      <c r="E103" s="1"/>
      <c r="F103" s="1"/>
      <c r="G103" s="4"/>
      <c r="H103" s="4"/>
      <c r="I103" s="4"/>
      <c r="J103" s="4"/>
      <c r="K103" s="4"/>
      <c r="L103" s="4"/>
      <c r="M103" s="4"/>
      <c r="N103" s="4"/>
      <c r="O103" s="4"/>
      <c r="P103" s="4"/>
      <c r="Q103" s="4"/>
      <c r="R103" s="4"/>
      <c r="S103" s="4"/>
      <c r="T103" s="4"/>
      <c r="U103" s="4"/>
      <c r="V103" s="4"/>
      <c r="W103" s="4"/>
      <c r="X103" s="4"/>
      <c r="Y103" s="4"/>
      <c r="Z103" s="4"/>
    </row>
    <row r="104" ht="15.75" customHeight="1">
      <c r="A104" s="1"/>
      <c r="B104" s="1"/>
      <c r="C104" s="1"/>
      <c r="D104" s="1"/>
      <c r="E104" s="1"/>
      <c r="F104" s="1"/>
      <c r="G104" s="4"/>
      <c r="H104" s="4"/>
      <c r="I104" s="4"/>
      <c r="J104" s="4"/>
      <c r="K104" s="4"/>
      <c r="L104" s="4"/>
      <c r="M104" s="4"/>
      <c r="N104" s="4"/>
      <c r="O104" s="4"/>
      <c r="P104" s="4"/>
      <c r="Q104" s="4"/>
      <c r="R104" s="4"/>
      <c r="S104" s="4"/>
      <c r="T104" s="4"/>
      <c r="U104" s="4"/>
      <c r="V104" s="4"/>
      <c r="W104" s="4"/>
      <c r="X104" s="4"/>
      <c r="Y104" s="4"/>
      <c r="Z104" s="4"/>
    </row>
    <row r="105" ht="15.75" customHeight="1">
      <c r="A105" s="1"/>
      <c r="B105" s="1"/>
      <c r="C105" s="1"/>
      <c r="D105" s="1"/>
      <c r="E105" s="1"/>
      <c r="F105" s="1"/>
      <c r="G105" s="4"/>
      <c r="H105" s="4"/>
      <c r="I105" s="4"/>
      <c r="J105" s="4"/>
      <c r="K105" s="4"/>
      <c r="L105" s="4"/>
      <c r="M105" s="4"/>
      <c r="N105" s="4"/>
      <c r="O105" s="4"/>
      <c r="P105" s="4"/>
      <c r="Q105" s="4"/>
      <c r="R105" s="4"/>
      <c r="S105" s="4"/>
      <c r="T105" s="4"/>
      <c r="U105" s="4"/>
      <c r="V105" s="4"/>
      <c r="W105" s="4"/>
      <c r="X105" s="4"/>
      <c r="Y105" s="4"/>
      <c r="Z105" s="4"/>
    </row>
    <row r="106" ht="15.75" customHeight="1">
      <c r="A106" s="1"/>
      <c r="B106" s="1"/>
      <c r="C106" s="1"/>
      <c r="D106" s="1"/>
      <c r="E106" s="1"/>
      <c r="F106" s="1"/>
      <c r="G106" s="4"/>
      <c r="H106" s="4"/>
      <c r="I106" s="4"/>
      <c r="J106" s="4"/>
      <c r="K106" s="4"/>
      <c r="L106" s="4"/>
      <c r="M106" s="4"/>
      <c r="N106" s="4"/>
      <c r="O106" s="4"/>
      <c r="P106" s="4"/>
      <c r="Q106" s="4"/>
      <c r="R106" s="4"/>
      <c r="S106" s="4"/>
      <c r="T106" s="4"/>
      <c r="U106" s="4"/>
      <c r="V106" s="4"/>
      <c r="W106" s="4"/>
      <c r="X106" s="4"/>
      <c r="Y106" s="4"/>
      <c r="Z106" s="4"/>
    </row>
    <row r="107" ht="15.75" customHeight="1">
      <c r="A107" s="1"/>
      <c r="B107" s="1"/>
      <c r="C107" s="1"/>
      <c r="D107" s="1"/>
      <c r="E107" s="1"/>
      <c r="F107" s="1"/>
      <c r="G107" s="4"/>
      <c r="H107" s="4"/>
      <c r="I107" s="4"/>
      <c r="J107" s="4"/>
      <c r="K107" s="4"/>
      <c r="L107" s="4"/>
      <c r="M107" s="4"/>
      <c r="N107" s="4"/>
      <c r="O107" s="4"/>
      <c r="P107" s="4"/>
      <c r="Q107" s="4"/>
      <c r="R107" s="4"/>
      <c r="S107" s="4"/>
      <c r="T107" s="4"/>
      <c r="U107" s="4"/>
      <c r="V107" s="4"/>
      <c r="W107" s="4"/>
      <c r="X107" s="4"/>
      <c r="Y107" s="4"/>
      <c r="Z107" s="4"/>
    </row>
    <row r="108" ht="15.75" customHeight="1">
      <c r="A108" s="1"/>
      <c r="B108" s="1"/>
      <c r="C108" s="1"/>
      <c r="D108" s="1"/>
      <c r="E108" s="1"/>
      <c r="F108" s="1"/>
      <c r="G108" s="4"/>
      <c r="H108" s="4"/>
      <c r="I108" s="4"/>
      <c r="J108" s="4"/>
      <c r="K108" s="4"/>
      <c r="L108" s="4"/>
      <c r="M108" s="4"/>
      <c r="N108" s="4"/>
      <c r="O108" s="4"/>
      <c r="P108" s="4"/>
      <c r="Q108" s="4"/>
      <c r="R108" s="4"/>
      <c r="S108" s="4"/>
      <c r="T108" s="4"/>
      <c r="U108" s="4"/>
      <c r="V108" s="4"/>
      <c r="W108" s="4"/>
      <c r="X108" s="4"/>
      <c r="Y108" s="4"/>
      <c r="Z108" s="4"/>
    </row>
    <row r="109" ht="15.75" customHeight="1">
      <c r="A109" s="1"/>
      <c r="B109" s="1"/>
      <c r="C109" s="1"/>
      <c r="D109" s="1"/>
      <c r="E109" s="1"/>
      <c r="F109" s="1"/>
      <c r="G109" s="4"/>
      <c r="H109" s="4"/>
      <c r="I109" s="4"/>
      <c r="J109" s="4"/>
      <c r="K109" s="4"/>
      <c r="L109" s="4"/>
      <c r="M109" s="4"/>
      <c r="N109" s="4"/>
      <c r="O109" s="4"/>
      <c r="P109" s="4"/>
      <c r="Q109" s="4"/>
      <c r="R109" s="4"/>
      <c r="S109" s="4"/>
      <c r="T109" s="4"/>
      <c r="U109" s="4"/>
      <c r="V109" s="4"/>
      <c r="W109" s="4"/>
      <c r="X109" s="4"/>
      <c r="Y109" s="4"/>
      <c r="Z109" s="4"/>
    </row>
    <row r="110" ht="15.75" customHeight="1">
      <c r="A110" s="1"/>
      <c r="B110" s="1"/>
      <c r="C110" s="1"/>
      <c r="D110" s="1"/>
      <c r="E110" s="1"/>
      <c r="F110" s="1"/>
      <c r="G110" s="4"/>
      <c r="H110" s="4"/>
      <c r="I110" s="4"/>
      <c r="J110" s="4"/>
      <c r="K110" s="4"/>
      <c r="L110" s="4"/>
      <c r="M110" s="4"/>
      <c r="N110" s="4"/>
      <c r="O110" s="4"/>
      <c r="P110" s="4"/>
      <c r="Q110" s="4"/>
      <c r="R110" s="4"/>
      <c r="S110" s="4"/>
      <c r="T110" s="4"/>
      <c r="U110" s="4"/>
      <c r="V110" s="4"/>
      <c r="W110" s="4"/>
      <c r="X110" s="4"/>
      <c r="Y110" s="4"/>
      <c r="Z110" s="4"/>
    </row>
    <row r="111" ht="15.75" customHeight="1">
      <c r="A111" s="1"/>
      <c r="B111" s="1"/>
      <c r="C111" s="1"/>
      <c r="D111" s="1"/>
      <c r="E111" s="1"/>
      <c r="F111" s="1"/>
      <c r="G111" s="4"/>
      <c r="H111" s="4"/>
      <c r="I111" s="4"/>
      <c r="J111" s="4"/>
      <c r="K111" s="4"/>
      <c r="L111" s="4"/>
      <c r="M111" s="4"/>
      <c r="N111" s="4"/>
      <c r="O111" s="4"/>
      <c r="P111" s="4"/>
      <c r="Q111" s="4"/>
      <c r="R111" s="4"/>
      <c r="S111" s="4"/>
      <c r="T111" s="4"/>
      <c r="U111" s="4"/>
      <c r="V111" s="4"/>
      <c r="W111" s="4"/>
      <c r="X111" s="4"/>
      <c r="Y111" s="4"/>
      <c r="Z111" s="4"/>
    </row>
    <row r="112" ht="15.75" customHeight="1">
      <c r="A112" s="1"/>
      <c r="B112" s="1"/>
      <c r="C112" s="1"/>
      <c r="D112" s="1"/>
      <c r="E112" s="1"/>
      <c r="F112" s="1"/>
      <c r="G112" s="4"/>
      <c r="H112" s="4"/>
      <c r="I112" s="4"/>
      <c r="J112" s="4"/>
      <c r="K112" s="4"/>
      <c r="L112" s="4"/>
      <c r="M112" s="4"/>
      <c r="N112" s="4"/>
      <c r="O112" s="4"/>
      <c r="P112" s="4"/>
      <c r="Q112" s="4"/>
      <c r="R112" s="4"/>
      <c r="S112" s="4"/>
      <c r="T112" s="4"/>
      <c r="U112" s="4"/>
      <c r="V112" s="4"/>
      <c r="W112" s="4"/>
      <c r="X112" s="4"/>
      <c r="Y112" s="4"/>
      <c r="Z112" s="4"/>
    </row>
    <row r="113" ht="15.75" customHeight="1">
      <c r="A113" s="1"/>
      <c r="B113" s="1"/>
      <c r="C113" s="1"/>
      <c r="D113" s="1"/>
      <c r="E113" s="1"/>
      <c r="F113" s="1"/>
      <c r="G113" s="4"/>
      <c r="H113" s="4"/>
      <c r="I113" s="4"/>
      <c r="J113" s="4"/>
      <c r="K113" s="4"/>
      <c r="L113" s="4"/>
      <c r="M113" s="4"/>
      <c r="N113" s="4"/>
      <c r="O113" s="4"/>
      <c r="P113" s="4"/>
      <c r="Q113" s="4"/>
      <c r="R113" s="4"/>
      <c r="S113" s="4"/>
      <c r="T113" s="4"/>
      <c r="U113" s="4"/>
      <c r="V113" s="4"/>
      <c r="W113" s="4"/>
      <c r="X113" s="4"/>
      <c r="Y113" s="4"/>
      <c r="Z113" s="4"/>
    </row>
    <row r="114" ht="15.75" customHeight="1">
      <c r="A114" s="1"/>
      <c r="B114" s="1"/>
      <c r="C114" s="1"/>
      <c r="D114" s="1"/>
      <c r="E114" s="1"/>
      <c r="F114" s="1"/>
      <c r="G114" s="4"/>
      <c r="H114" s="4"/>
      <c r="I114" s="4"/>
      <c r="J114" s="4"/>
      <c r="K114" s="4"/>
      <c r="L114" s="4"/>
      <c r="M114" s="4"/>
      <c r="N114" s="4"/>
      <c r="O114" s="4"/>
      <c r="P114" s="4"/>
      <c r="Q114" s="4"/>
      <c r="R114" s="4"/>
      <c r="S114" s="4"/>
      <c r="T114" s="4"/>
      <c r="U114" s="4"/>
      <c r="V114" s="4"/>
      <c r="W114" s="4"/>
      <c r="X114" s="4"/>
      <c r="Y114" s="4"/>
      <c r="Z114" s="4"/>
    </row>
    <row r="115" ht="15.75" customHeight="1">
      <c r="A115" s="1"/>
      <c r="B115" s="1"/>
      <c r="C115" s="1"/>
      <c r="D115" s="1"/>
      <c r="E115" s="1"/>
      <c r="F115" s="1"/>
      <c r="G115" s="4"/>
      <c r="H115" s="4"/>
      <c r="I115" s="4"/>
      <c r="J115" s="4"/>
      <c r="K115" s="4"/>
      <c r="L115" s="4"/>
      <c r="M115" s="4"/>
      <c r="N115" s="4"/>
      <c r="O115" s="4"/>
      <c r="P115" s="4"/>
      <c r="Q115" s="4"/>
      <c r="R115" s="4"/>
      <c r="S115" s="4"/>
      <c r="T115" s="4"/>
      <c r="U115" s="4"/>
      <c r="V115" s="4"/>
      <c r="W115" s="4"/>
      <c r="X115" s="4"/>
      <c r="Y115" s="4"/>
      <c r="Z115" s="4"/>
    </row>
    <row r="116" ht="15.75" customHeight="1">
      <c r="A116" s="1"/>
      <c r="B116" s="1"/>
      <c r="C116" s="1"/>
      <c r="D116" s="1"/>
      <c r="E116" s="1"/>
      <c r="F116" s="1"/>
      <c r="G116" s="4"/>
      <c r="H116" s="4"/>
      <c r="I116" s="4"/>
      <c r="J116" s="4"/>
      <c r="K116" s="4"/>
      <c r="L116" s="4"/>
      <c r="M116" s="4"/>
      <c r="N116" s="4"/>
      <c r="O116" s="4"/>
      <c r="P116" s="4"/>
      <c r="Q116" s="4"/>
      <c r="R116" s="4"/>
      <c r="S116" s="4"/>
      <c r="T116" s="4"/>
      <c r="U116" s="4"/>
      <c r="V116" s="4"/>
      <c r="W116" s="4"/>
      <c r="X116" s="4"/>
      <c r="Y116" s="4"/>
      <c r="Z116" s="4"/>
    </row>
    <row r="117" ht="15.75" customHeight="1">
      <c r="A117" s="1"/>
      <c r="B117" s="1"/>
      <c r="C117" s="1"/>
      <c r="D117" s="1"/>
      <c r="E117" s="1"/>
      <c r="F117" s="1"/>
      <c r="G117" s="4"/>
      <c r="H117" s="4"/>
      <c r="I117" s="4"/>
      <c r="J117" s="4"/>
      <c r="K117" s="4"/>
      <c r="L117" s="4"/>
      <c r="M117" s="4"/>
      <c r="N117" s="4"/>
      <c r="O117" s="4"/>
      <c r="P117" s="4"/>
      <c r="Q117" s="4"/>
      <c r="R117" s="4"/>
      <c r="S117" s="4"/>
      <c r="T117" s="4"/>
      <c r="U117" s="4"/>
      <c r="V117" s="4"/>
      <c r="W117" s="4"/>
      <c r="X117" s="4"/>
      <c r="Y117" s="4"/>
      <c r="Z117" s="4"/>
    </row>
    <row r="118" ht="15.75" customHeight="1">
      <c r="A118" s="1"/>
      <c r="B118" s="1"/>
      <c r="C118" s="1"/>
      <c r="D118" s="1"/>
      <c r="E118" s="1"/>
      <c r="F118" s="1"/>
      <c r="G118" s="4"/>
      <c r="H118" s="4"/>
      <c r="I118" s="4"/>
      <c r="J118" s="4"/>
      <c r="K118" s="4"/>
      <c r="L118" s="4"/>
      <c r="M118" s="4"/>
      <c r="N118" s="4"/>
      <c r="O118" s="4"/>
      <c r="P118" s="4"/>
      <c r="Q118" s="4"/>
      <c r="R118" s="4"/>
      <c r="S118" s="4"/>
      <c r="T118" s="4"/>
      <c r="U118" s="4"/>
      <c r="V118" s="4"/>
      <c r="W118" s="4"/>
      <c r="X118" s="4"/>
      <c r="Y118" s="4"/>
      <c r="Z118" s="4"/>
    </row>
    <row r="119" ht="15.75" customHeight="1">
      <c r="A119" s="1"/>
      <c r="B119" s="1"/>
      <c r="C119" s="1"/>
      <c r="D119" s="1"/>
      <c r="E119" s="1"/>
      <c r="F119" s="1"/>
      <c r="G119" s="4"/>
      <c r="H119" s="4"/>
      <c r="I119" s="4"/>
      <c r="J119" s="4"/>
      <c r="K119" s="4"/>
      <c r="L119" s="4"/>
      <c r="M119" s="4"/>
      <c r="N119" s="4"/>
      <c r="O119" s="4"/>
      <c r="P119" s="4"/>
      <c r="Q119" s="4"/>
      <c r="R119" s="4"/>
      <c r="S119" s="4"/>
      <c r="T119" s="4"/>
      <c r="U119" s="4"/>
      <c r="V119" s="4"/>
      <c r="W119" s="4"/>
      <c r="X119" s="4"/>
      <c r="Y119" s="4"/>
      <c r="Z119" s="4"/>
    </row>
    <row r="120" ht="15.75" customHeight="1">
      <c r="A120" s="1"/>
      <c r="B120" s="1"/>
      <c r="C120" s="1"/>
      <c r="D120" s="1"/>
      <c r="E120" s="1"/>
      <c r="F120" s="1"/>
      <c r="G120" s="4"/>
      <c r="H120" s="4"/>
      <c r="I120" s="4"/>
      <c r="J120" s="4"/>
      <c r="K120" s="4"/>
      <c r="L120" s="4"/>
      <c r="M120" s="4"/>
      <c r="N120" s="4"/>
      <c r="O120" s="4"/>
      <c r="P120" s="4"/>
      <c r="Q120" s="4"/>
      <c r="R120" s="4"/>
      <c r="S120" s="4"/>
      <c r="T120" s="4"/>
      <c r="U120" s="4"/>
      <c r="V120" s="4"/>
      <c r="W120" s="4"/>
      <c r="X120" s="4"/>
      <c r="Y120" s="4"/>
      <c r="Z120" s="4"/>
    </row>
    <row r="121" ht="15.75" customHeight="1">
      <c r="A121" s="1"/>
      <c r="B121" s="1"/>
      <c r="C121" s="1"/>
      <c r="D121" s="1"/>
      <c r="E121" s="1"/>
      <c r="F121" s="1"/>
      <c r="G121" s="4"/>
      <c r="H121" s="4"/>
      <c r="I121" s="4"/>
      <c r="J121" s="4"/>
      <c r="K121" s="4"/>
      <c r="L121" s="4"/>
      <c r="M121" s="4"/>
      <c r="N121" s="4"/>
      <c r="O121" s="4"/>
      <c r="P121" s="4"/>
      <c r="Q121" s="4"/>
      <c r="R121" s="4"/>
      <c r="S121" s="4"/>
      <c r="T121" s="4"/>
      <c r="U121" s="4"/>
      <c r="V121" s="4"/>
      <c r="W121" s="4"/>
      <c r="X121" s="4"/>
      <c r="Y121" s="4"/>
      <c r="Z121" s="4"/>
    </row>
    <row r="122" ht="15.75" customHeight="1">
      <c r="A122" s="1"/>
      <c r="B122" s="1"/>
      <c r="C122" s="1"/>
      <c r="D122" s="1"/>
      <c r="E122" s="1"/>
      <c r="F122" s="1"/>
      <c r="G122" s="4"/>
      <c r="H122" s="4"/>
      <c r="I122" s="4"/>
      <c r="J122" s="4"/>
      <c r="K122" s="4"/>
      <c r="L122" s="4"/>
      <c r="M122" s="4"/>
      <c r="N122" s="4"/>
      <c r="O122" s="4"/>
      <c r="P122" s="4"/>
      <c r="Q122" s="4"/>
      <c r="R122" s="4"/>
      <c r="S122" s="4"/>
      <c r="T122" s="4"/>
      <c r="U122" s="4"/>
      <c r="V122" s="4"/>
      <c r="W122" s="4"/>
      <c r="X122" s="4"/>
      <c r="Y122" s="4"/>
      <c r="Z122" s="4"/>
    </row>
    <row r="123" ht="15.75" customHeight="1">
      <c r="A123" s="1"/>
      <c r="B123" s="1"/>
      <c r="C123" s="1"/>
      <c r="D123" s="1"/>
      <c r="E123" s="1"/>
      <c r="F123" s="1"/>
      <c r="G123" s="4"/>
      <c r="H123" s="4"/>
      <c r="I123" s="4"/>
      <c r="J123" s="4"/>
      <c r="K123" s="4"/>
      <c r="L123" s="4"/>
      <c r="M123" s="4"/>
      <c r="N123" s="4"/>
      <c r="O123" s="4"/>
      <c r="P123" s="4"/>
      <c r="Q123" s="4"/>
      <c r="R123" s="4"/>
      <c r="S123" s="4"/>
      <c r="T123" s="4"/>
      <c r="U123" s="4"/>
      <c r="V123" s="4"/>
      <c r="W123" s="4"/>
      <c r="X123" s="4"/>
      <c r="Y123" s="4"/>
      <c r="Z123" s="4"/>
    </row>
    <row r="124" ht="15.75" customHeight="1">
      <c r="A124" s="1"/>
      <c r="B124" s="1"/>
      <c r="C124" s="1"/>
      <c r="D124" s="1"/>
      <c r="E124" s="1"/>
      <c r="F124" s="1"/>
      <c r="G124" s="4"/>
      <c r="H124" s="4"/>
      <c r="I124" s="4"/>
      <c r="J124" s="4"/>
      <c r="K124" s="4"/>
      <c r="L124" s="4"/>
      <c r="M124" s="4"/>
      <c r="N124" s="4"/>
      <c r="O124" s="4"/>
      <c r="P124" s="4"/>
      <c r="Q124" s="4"/>
      <c r="R124" s="4"/>
      <c r="S124" s="4"/>
      <c r="T124" s="4"/>
      <c r="U124" s="4"/>
      <c r="V124" s="4"/>
      <c r="W124" s="4"/>
      <c r="X124" s="4"/>
      <c r="Y124" s="4"/>
      <c r="Z124" s="4"/>
    </row>
    <row r="125" ht="15.75" customHeight="1">
      <c r="A125" s="1"/>
      <c r="B125" s="1"/>
      <c r="C125" s="1"/>
      <c r="D125" s="1"/>
      <c r="E125" s="1"/>
      <c r="F125" s="1"/>
      <c r="G125" s="4"/>
      <c r="H125" s="4"/>
      <c r="I125" s="4"/>
      <c r="J125" s="4"/>
      <c r="K125" s="4"/>
      <c r="L125" s="4"/>
      <c r="M125" s="4"/>
      <c r="N125" s="4"/>
      <c r="O125" s="4"/>
      <c r="P125" s="4"/>
      <c r="Q125" s="4"/>
      <c r="R125" s="4"/>
      <c r="S125" s="4"/>
      <c r="T125" s="4"/>
      <c r="U125" s="4"/>
      <c r="V125" s="4"/>
      <c r="W125" s="4"/>
      <c r="X125" s="4"/>
      <c r="Y125" s="4"/>
      <c r="Z125" s="4"/>
    </row>
    <row r="126" ht="15.75" customHeight="1">
      <c r="A126" s="1"/>
      <c r="B126" s="1"/>
      <c r="C126" s="1"/>
      <c r="D126" s="1"/>
      <c r="E126" s="1"/>
      <c r="F126" s="1"/>
      <c r="G126" s="4"/>
      <c r="H126" s="4"/>
      <c r="I126" s="4"/>
      <c r="J126" s="4"/>
      <c r="K126" s="4"/>
      <c r="L126" s="4"/>
      <c r="M126" s="4"/>
      <c r="N126" s="4"/>
      <c r="O126" s="4"/>
      <c r="P126" s="4"/>
      <c r="Q126" s="4"/>
      <c r="R126" s="4"/>
      <c r="S126" s="4"/>
      <c r="T126" s="4"/>
      <c r="U126" s="4"/>
      <c r="V126" s="4"/>
      <c r="W126" s="4"/>
      <c r="X126" s="4"/>
      <c r="Y126" s="4"/>
      <c r="Z126" s="4"/>
    </row>
    <row r="127" ht="15.75" customHeight="1">
      <c r="A127" s="1"/>
      <c r="B127" s="1"/>
      <c r="C127" s="1"/>
      <c r="D127" s="1"/>
      <c r="E127" s="1"/>
      <c r="F127" s="1"/>
      <c r="G127" s="4"/>
      <c r="H127" s="4"/>
      <c r="I127" s="4"/>
      <c r="J127" s="4"/>
      <c r="K127" s="4"/>
      <c r="L127" s="4"/>
      <c r="M127" s="4"/>
      <c r="N127" s="4"/>
      <c r="O127" s="4"/>
      <c r="P127" s="4"/>
      <c r="Q127" s="4"/>
      <c r="R127" s="4"/>
      <c r="S127" s="4"/>
      <c r="T127" s="4"/>
      <c r="U127" s="4"/>
      <c r="V127" s="4"/>
      <c r="W127" s="4"/>
      <c r="X127" s="4"/>
      <c r="Y127" s="4"/>
      <c r="Z127" s="4"/>
    </row>
    <row r="128" ht="15.75" customHeight="1">
      <c r="A128" s="1"/>
      <c r="B128" s="1"/>
      <c r="C128" s="1"/>
      <c r="D128" s="1"/>
      <c r="E128" s="1"/>
      <c r="F128" s="1"/>
      <c r="G128" s="4"/>
      <c r="H128" s="4"/>
      <c r="I128" s="4"/>
      <c r="J128" s="4"/>
      <c r="K128" s="4"/>
      <c r="L128" s="4"/>
      <c r="M128" s="4"/>
      <c r="N128" s="4"/>
      <c r="O128" s="4"/>
      <c r="P128" s="4"/>
      <c r="Q128" s="4"/>
      <c r="R128" s="4"/>
      <c r="S128" s="4"/>
      <c r="T128" s="4"/>
      <c r="U128" s="4"/>
      <c r="V128" s="4"/>
      <c r="W128" s="4"/>
      <c r="X128" s="4"/>
      <c r="Y128" s="4"/>
      <c r="Z128" s="4"/>
    </row>
    <row r="129" ht="15.75" customHeight="1">
      <c r="A129" s="1"/>
      <c r="B129" s="1"/>
      <c r="C129" s="1"/>
      <c r="D129" s="1"/>
      <c r="E129" s="1"/>
      <c r="F129" s="1"/>
      <c r="G129" s="4"/>
      <c r="H129" s="4"/>
      <c r="I129" s="4"/>
      <c r="J129" s="4"/>
      <c r="K129" s="4"/>
      <c r="L129" s="4"/>
      <c r="M129" s="4"/>
      <c r="N129" s="4"/>
      <c r="O129" s="4"/>
      <c r="P129" s="4"/>
      <c r="Q129" s="4"/>
      <c r="R129" s="4"/>
      <c r="S129" s="4"/>
      <c r="T129" s="4"/>
      <c r="U129" s="4"/>
      <c r="V129" s="4"/>
      <c r="W129" s="4"/>
      <c r="X129" s="4"/>
      <c r="Y129" s="4"/>
      <c r="Z129" s="4"/>
    </row>
    <row r="130" ht="15.75" customHeight="1">
      <c r="A130" s="1"/>
      <c r="B130" s="1"/>
      <c r="C130" s="1"/>
      <c r="D130" s="1"/>
      <c r="E130" s="1"/>
      <c r="F130" s="1"/>
      <c r="G130" s="4"/>
      <c r="H130" s="4"/>
      <c r="I130" s="4"/>
      <c r="J130" s="4"/>
      <c r="K130" s="4"/>
      <c r="L130" s="4"/>
      <c r="M130" s="4"/>
      <c r="N130" s="4"/>
      <c r="O130" s="4"/>
      <c r="P130" s="4"/>
      <c r="Q130" s="4"/>
      <c r="R130" s="4"/>
      <c r="S130" s="4"/>
      <c r="T130" s="4"/>
      <c r="U130" s="4"/>
      <c r="V130" s="4"/>
      <c r="W130" s="4"/>
      <c r="X130" s="4"/>
      <c r="Y130" s="4"/>
      <c r="Z130" s="4"/>
    </row>
    <row r="131" ht="15.75" customHeight="1">
      <c r="A131" s="1"/>
      <c r="B131" s="1"/>
      <c r="C131" s="1"/>
      <c r="D131" s="1"/>
      <c r="E131" s="1"/>
      <c r="F131" s="1"/>
      <c r="G131" s="4"/>
      <c r="H131" s="4"/>
      <c r="I131" s="4"/>
      <c r="J131" s="4"/>
      <c r="K131" s="4"/>
      <c r="L131" s="4"/>
      <c r="M131" s="4"/>
      <c r="N131" s="4"/>
      <c r="O131" s="4"/>
      <c r="P131" s="4"/>
      <c r="Q131" s="4"/>
      <c r="R131" s="4"/>
      <c r="S131" s="4"/>
      <c r="T131" s="4"/>
      <c r="U131" s="4"/>
      <c r="V131" s="4"/>
      <c r="W131" s="4"/>
      <c r="X131" s="4"/>
      <c r="Y131" s="4"/>
      <c r="Z131" s="4"/>
    </row>
    <row r="132" ht="15.75" customHeight="1">
      <c r="A132" s="1"/>
      <c r="B132" s="1"/>
      <c r="C132" s="1"/>
      <c r="D132" s="1"/>
      <c r="E132" s="1"/>
      <c r="F132" s="1"/>
      <c r="G132" s="4"/>
      <c r="H132" s="4"/>
      <c r="I132" s="4"/>
      <c r="J132" s="4"/>
      <c r="K132" s="4"/>
      <c r="L132" s="4"/>
      <c r="M132" s="4"/>
      <c r="N132" s="4"/>
      <c r="O132" s="4"/>
      <c r="P132" s="4"/>
      <c r="Q132" s="4"/>
      <c r="R132" s="4"/>
      <c r="S132" s="4"/>
      <c r="T132" s="4"/>
      <c r="U132" s="4"/>
      <c r="V132" s="4"/>
      <c r="W132" s="4"/>
      <c r="X132" s="4"/>
      <c r="Y132" s="4"/>
      <c r="Z132" s="4"/>
    </row>
    <row r="133" ht="15.75" customHeight="1">
      <c r="A133" s="1"/>
      <c r="B133" s="1"/>
      <c r="C133" s="1"/>
      <c r="D133" s="1"/>
      <c r="E133" s="1"/>
      <c r="F133" s="1"/>
      <c r="G133" s="4"/>
      <c r="H133" s="4"/>
      <c r="I133" s="4"/>
      <c r="J133" s="4"/>
      <c r="K133" s="4"/>
      <c r="L133" s="4"/>
      <c r="M133" s="4"/>
      <c r="N133" s="4"/>
      <c r="O133" s="4"/>
      <c r="P133" s="4"/>
      <c r="Q133" s="4"/>
      <c r="R133" s="4"/>
      <c r="S133" s="4"/>
      <c r="T133" s="4"/>
      <c r="U133" s="4"/>
      <c r="V133" s="4"/>
      <c r="W133" s="4"/>
      <c r="X133" s="4"/>
      <c r="Y133" s="4"/>
      <c r="Z133" s="4"/>
    </row>
    <row r="134" ht="15.75" customHeight="1">
      <c r="A134" s="1"/>
      <c r="B134" s="1"/>
      <c r="C134" s="1"/>
      <c r="D134" s="1"/>
      <c r="E134" s="1"/>
      <c r="F134" s="1"/>
      <c r="G134" s="4"/>
      <c r="H134" s="4"/>
      <c r="I134" s="4"/>
      <c r="J134" s="4"/>
      <c r="K134" s="4"/>
      <c r="L134" s="4"/>
      <c r="M134" s="4"/>
      <c r="N134" s="4"/>
      <c r="O134" s="4"/>
      <c r="P134" s="4"/>
      <c r="Q134" s="4"/>
      <c r="R134" s="4"/>
      <c r="S134" s="4"/>
      <c r="T134" s="4"/>
      <c r="U134" s="4"/>
      <c r="V134" s="4"/>
      <c r="W134" s="4"/>
      <c r="X134" s="4"/>
      <c r="Y134" s="4"/>
      <c r="Z134" s="4"/>
    </row>
    <row r="135" ht="15.75" customHeight="1">
      <c r="A135" s="1"/>
      <c r="B135" s="1"/>
      <c r="C135" s="1"/>
      <c r="D135" s="1"/>
      <c r="E135" s="1"/>
      <c r="F135" s="1"/>
      <c r="G135" s="4"/>
      <c r="H135" s="4"/>
      <c r="I135" s="4"/>
      <c r="J135" s="4"/>
      <c r="K135" s="4"/>
      <c r="L135" s="4"/>
      <c r="M135" s="4"/>
      <c r="N135" s="4"/>
      <c r="O135" s="4"/>
      <c r="P135" s="4"/>
      <c r="Q135" s="4"/>
      <c r="R135" s="4"/>
      <c r="S135" s="4"/>
      <c r="T135" s="4"/>
      <c r="U135" s="4"/>
      <c r="V135" s="4"/>
      <c r="W135" s="4"/>
      <c r="X135" s="4"/>
      <c r="Y135" s="4"/>
      <c r="Z135" s="4"/>
    </row>
    <row r="136" ht="15.75" customHeight="1">
      <c r="A136" s="1"/>
      <c r="B136" s="1"/>
      <c r="C136" s="1"/>
      <c r="D136" s="1"/>
      <c r="E136" s="1"/>
      <c r="F136" s="1"/>
      <c r="G136" s="4"/>
      <c r="H136" s="4"/>
      <c r="I136" s="4"/>
      <c r="J136" s="4"/>
      <c r="K136" s="4"/>
      <c r="L136" s="4"/>
      <c r="M136" s="4"/>
      <c r="N136" s="4"/>
      <c r="O136" s="4"/>
      <c r="P136" s="4"/>
      <c r="Q136" s="4"/>
      <c r="R136" s="4"/>
      <c r="S136" s="4"/>
      <c r="T136" s="4"/>
      <c r="U136" s="4"/>
      <c r="V136" s="4"/>
      <c r="W136" s="4"/>
      <c r="X136" s="4"/>
      <c r="Y136" s="4"/>
      <c r="Z136" s="4"/>
    </row>
    <row r="137" ht="15.75" customHeight="1">
      <c r="A137" s="1"/>
      <c r="B137" s="1"/>
      <c r="C137" s="1"/>
      <c r="D137" s="1"/>
      <c r="E137" s="1"/>
      <c r="F137" s="1"/>
      <c r="G137" s="4"/>
      <c r="H137" s="4"/>
      <c r="I137" s="4"/>
      <c r="J137" s="4"/>
      <c r="K137" s="4"/>
      <c r="L137" s="4"/>
      <c r="M137" s="4"/>
      <c r="N137" s="4"/>
      <c r="O137" s="4"/>
      <c r="P137" s="4"/>
      <c r="Q137" s="4"/>
      <c r="R137" s="4"/>
      <c r="S137" s="4"/>
      <c r="T137" s="4"/>
      <c r="U137" s="4"/>
      <c r="V137" s="4"/>
      <c r="W137" s="4"/>
      <c r="X137" s="4"/>
      <c r="Y137" s="4"/>
      <c r="Z137" s="4"/>
    </row>
    <row r="138" ht="15.75" customHeight="1">
      <c r="A138" s="1"/>
      <c r="B138" s="1"/>
      <c r="C138" s="1"/>
      <c r="D138" s="1"/>
      <c r="E138" s="1"/>
      <c r="F138" s="1"/>
      <c r="G138" s="4"/>
      <c r="H138" s="4"/>
      <c r="I138" s="4"/>
      <c r="J138" s="4"/>
      <c r="K138" s="4"/>
      <c r="L138" s="4"/>
      <c r="M138" s="4"/>
      <c r="N138" s="4"/>
      <c r="O138" s="4"/>
      <c r="P138" s="4"/>
      <c r="Q138" s="4"/>
      <c r="R138" s="4"/>
      <c r="S138" s="4"/>
      <c r="T138" s="4"/>
      <c r="U138" s="4"/>
      <c r="V138" s="4"/>
      <c r="W138" s="4"/>
      <c r="X138" s="4"/>
      <c r="Y138" s="4"/>
      <c r="Z138" s="4"/>
    </row>
    <row r="139" ht="15.75" customHeight="1">
      <c r="A139" s="1"/>
      <c r="B139" s="1"/>
      <c r="C139" s="1"/>
      <c r="D139" s="1"/>
      <c r="E139" s="1"/>
      <c r="F139" s="1"/>
      <c r="G139" s="4"/>
      <c r="H139" s="4"/>
      <c r="I139" s="4"/>
      <c r="J139" s="4"/>
      <c r="K139" s="4"/>
      <c r="L139" s="4"/>
      <c r="M139" s="4"/>
      <c r="N139" s="4"/>
      <c r="O139" s="4"/>
      <c r="P139" s="4"/>
      <c r="Q139" s="4"/>
      <c r="R139" s="4"/>
      <c r="S139" s="4"/>
      <c r="T139" s="4"/>
      <c r="U139" s="4"/>
      <c r="V139" s="4"/>
      <c r="W139" s="4"/>
      <c r="X139" s="4"/>
      <c r="Y139" s="4"/>
      <c r="Z139" s="4"/>
    </row>
    <row r="140" ht="15.75" customHeight="1">
      <c r="A140" s="1"/>
      <c r="B140" s="1"/>
      <c r="C140" s="1"/>
      <c r="D140" s="1"/>
      <c r="E140" s="1"/>
      <c r="F140" s="1"/>
      <c r="G140" s="4"/>
      <c r="H140" s="4"/>
      <c r="I140" s="4"/>
      <c r="J140" s="4"/>
      <c r="K140" s="4"/>
      <c r="L140" s="4"/>
      <c r="M140" s="4"/>
      <c r="N140" s="4"/>
      <c r="O140" s="4"/>
      <c r="P140" s="4"/>
      <c r="Q140" s="4"/>
      <c r="R140" s="4"/>
      <c r="S140" s="4"/>
      <c r="T140" s="4"/>
      <c r="U140" s="4"/>
      <c r="V140" s="4"/>
      <c r="W140" s="4"/>
      <c r="X140" s="4"/>
      <c r="Y140" s="4"/>
      <c r="Z140" s="4"/>
    </row>
    <row r="141" ht="15.75" customHeight="1">
      <c r="A141" s="1"/>
      <c r="B141" s="1"/>
      <c r="C141" s="1"/>
      <c r="D141" s="1"/>
      <c r="E141" s="1"/>
      <c r="F141" s="1"/>
      <c r="G141" s="4"/>
      <c r="H141" s="4"/>
      <c r="I141" s="4"/>
      <c r="J141" s="4"/>
      <c r="K141" s="4"/>
      <c r="L141" s="4"/>
      <c r="M141" s="4"/>
      <c r="N141" s="4"/>
      <c r="O141" s="4"/>
      <c r="P141" s="4"/>
      <c r="Q141" s="4"/>
      <c r="R141" s="4"/>
      <c r="S141" s="4"/>
      <c r="T141" s="4"/>
      <c r="U141" s="4"/>
      <c r="V141" s="4"/>
      <c r="W141" s="4"/>
      <c r="X141" s="4"/>
      <c r="Y141" s="4"/>
      <c r="Z141" s="4"/>
    </row>
    <row r="142" ht="15.75" customHeight="1">
      <c r="A142" s="1"/>
      <c r="B142" s="1"/>
      <c r="C142" s="1"/>
      <c r="D142" s="1"/>
      <c r="E142" s="1"/>
      <c r="F142" s="1"/>
      <c r="G142" s="4"/>
      <c r="H142" s="4"/>
      <c r="I142" s="4"/>
      <c r="J142" s="4"/>
      <c r="K142" s="4"/>
      <c r="L142" s="4"/>
      <c r="M142" s="4"/>
      <c r="N142" s="4"/>
      <c r="O142" s="4"/>
      <c r="P142" s="4"/>
      <c r="Q142" s="4"/>
      <c r="R142" s="4"/>
      <c r="S142" s="4"/>
      <c r="T142" s="4"/>
      <c r="U142" s="4"/>
      <c r="V142" s="4"/>
      <c r="W142" s="4"/>
      <c r="X142" s="4"/>
      <c r="Y142" s="4"/>
      <c r="Z142" s="4"/>
    </row>
    <row r="143" ht="15.75" customHeight="1">
      <c r="A143" s="1"/>
      <c r="B143" s="1"/>
      <c r="C143" s="1"/>
      <c r="D143" s="1"/>
      <c r="E143" s="1"/>
      <c r="F143" s="1"/>
      <c r="G143" s="4"/>
      <c r="H143" s="4"/>
      <c r="I143" s="4"/>
      <c r="J143" s="4"/>
      <c r="K143" s="4"/>
      <c r="L143" s="4"/>
      <c r="M143" s="4"/>
      <c r="N143" s="4"/>
      <c r="O143" s="4"/>
      <c r="P143" s="4"/>
      <c r="Q143" s="4"/>
      <c r="R143" s="4"/>
      <c r="S143" s="4"/>
      <c r="T143" s="4"/>
      <c r="U143" s="4"/>
      <c r="V143" s="4"/>
      <c r="W143" s="4"/>
      <c r="X143" s="4"/>
      <c r="Y143" s="4"/>
      <c r="Z143" s="4"/>
    </row>
    <row r="144" ht="15.75" customHeight="1">
      <c r="A144" s="1"/>
      <c r="B144" s="1"/>
      <c r="C144" s="1"/>
      <c r="D144" s="1"/>
      <c r="E144" s="1"/>
      <c r="F144" s="1"/>
      <c r="G144" s="4"/>
      <c r="H144" s="4"/>
      <c r="I144" s="4"/>
      <c r="J144" s="4"/>
      <c r="K144" s="4"/>
      <c r="L144" s="4"/>
      <c r="M144" s="4"/>
      <c r="N144" s="4"/>
      <c r="O144" s="4"/>
      <c r="P144" s="4"/>
      <c r="Q144" s="4"/>
      <c r="R144" s="4"/>
      <c r="S144" s="4"/>
      <c r="T144" s="4"/>
      <c r="U144" s="4"/>
      <c r="V144" s="4"/>
      <c r="W144" s="4"/>
      <c r="X144" s="4"/>
      <c r="Y144" s="4"/>
      <c r="Z144" s="4"/>
    </row>
    <row r="145" ht="15.75" customHeight="1">
      <c r="A145" s="1"/>
      <c r="B145" s="1"/>
      <c r="C145" s="1"/>
      <c r="D145" s="1"/>
      <c r="E145" s="1"/>
      <c r="F145" s="1"/>
      <c r="G145" s="4"/>
      <c r="H145" s="4"/>
      <c r="I145" s="4"/>
      <c r="J145" s="4"/>
      <c r="K145" s="4"/>
      <c r="L145" s="4"/>
      <c r="M145" s="4"/>
      <c r="N145" s="4"/>
      <c r="O145" s="4"/>
      <c r="P145" s="4"/>
      <c r="Q145" s="4"/>
      <c r="R145" s="4"/>
      <c r="S145" s="4"/>
      <c r="T145" s="4"/>
      <c r="U145" s="4"/>
      <c r="V145" s="4"/>
      <c r="W145" s="4"/>
      <c r="X145" s="4"/>
      <c r="Y145" s="4"/>
      <c r="Z145" s="4"/>
    </row>
    <row r="146" ht="15.75" customHeight="1">
      <c r="A146" s="1"/>
      <c r="B146" s="1"/>
      <c r="C146" s="1"/>
      <c r="D146" s="1"/>
      <c r="E146" s="1"/>
      <c r="F146" s="1"/>
      <c r="G146" s="4"/>
      <c r="H146" s="4"/>
      <c r="I146" s="4"/>
      <c r="J146" s="4"/>
      <c r="K146" s="4"/>
      <c r="L146" s="4"/>
      <c r="M146" s="4"/>
      <c r="N146" s="4"/>
      <c r="O146" s="4"/>
      <c r="P146" s="4"/>
      <c r="Q146" s="4"/>
      <c r="R146" s="4"/>
      <c r="S146" s="4"/>
      <c r="T146" s="4"/>
      <c r="U146" s="4"/>
      <c r="V146" s="4"/>
      <c r="W146" s="4"/>
      <c r="X146" s="4"/>
      <c r="Y146" s="4"/>
      <c r="Z146" s="4"/>
    </row>
    <row r="147" ht="15.75" customHeight="1">
      <c r="A147" s="1"/>
      <c r="B147" s="1"/>
      <c r="C147" s="1"/>
      <c r="D147" s="1"/>
      <c r="E147" s="1"/>
      <c r="F147" s="1"/>
      <c r="G147" s="4"/>
      <c r="H147" s="4"/>
      <c r="I147" s="4"/>
      <c r="J147" s="4"/>
      <c r="K147" s="4"/>
      <c r="L147" s="4"/>
      <c r="M147" s="4"/>
      <c r="N147" s="4"/>
      <c r="O147" s="4"/>
      <c r="P147" s="4"/>
      <c r="Q147" s="4"/>
      <c r="R147" s="4"/>
      <c r="S147" s="4"/>
      <c r="T147" s="4"/>
      <c r="U147" s="4"/>
      <c r="V147" s="4"/>
      <c r="W147" s="4"/>
      <c r="X147" s="4"/>
      <c r="Y147" s="4"/>
      <c r="Z147" s="4"/>
    </row>
    <row r="148" ht="15.75" customHeight="1">
      <c r="A148" s="1"/>
      <c r="B148" s="1"/>
      <c r="C148" s="1"/>
      <c r="D148" s="1"/>
      <c r="E148" s="1"/>
      <c r="F148" s="1"/>
      <c r="G148" s="4"/>
      <c r="H148" s="4"/>
      <c r="I148" s="4"/>
      <c r="J148" s="4"/>
      <c r="K148" s="4"/>
      <c r="L148" s="4"/>
      <c r="M148" s="4"/>
      <c r="N148" s="4"/>
      <c r="O148" s="4"/>
      <c r="P148" s="4"/>
      <c r="Q148" s="4"/>
      <c r="R148" s="4"/>
      <c r="S148" s="4"/>
      <c r="T148" s="4"/>
      <c r="U148" s="4"/>
      <c r="V148" s="4"/>
      <c r="W148" s="4"/>
      <c r="X148" s="4"/>
      <c r="Y148" s="4"/>
      <c r="Z148" s="4"/>
    </row>
    <row r="149" ht="15.75" customHeight="1">
      <c r="A149" s="1"/>
      <c r="B149" s="1"/>
      <c r="C149" s="1"/>
      <c r="D149" s="1"/>
      <c r="E149" s="1"/>
      <c r="F149" s="1"/>
      <c r="G149" s="4"/>
      <c r="H149" s="4"/>
      <c r="I149" s="4"/>
      <c r="J149" s="4"/>
      <c r="K149" s="4"/>
      <c r="L149" s="4"/>
      <c r="M149" s="4"/>
      <c r="N149" s="4"/>
      <c r="O149" s="4"/>
      <c r="P149" s="4"/>
      <c r="Q149" s="4"/>
      <c r="R149" s="4"/>
      <c r="S149" s="4"/>
      <c r="T149" s="4"/>
      <c r="U149" s="4"/>
      <c r="V149" s="4"/>
      <c r="W149" s="4"/>
      <c r="X149" s="4"/>
      <c r="Y149" s="4"/>
      <c r="Z149" s="4"/>
    </row>
    <row r="150" ht="15.75" customHeight="1">
      <c r="A150" s="1"/>
      <c r="B150" s="1"/>
      <c r="C150" s="1"/>
      <c r="D150" s="1"/>
      <c r="E150" s="1"/>
      <c r="F150" s="1"/>
      <c r="G150" s="4"/>
      <c r="H150" s="4"/>
      <c r="I150" s="4"/>
      <c r="J150" s="4"/>
      <c r="K150" s="4"/>
      <c r="L150" s="4"/>
      <c r="M150" s="4"/>
      <c r="N150" s="4"/>
      <c r="O150" s="4"/>
      <c r="P150" s="4"/>
      <c r="Q150" s="4"/>
      <c r="R150" s="4"/>
      <c r="S150" s="4"/>
      <c r="T150" s="4"/>
      <c r="U150" s="4"/>
      <c r="V150" s="4"/>
      <c r="W150" s="4"/>
      <c r="X150" s="4"/>
      <c r="Y150" s="4"/>
      <c r="Z150" s="4"/>
    </row>
    <row r="151" ht="15.75" customHeight="1">
      <c r="A151" s="1"/>
      <c r="B151" s="1"/>
      <c r="C151" s="1"/>
      <c r="D151" s="1"/>
      <c r="E151" s="1"/>
      <c r="F151" s="1"/>
      <c r="G151" s="4"/>
      <c r="H151" s="4"/>
      <c r="I151" s="4"/>
      <c r="J151" s="4"/>
      <c r="K151" s="4"/>
      <c r="L151" s="4"/>
      <c r="M151" s="4"/>
      <c r="N151" s="4"/>
      <c r="O151" s="4"/>
      <c r="P151" s="4"/>
      <c r="Q151" s="4"/>
      <c r="R151" s="4"/>
      <c r="S151" s="4"/>
      <c r="T151" s="4"/>
      <c r="U151" s="4"/>
      <c r="V151" s="4"/>
      <c r="W151" s="4"/>
      <c r="X151" s="4"/>
      <c r="Y151" s="4"/>
      <c r="Z151" s="4"/>
    </row>
    <row r="152" ht="15.75" customHeight="1">
      <c r="A152" s="1"/>
      <c r="B152" s="1"/>
      <c r="C152" s="1"/>
      <c r="D152" s="1"/>
      <c r="E152" s="1"/>
      <c r="F152" s="1"/>
      <c r="G152" s="4"/>
      <c r="H152" s="4"/>
      <c r="I152" s="4"/>
      <c r="J152" s="4"/>
      <c r="K152" s="4"/>
      <c r="L152" s="4"/>
      <c r="M152" s="4"/>
      <c r="N152" s="4"/>
      <c r="O152" s="4"/>
      <c r="P152" s="4"/>
      <c r="Q152" s="4"/>
      <c r="R152" s="4"/>
      <c r="S152" s="4"/>
      <c r="T152" s="4"/>
      <c r="U152" s="4"/>
      <c r="V152" s="4"/>
      <c r="W152" s="4"/>
      <c r="X152" s="4"/>
      <c r="Y152" s="4"/>
      <c r="Z152" s="4"/>
    </row>
    <row r="153" ht="15.75" customHeight="1">
      <c r="A153" s="1"/>
      <c r="B153" s="1"/>
      <c r="C153" s="1"/>
      <c r="D153" s="1"/>
      <c r="E153" s="1"/>
      <c r="F153" s="1"/>
      <c r="G153" s="4"/>
      <c r="H153" s="4"/>
      <c r="I153" s="4"/>
      <c r="J153" s="4"/>
      <c r="K153" s="4"/>
      <c r="L153" s="4"/>
      <c r="M153" s="4"/>
      <c r="N153" s="4"/>
      <c r="O153" s="4"/>
      <c r="P153" s="4"/>
      <c r="Q153" s="4"/>
      <c r="R153" s="4"/>
      <c r="S153" s="4"/>
      <c r="T153" s="4"/>
      <c r="U153" s="4"/>
      <c r="V153" s="4"/>
      <c r="W153" s="4"/>
      <c r="X153" s="4"/>
      <c r="Y153" s="4"/>
      <c r="Z153" s="4"/>
    </row>
    <row r="154" ht="15.75" customHeight="1">
      <c r="A154" s="1"/>
      <c r="B154" s="1"/>
      <c r="C154" s="1"/>
      <c r="D154" s="1"/>
      <c r="E154" s="1"/>
      <c r="F154" s="1"/>
      <c r="G154" s="4"/>
      <c r="H154" s="4"/>
      <c r="I154" s="4"/>
      <c r="J154" s="4"/>
      <c r="K154" s="4"/>
      <c r="L154" s="4"/>
      <c r="M154" s="4"/>
      <c r="N154" s="4"/>
      <c r="O154" s="4"/>
      <c r="P154" s="4"/>
      <c r="Q154" s="4"/>
      <c r="R154" s="4"/>
      <c r="S154" s="4"/>
      <c r="T154" s="4"/>
      <c r="U154" s="4"/>
      <c r="V154" s="4"/>
      <c r="W154" s="4"/>
      <c r="X154" s="4"/>
      <c r="Y154" s="4"/>
      <c r="Z154" s="4"/>
    </row>
    <row r="155" ht="15.75" customHeight="1">
      <c r="A155" s="1"/>
      <c r="B155" s="1"/>
      <c r="C155" s="1"/>
      <c r="D155" s="1"/>
      <c r="E155" s="1"/>
      <c r="F155" s="1"/>
      <c r="G155" s="4"/>
      <c r="H155" s="4"/>
      <c r="I155" s="4"/>
      <c r="J155" s="4"/>
      <c r="K155" s="4"/>
      <c r="L155" s="4"/>
      <c r="M155" s="4"/>
      <c r="N155" s="4"/>
      <c r="O155" s="4"/>
      <c r="P155" s="4"/>
      <c r="Q155" s="4"/>
      <c r="R155" s="4"/>
      <c r="S155" s="4"/>
      <c r="T155" s="4"/>
      <c r="U155" s="4"/>
      <c r="V155" s="4"/>
      <c r="W155" s="4"/>
      <c r="X155" s="4"/>
      <c r="Y155" s="4"/>
      <c r="Z155" s="4"/>
    </row>
    <row r="156" ht="15.75" customHeight="1">
      <c r="A156" s="1"/>
      <c r="B156" s="1"/>
      <c r="C156" s="1"/>
      <c r="D156" s="1"/>
      <c r="E156" s="1"/>
      <c r="F156" s="1"/>
      <c r="G156" s="4"/>
      <c r="H156" s="4"/>
      <c r="I156" s="4"/>
      <c r="J156" s="4"/>
      <c r="K156" s="4"/>
      <c r="L156" s="4"/>
      <c r="M156" s="4"/>
      <c r="N156" s="4"/>
      <c r="O156" s="4"/>
      <c r="P156" s="4"/>
      <c r="Q156" s="4"/>
      <c r="R156" s="4"/>
      <c r="S156" s="4"/>
      <c r="T156" s="4"/>
      <c r="U156" s="4"/>
      <c r="V156" s="4"/>
      <c r="W156" s="4"/>
      <c r="X156" s="4"/>
      <c r="Y156" s="4"/>
      <c r="Z156" s="4"/>
    </row>
    <row r="157" ht="15.75" customHeight="1">
      <c r="A157" s="1"/>
      <c r="B157" s="1"/>
      <c r="C157" s="1"/>
      <c r="D157" s="1"/>
      <c r="E157" s="1"/>
      <c r="F157" s="1"/>
      <c r="G157" s="4"/>
      <c r="H157" s="4"/>
      <c r="I157" s="4"/>
      <c r="J157" s="4"/>
      <c r="K157" s="4"/>
      <c r="L157" s="4"/>
      <c r="M157" s="4"/>
      <c r="N157" s="4"/>
      <c r="O157" s="4"/>
      <c r="P157" s="4"/>
      <c r="Q157" s="4"/>
      <c r="R157" s="4"/>
      <c r="S157" s="4"/>
      <c r="T157" s="4"/>
      <c r="U157" s="4"/>
      <c r="V157" s="4"/>
      <c r="W157" s="4"/>
      <c r="X157" s="4"/>
      <c r="Y157" s="4"/>
      <c r="Z157" s="4"/>
    </row>
    <row r="158" ht="15.75" customHeight="1">
      <c r="A158" s="1"/>
      <c r="B158" s="1"/>
      <c r="C158" s="1"/>
      <c r="D158" s="1"/>
      <c r="E158" s="1"/>
      <c r="F158" s="1"/>
      <c r="G158" s="4"/>
      <c r="H158" s="4"/>
      <c r="I158" s="4"/>
      <c r="J158" s="4"/>
      <c r="K158" s="4"/>
      <c r="L158" s="4"/>
      <c r="M158" s="4"/>
      <c r="N158" s="4"/>
      <c r="O158" s="4"/>
      <c r="P158" s="4"/>
      <c r="Q158" s="4"/>
      <c r="R158" s="4"/>
      <c r="S158" s="4"/>
      <c r="T158" s="4"/>
      <c r="U158" s="4"/>
      <c r="V158" s="4"/>
      <c r="W158" s="4"/>
      <c r="X158" s="4"/>
      <c r="Y158" s="4"/>
      <c r="Z158" s="4"/>
    </row>
    <row r="159" ht="15.75" customHeight="1">
      <c r="A159" s="1"/>
      <c r="B159" s="1"/>
      <c r="C159" s="1"/>
      <c r="D159" s="1"/>
      <c r="E159" s="1"/>
      <c r="F159" s="1"/>
      <c r="G159" s="4"/>
      <c r="H159" s="4"/>
      <c r="I159" s="4"/>
      <c r="J159" s="4"/>
      <c r="K159" s="4"/>
      <c r="L159" s="4"/>
      <c r="M159" s="4"/>
      <c r="N159" s="4"/>
      <c r="O159" s="4"/>
      <c r="P159" s="4"/>
      <c r="Q159" s="4"/>
      <c r="R159" s="4"/>
      <c r="S159" s="4"/>
      <c r="T159" s="4"/>
      <c r="U159" s="4"/>
      <c r="V159" s="4"/>
      <c r="W159" s="4"/>
      <c r="X159" s="4"/>
      <c r="Y159" s="4"/>
      <c r="Z159" s="4"/>
    </row>
    <row r="160" ht="15.75" customHeight="1">
      <c r="A160" s="1"/>
      <c r="B160" s="1"/>
      <c r="C160" s="1"/>
      <c r="D160" s="1"/>
      <c r="E160" s="1"/>
      <c r="F160" s="1"/>
      <c r="G160" s="4"/>
      <c r="H160" s="4"/>
      <c r="I160" s="4"/>
      <c r="J160" s="4"/>
      <c r="K160" s="4"/>
      <c r="L160" s="4"/>
      <c r="M160" s="4"/>
      <c r="N160" s="4"/>
      <c r="O160" s="4"/>
      <c r="P160" s="4"/>
      <c r="Q160" s="4"/>
      <c r="R160" s="4"/>
      <c r="S160" s="4"/>
      <c r="T160" s="4"/>
      <c r="U160" s="4"/>
      <c r="V160" s="4"/>
      <c r="W160" s="4"/>
      <c r="X160" s="4"/>
      <c r="Y160" s="4"/>
      <c r="Z160" s="4"/>
    </row>
    <row r="161" ht="15.75" customHeight="1">
      <c r="A161" s="1"/>
      <c r="B161" s="1"/>
      <c r="C161" s="1"/>
      <c r="D161" s="1"/>
      <c r="E161" s="1"/>
      <c r="F161" s="1"/>
      <c r="G161" s="4"/>
      <c r="H161" s="4"/>
      <c r="I161" s="4"/>
      <c r="J161" s="4"/>
      <c r="K161" s="4"/>
      <c r="L161" s="4"/>
      <c r="M161" s="4"/>
      <c r="N161" s="4"/>
      <c r="O161" s="4"/>
      <c r="P161" s="4"/>
      <c r="Q161" s="4"/>
      <c r="R161" s="4"/>
      <c r="S161" s="4"/>
      <c r="T161" s="4"/>
      <c r="U161" s="4"/>
      <c r="V161" s="4"/>
      <c r="W161" s="4"/>
      <c r="X161" s="4"/>
      <c r="Y161" s="4"/>
      <c r="Z161" s="4"/>
    </row>
    <row r="162" ht="15.75" customHeight="1">
      <c r="A162" s="1"/>
      <c r="B162" s="1"/>
      <c r="C162" s="1"/>
      <c r="D162" s="1"/>
      <c r="E162" s="1"/>
      <c r="F162" s="1"/>
      <c r="G162" s="4"/>
      <c r="H162" s="4"/>
      <c r="I162" s="4"/>
      <c r="J162" s="4"/>
      <c r="K162" s="4"/>
      <c r="L162" s="4"/>
      <c r="M162" s="4"/>
      <c r="N162" s="4"/>
      <c r="O162" s="4"/>
      <c r="P162" s="4"/>
      <c r="Q162" s="4"/>
      <c r="R162" s="4"/>
      <c r="S162" s="4"/>
      <c r="T162" s="4"/>
      <c r="U162" s="4"/>
      <c r="V162" s="4"/>
      <c r="W162" s="4"/>
      <c r="X162" s="4"/>
      <c r="Y162" s="4"/>
      <c r="Z162" s="4"/>
    </row>
    <row r="163" ht="15.75" customHeight="1">
      <c r="A163" s="1"/>
      <c r="B163" s="1"/>
      <c r="C163" s="1"/>
      <c r="D163" s="1"/>
      <c r="E163" s="1"/>
      <c r="F163" s="1"/>
      <c r="G163" s="4"/>
      <c r="H163" s="4"/>
      <c r="I163" s="4"/>
      <c r="J163" s="4"/>
      <c r="K163" s="4"/>
      <c r="L163" s="4"/>
      <c r="M163" s="4"/>
      <c r="N163" s="4"/>
      <c r="O163" s="4"/>
      <c r="P163" s="4"/>
      <c r="Q163" s="4"/>
      <c r="R163" s="4"/>
      <c r="S163" s="4"/>
      <c r="T163" s="4"/>
      <c r="U163" s="4"/>
      <c r="V163" s="4"/>
      <c r="W163" s="4"/>
      <c r="X163" s="4"/>
      <c r="Y163" s="4"/>
      <c r="Z163" s="4"/>
    </row>
    <row r="164" ht="15.75" customHeight="1">
      <c r="A164" s="1"/>
      <c r="B164" s="1"/>
      <c r="C164" s="1"/>
      <c r="D164" s="1"/>
      <c r="E164" s="1"/>
      <c r="F164" s="1"/>
      <c r="G164" s="4"/>
      <c r="H164" s="4"/>
      <c r="I164" s="4"/>
      <c r="J164" s="4"/>
      <c r="K164" s="4"/>
      <c r="L164" s="4"/>
      <c r="M164" s="4"/>
      <c r="N164" s="4"/>
      <c r="O164" s="4"/>
      <c r="P164" s="4"/>
      <c r="Q164" s="4"/>
      <c r="R164" s="4"/>
      <c r="S164" s="4"/>
      <c r="T164" s="4"/>
      <c r="U164" s="4"/>
      <c r="V164" s="4"/>
      <c r="W164" s="4"/>
      <c r="X164" s="4"/>
      <c r="Y164" s="4"/>
      <c r="Z164" s="4"/>
    </row>
    <row r="165" ht="15.75" customHeight="1">
      <c r="A165" s="1"/>
      <c r="B165" s="1"/>
      <c r="C165" s="1"/>
      <c r="D165" s="1"/>
      <c r="E165" s="1"/>
      <c r="F165" s="1"/>
      <c r="G165" s="4"/>
      <c r="H165" s="4"/>
      <c r="I165" s="4"/>
      <c r="J165" s="4"/>
      <c r="K165" s="4"/>
      <c r="L165" s="4"/>
      <c r="M165" s="4"/>
      <c r="N165" s="4"/>
      <c r="O165" s="4"/>
      <c r="P165" s="4"/>
      <c r="Q165" s="4"/>
      <c r="R165" s="4"/>
      <c r="S165" s="4"/>
      <c r="T165" s="4"/>
      <c r="U165" s="4"/>
      <c r="V165" s="4"/>
      <c r="W165" s="4"/>
      <c r="X165" s="4"/>
      <c r="Y165" s="4"/>
      <c r="Z165" s="4"/>
    </row>
    <row r="166" ht="15.75" customHeight="1">
      <c r="A166" s="1"/>
      <c r="B166" s="1"/>
      <c r="C166" s="1"/>
      <c r="D166" s="1"/>
      <c r="E166" s="1"/>
      <c r="F166" s="1"/>
      <c r="G166" s="4"/>
      <c r="H166" s="4"/>
      <c r="I166" s="4"/>
      <c r="J166" s="4"/>
      <c r="K166" s="4"/>
      <c r="L166" s="4"/>
      <c r="M166" s="4"/>
      <c r="N166" s="4"/>
      <c r="O166" s="4"/>
      <c r="P166" s="4"/>
      <c r="Q166" s="4"/>
      <c r="R166" s="4"/>
      <c r="S166" s="4"/>
      <c r="T166" s="4"/>
      <c r="U166" s="4"/>
      <c r="V166" s="4"/>
      <c r="W166" s="4"/>
      <c r="X166" s="4"/>
      <c r="Y166" s="4"/>
      <c r="Z166" s="4"/>
    </row>
    <row r="167" ht="15.75" customHeight="1">
      <c r="A167" s="1"/>
      <c r="B167" s="1"/>
      <c r="C167" s="1"/>
      <c r="D167" s="1"/>
      <c r="E167" s="1"/>
      <c r="F167" s="1"/>
      <c r="G167" s="4"/>
      <c r="H167" s="4"/>
      <c r="I167" s="4"/>
      <c r="J167" s="4"/>
      <c r="K167" s="4"/>
      <c r="L167" s="4"/>
      <c r="M167" s="4"/>
      <c r="N167" s="4"/>
      <c r="O167" s="4"/>
      <c r="P167" s="4"/>
      <c r="Q167" s="4"/>
      <c r="R167" s="4"/>
      <c r="S167" s="4"/>
      <c r="T167" s="4"/>
      <c r="U167" s="4"/>
      <c r="V167" s="4"/>
      <c r="W167" s="4"/>
      <c r="X167" s="4"/>
      <c r="Y167" s="4"/>
      <c r="Z167" s="4"/>
    </row>
    <row r="168" ht="15.75" customHeight="1">
      <c r="A168" s="1"/>
      <c r="B168" s="1"/>
      <c r="C168" s="1"/>
      <c r="D168" s="1"/>
      <c r="E168" s="1"/>
      <c r="F168" s="1"/>
      <c r="G168" s="4"/>
      <c r="H168" s="4"/>
      <c r="I168" s="4"/>
      <c r="J168" s="4"/>
      <c r="K168" s="4"/>
      <c r="L168" s="4"/>
      <c r="M168" s="4"/>
      <c r="N168" s="4"/>
      <c r="O168" s="4"/>
      <c r="P168" s="4"/>
      <c r="Q168" s="4"/>
      <c r="R168" s="4"/>
      <c r="S168" s="4"/>
      <c r="T168" s="4"/>
      <c r="U168" s="4"/>
      <c r="V168" s="4"/>
      <c r="W168" s="4"/>
      <c r="X168" s="4"/>
      <c r="Y168" s="4"/>
      <c r="Z168" s="4"/>
    </row>
    <row r="169" ht="15.75" customHeight="1">
      <c r="A169" s="1"/>
      <c r="B169" s="1"/>
      <c r="C169" s="1"/>
      <c r="D169" s="1"/>
      <c r="E169" s="1"/>
      <c r="F169" s="1"/>
      <c r="G169" s="4"/>
      <c r="H169" s="4"/>
      <c r="I169" s="4"/>
      <c r="J169" s="4"/>
      <c r="K169" s="4"/>
      <c r="L169" s="4"/>
      <c r="M169" s="4"/>
      <c r="N169" s="4"/>
      <c r="O169" s="4"/>
      <c r="P169" s="4"/>
      <c r="Q169" s="4"/>
      <c r="R169" s="4"/>
      <c r="S169" s="4"/>
      <c r="T169" s="4"/>
      <c r="U169" s="4"/>
      <c r="V169" s="4"/>
      <c r="W169" s="4"/>
      <c r="X169" s="4"/>
      <c r="Y169" s="4"/>
      <c r="Z169" s="4"/>
    </row>
    <row r="170" ht="15.75" customHeight="1">
      <c r="A170" s="1"/>
      <c r="B170" s="1"/>
      <c r="C170" s="1"/>
      <c r="D170" s="1"/>
      <c r="E170" s="1"/>
      <c r="F170" s="1"/>
      <c r="G170" s="4"/>
      <c r="H170" s="4"/>
      <c r="I170" s="4"/>
      <c r="J170" s="4"/>
      <c r="K170" s="4"/>
      <c r="L170" s="4"/>
      <c r="M170" s="4"/>
      <c r="N170" s="4"/>
      <c r="O170" s="4"/>
      <c r="P170" s="4"/>
      <c r="Q170" s="4"/>
      <c r="R170" s="4"/>
      <c r="S170" s="4"/>
      <c r="T170" s="4"/>
      <c r="U170" s="4"/>
      <c r="V170" s="4"/>
      <c r="W170" s="4"/>
      <c r="X170" s="4"/>
      <c r="Y170" s="4"/>
      <c r="Z170" s="4"/>
    </row>
    <row r="171" ht="15.75" customHeight="1">
      <c r="A171" s="1"/>
      <c r="B171" s="1"/>
      <c r="C171" s="1"/>
      <c r="D171" s="1"/>
      <c r="E171" s="1"/>
      <c r="F171" s="1"/>
      <c r="G171" s="4"/>
      <c r="H171" s="4"/>
      <c r="I171" s="4"/>
      <c r="J171" s="4"/>
      <c r="K171" s="4"/>
      <c r="L171" s="4"/>
      <c r="M171" s="4"/>
      <c r="N171" s="4"/>
      <c r="O171" s="4"/>
      <c r="P171" s="4"/>
      <c r="Q171" s="4"/>
      <c r="R171" s="4"/>
      <c r="S171" s="4"/>
      <c r="T171" s="4"/>
      <c r="U171" s="4"/>
      <c r="V171" s="4"/>
      <c r="W171" s="4"/>
      <c r="X171" s="4"/>
      <c r="Y171" s="4"/>
      <c r="Z171" s="4"/>
    </row>
    <row r="172" ht="15.75" customHeight="1">
      <c r="A172" s="1"/>
      <c r="B172" s="1"/>
      <c r="C172" s="1"/>
      <c r="D172" s="1"/>
      <c r="E172" s="1"/>
      <c r="F172" s="1"/>
      <c r="G172" s="4"/>
      <c r="H172" s="4"/>
      <c r="I172" s="4"/>
      <c r="J172" s="4"/>
      <c r="K172" s="4"/>
      <c r="L172" s="4"/>
      <c r="M172" s="4"/>
      <c r="N172" s="4"/>
      <c r="O172" s="4"/>
      <c r="P172" s="4"/>
      <c r="Q172" s="4"/>
      <c r="R172" s="4"/>
      <c r="S172" s="4"/>
      <c r="T172" s="4"/>
      <c r="U172" s="4"/>
      <c r="V172" s="4"/>
      <c r="W172" s="4"/>
      <c r="X172" s="4"/>
      <c r="Y172" s="4"/>
      <c r="Z172" s="4"/>
    </row>
    <row r="173" ht="15.75" customHeight="1">
      <c r="A173" s="1"/>
      <c r="B173" s="1"/>
      <c r="C173" s="1"/>
      <c r="D173" s="1"/>
      <c r="E173" s="1"/>
      <c r="F173" s="1"/>
      <c r="G173" s="4"/>
      <c r="H173" s="4"/>
      <c r="I173" s="4"/>
      <c r="J173" s="4"/>
      <c r="K173" s="4"/>
      <c r="L173" s="4"/>
      <c r="M173" s="4"/>
      <c r="N173" s="4"/>
      <c r="O173" s="4"/>
      <c r="P173" s="4"/>
      <c r="Q173" s="4"/>
      <c r="R173" s="4"/>
      <c r="S173" s="4"/>
      <c r="T173" s="4"/>
      <c r="U173" s="4"/>
      <c r="V173" s="4"/>
      <c r="W173" s="4"/>
      <c r="X173" s="4"/>
      <c r="Y173" s="4"/>
      <c r="Z173" s="4"/>
    </row>
    <row r="174" ht="15.75" customHeight="1">
      <c r="A174" s="1"/>
      <c r="B174" s="1"/>
      <c r="C174" s="1"/>
      <c r="D174" s="1"/>
      <c r="E174" s="1"/>
      <c r="F174" s="1"/>
      <c r="G174" s="4"/>
      <c r="H174" s="4"/>
      <c r="I174" s="4"/>
      <c r="J174" s="4"/>
      <c r="K174" s="4"/>
      <c r="L174" s="4"/>
      <c r="M174" s="4"/>
      <c r="N174" s="4"/>
      <c r="O174" s="4"/>
      <c r="P174" s="4"/>
      <c r="Q174" s="4"/>
      <c r="R174" s="4"/>
      <c r="S174" s="4"/>
      <c r="T174" s="4"/>
      <c r="U174" s="4"/>
      <c r="V174" s="4"/>
      <c r="W174" s="4"/>
      <c r="X174" s="4"/>
      <c r="Y174" s="4"/>
      <c r="Z174" s="4"/>
    </row>
    <row r="175" ht="15.75" customHeight="1">
      <c r="A175" s="1"/>
      <c r="B175" s="1"/>
      <c r="C175" s="1"/>
      <c r="D175" s="1"/>
      <c r="E175" s="1"/>
      <c r="F175" s="1"/>
      <c r="G175" s="4"/>
      <c r="H175" s="4"/>
      <c r="I175" s="4"/>
      <c r="J175" s="4"/>
      <c r="K175" s="4"/>
      <c r="L175" s="4"/>
      <c r="M175" s="4"/>
      <c r="N175" s="4"/>
      <c r="O175" s="4"/>
      <c r="P175" s="4"/>
      <c r="Q175" s="4"/>
      <c r="R175" s="4"/>
      <c r="S175" s="4"/>
      <c r="T175" s="4"/>
      <c r="U175" s="4"/>
      <c r="V175" s="4"/>
      <c r="W175" s="4"/>
      <c r="X175" s="4"/>
      <c r="Y175" s="4"/>
      <c r="Z175" s="4"/>
    </row>
    <row r="176" ht="15.75" customHeight="1">
      <c r="A176" s="1"/>
      <c r="B176" s="1"/>
      <c r="C176" s="1"/>
      <c r="D176" s="1"/>
      <c r="E176" s="1"/>
      <c r="F176" s="1"/>
      <c r="G176" s="4"/>
      <c r="H176" s="4"/>
      <c r="I176" s="4"/>
      <c r="J176" s="4"/>
      <c r="K176" s="4"/>
      <c r="L176" s="4"/>
      <c r="M176" s="4"/>
      <c r="N176" s="4"/>
      <c r="O176" s="4"/>
      <c r="P176" s="4"/>
      <c r="Q176" s="4"/>
      <c r="R176" s="4"/>
      <c r="S176" s="4"/>
      <c r="T176" s="4"/>
      <c r="U176" s="4"/>
      <c r="V176" s="4"/>
      <c r="W176" s="4"/>
      <c r="X176" s="4"/>
      <c r="Y176" s="4"/>
      <c r="Z176" s="4"/>
    </row>
    <row r="177" ht="15.75" customHeight="1">
      <c r="A177" s="1"/>
      <c r="B177" s="1"/>
      <c r="C177" s="1"/>
      <c r="D177" s="1"/>
      <c r="E177" s="1"/>
      <c r="F177" s="1"/>
      <c r="G177" s="4"/>
      <c r="H177" s="4"/>
      <c r="I177" s="4"/>
      <c r="J177" s="4"/>
      <c r="K177" s="4"/>
      <c r="L177" s="4"/>
      <c r="M177" s="4"/>
      <c r="N177" s="4"/>
      <c r="O177" s="4"/>
      <c r="P177" s="4"/>
      <c r="Q177" s="4"/>
      <c r="R177" s="4"/>
      <c r="S177" s="4"/>
      <c r="T177" s="4"/>
      <c r="U177" s="4"/>
      <c r="V177" s="4"/>
      <c r="W177" s="4"/>
      <c r="X177" s="4"/>
      <c r="Y177" s="4"/>
      <c r="Z177" s="4"/>
    </row>
    <row r="178" ht="15.75" customHeight="1">
      <c r="A178" s="1"/>
      <c r="B178" s="1"/>
      <c r="C178" s="1"/>
      <c r="D178" s="1"/>
      <c r="E178" s="1"/>
      <c r="F178" s="1"/>
      <c r="G178" s="4"/>
      <c r="H178" s="4"/>
      <c r="I178" s="4"/>
      <c r="J178" s="4"/>
      <c r="K178" s="4"/>
      <c r="L178" s="4"/>
      <c r="M178" s="4"/>
      <c r="N178" s="4"/>
      <c r="O178" s="4"/>
      <c r="P178" s="4"/>
      <c r="Q178" s="4"/>
      <c r="R178" s="4"/>
      <c r="S178" s="4"/>
      <c r="T178" s="4"/>
      <c r="U178" s="4"/>
      <c r="V178" s="4"/>
      <c r="W178" s="4"/>
      <c r="X178" s="4"/>
      <c r="Y178" s="4"/>
      <c r="Z178" s="4"/>
    </row>
    <row r="179" ht="15.75" customHeight="1">
      <c r="A179" s="1"/>
      <c r="B179" s="1"/>
      <c r="C179" s="1"/>
      <c r="D179" s="1"/>
      <c r="E179" s="1"/>
      <c r="F179" s="1"/>
      <c r="G179" s="4"/>
      <c r="H179" s="4"/>
      <c r="I179" s="4"/>
      <c r="J179" s="4"/>
      <c r="K179" s="4"/>
      <c r="L179" s="4"/>
      <c r="M179" s="4"/>
      <c r="N179" s="4"/>
      <c r="O179" s="4"/>
      <c r="P179" s="4"/>
      <c r="Q179" s="4"/>
      <c r="R179" s="4"/>
      <c r="S179" s="4"/>
      <c r="T179" s="4"/>
      <c r="U179" s="4"/>
      <c r="V179" s="4"/>
      <c r="W179" s="4"/>
      <c r="X179" s="4"/>
      <c r="Y179" s="4"/>
      <c r="Z179" s="4"/>
    </row>
    <row r="180" ht="15.75" customHeight="1">
      <c r="A180" s="1"/>
      <c r="B180" s="1"/>
      <c r="C180" s="1"/>
      <c r="D180" s="1"/>
      <c r="E180" s="1"/>
      <c r="F180" s="1"/>
      <c r="G180" s="4"/>
      <c r="H180" s="4"/>
      <c r="I180" s="4"/>
      <c r="J180" s="4"/>
      <c r="K180" s="4"/>
      <c r="L180" s="4"/>
      <c r="M180" s="4"/>
      <c r="N180" s="4"/>
      <c r="O180" s="4"/>
      <c r="P180" s="4"/>
      <c r="Q180" s="4"/>
      <c r="R180" s="4"/>
      <c r="S180" s="4"/>
      <c r="T180" s="4"/>
      <c r="U180" s="4"/>
      <c r="V180" s="4"/>
      <c r="W180" s="4"/>
      <c r="X180" s="4"/>
      <c r="Y180" s="4"/>
      <c r="Z180" s="4"/>
    </row>
    <row r="181" ht="15.75" customHeight="1">
      <c r="A181" s="1"/>
      <c r="B181" s="1"/>
      <c r="C181" s="1"/>
      <c r="D181" s="1"/>
      <c r="E181" s="1"/>
      <c r="F181" s="1"/>
      <c r="G181" s="4"/>
      <c r="H181" s="4"/>
      <c r="I181" s="4"/>
      <c r="J181" s="4"/>
      <c r="K181" s="4"/>
      <c r="L181" s="4"/>
      <c r="M181" s="4"/>
      <c r="N181" s="4"/>
      <c r="O181" s="4"/>
      <c r="P181" s="4"/>
      <c r="Q181" s="4"/>
      <c r="R181" s="4"/>
      <c r="S181" s="4"/>
      <c r="T181" s="4"/>
      <c r="U181" s="4"/>
      <c r="V181" s="4"/>
      <c r="W181" s="4"/>
      <c r="X181" s="4"/>
      <c r="Y181" s="4"/>
      <c r="Z181" s="4"/>
    </row>
    <row r="182" ht="15.75" customHeight="1">
      <c r="A182" s="1"/>
      <c r="B182" s="1"/>
      <c r="C182" s="1"/>
      <c r="D182" s="1"/>
      <c r="E182" s="1"/>
      <c r="F182" s="1"/>
      <c r="G182" s="4"/>
      <c r="H182" s="4"/>
      <c r="I182" s="4"/>
      <c r="J182" s="4"/>
      <c r="K182" s="4"/>
      <c r="L182" s="4"/>
      <c r="M182" s="4"/>
      <c r="N182" s="4"/>
      <c r="O182" s="4"/>
      <c r="P182" s="4"/>
      <c r="Q182" s="4"/>
      <c r="R182" s="4"/>
      <c r="S182" s="4"/>
      <c r="T182" s="4"/>
      <c r="U182" s="4"/>
      <c r="V182" s="4"/>
      <c r="W182" s="4"/>
      <c r="X182" s="4"/>
      <c r="Y182" s="4"/>
      <c r="Z182" s="4"/>
    </row>
    <row r="183" ht="15.75" customHeight="1">
      <c r="A183" s="1"/>
      <c r="B183" s="1"/>
      <c r="C183" s="1"/>
      <c r="D183" s="1"/>
      <c r="E183" s="1"/>
      <c r="F183" s="1"/>
      <c r="G183" s="4"/>
      <c r="H183" s="4"/>
      <c r="I183" s="4"/>
      <c r="J183" s="4"/>
      <c r="K183" s="4"/>
      <c r="L183" s="4"/>
      <c r="M183" s="4"/>
      <c r="N183" s="4"/>
      <c r="O183" s="4"/>
      <c r="P183" s="4"/>
      <c r="Q183" s="4"/>
      <c r="R183" s="4"/>
      <c r="S183" s="4"/>
      <c r="T183" s="4"/>
      <c r="U183" s="4"/>
      <c r="V183" s="4"/>
      <c r="W183" s="4"/>
      <c r="X183" s="4"/>
      <c r="Y183" s="4"/>
      <c r="Z183" s="4"/>
    </row>
    <row r="184" ht="15.75" customHeight="1">
      <c r="A184" s="1"/>
      <c r="B184" s="1"/>
      <c r="C184" s="1"/>
      <c r="D184" s="1"/>
      <c r="E184" s="1"/>
      <c r="F184" s="1"/>
      <c r="G184" s="4"/>
      <c r="H184" s="4"/>
      <c r="I184" s="4"/>
      <c r="J184" s="4"/>
      <c r="K184" s="4"/>
      <c r="L184" s="4"/>
      <c r="M184" s="4"/>
      <c r="N184" s="4"/>
      <c r="O184" s="4"/>
      <c r="P184" s="4"/>
      <c r="Q184" s="4"/>
      <c r="R184" s="4"/>
      <c r="S184" s="4"/>
      <c r="T184" s="4"/>
      <c r="U184" s="4"/>
      <c r="V184" s="4"/>
      <c r="W184" s="4"/>
      <c r="X184" s="4"/>
      <c r="Y184" s="4"/>
      <c r="Z184" s="4"/>
    </row>
    <row r="185" ht="15.75" customHeight="1">
      <c r="A185" s="1"/>
      <c r="B185" s="1"/>
      <c r="C185" s="1"/>
      <c r="D185" s="1"/>
      <c r="E185" s="1"/>
      <c r="F185" s="1"/>
      <c r="G185" s="4"/>
      <c r="H185" s="4"/>
      <c r="I185" s="4"/>
      <c r="J185" s="4"/>
      <c r="K185" s="4"/>
      <c r="L185" s="4"/>
      <c r="M185" s="4"/>
      <c r="N185" s="4"/>
      <c r="O185" s="4"/>
      <c r="P185" s="4"/>
      <c r="Q185" s="4"/>
      <c r="R185" s="4"/>
      <c r="S185" s="4"/>
      <c r="T185" s="4"/>
      <c r="U185" s="4"/>
      <c r="V185" s="4"/>
      <c r="W185" s="4"/>
      <c r="X185" s="4"/>
      <c r="Y185" s="4"/>
      <c r="Z185" s="4"/>
    </row>
    <row r="186" ht="15.75" customHeight="1">
      <c r="A186" s="1"/>
      <c r="B186" s="1"/>
      <c r="C186" s="1"/>
      <c r="D186" s="1"/>
      <c r="E186" s="1"/>
      <c r="F186" s="1"/>
      <c r="G186" s="4"/>
      <c r="H186" s="4"/>
      <c r="I186" s="4"/>
      <c r="J186" s="4"/>
      <c r="K186" s="4"/>
      <c r="L186" s="4"/>
      <c r="M186" s="4"/>
      <c r="N186" s="4"/>
      <c r="O186" s="4"/>
      <c r="P186" s="4"/>
      <c r="Q186" s="4"/>
      <c r="R186" s="4"/>
      <c r="S186" s="4"/>
      <c r="T186" s="4"/>
      <c r="U186" s="4"/>
      <c r="V186" s="4"/>
      <c r="W186" s="4"/>
      <c r="X186" s="4"/>
      <c r="Y186" s="4"/>
      <c r="Z186" s="4"/>
    </row>
    <row r="187" ht="15.75" customHeight="1">
      <c r="A187" s="1"/>
      <c r="B187" s="1"/>
      <c r="C187" s="1"/>
      <c r="D187" s="1"/>
      <c r="E187" s="1"/>
      <c r="F187" s="1"/>
      <c r="G187" s="4"/>
      <c r="H187" s="4"/>
      <c r="I187" s="4"/>
      <c r="J187" s="4"/>
      <c r="K187" s="4"/>
      <c r="L187" s="4"/>
      <c r="M187" s="4"/>
      <c r="N187" s="4"/>
      <c r="O187" s="4"/>
      <c r="P187" s="4"/>
      <c r="Q187" s="4"/>
      <c r="R187" s="4"/>
      <c r="S187" s="4"/>
      <c r="T187" s="4"/>
      <c r="U187" s="4"/>
      <c r="V187" s="4"/>
      <c r="W187" s="4"/>
      <c r="X187" s="4"/>
      <c r="Y187" s="4"/>
      <c r="Z187" s="4"/>
    </row>
    <row r="188" ht="15.75" customHeight="1">
      <c r="A188" s="1"/>
      <c r="B188" s="1"/>
      <c r="C188" s="1"/>
      <c r="D188" s="1"/>
      <c r="E188" s="1"/>
      <c r="F188" s="1"/>
      <c r="G188" s="4"/>
      <c r="H188" s="4"/>
      <c r="I188" s="4"/>
      <c r="J188" s="4"/>
      <c r="K188" s="4"/>
      <c r="L188" s="4"/>
      <c r="M188" s="4"/>
      <c r="N188" s="4"/>
      <c r="O188" s="4"/>
      <c r="P188" s="4"/>
      <c r="Q188" s="4"/>
      <c r="R188" s="4"/>
      <c r="S188" s="4"/>
      <c r="T188" s="4"/>
      <c r="U188" s="4"/>
      <c r="V188" s="4"/>
      <c r="W188" s="4"/>
      <c r="X188" s="4"/>
      <c r="Y188" s="4"/>
      <c r="Z188" s="4"/>
    </row>
    <row r="189" ht="15.75" customHeight="1">
      <c r="A189" s="1"/>
      <c r="B189" s="1"/>
      <c r="C189" s="1"/>
      <c r="D189" s="1"/>
      <c r="E189" s="1"/>
      <c r="F189" s="1"/>
      <c r="G189" s="4"/>
      <c r="H189" s="4"/>
      <c r="I189" s="4"/>
      <c r="J189" s="4"/>
      <c r="K189" s="4"/>
      <c r="L189" s="4"/>
      <c r="M189" s="4"/>
      <c r="N189" s="4"/>
      <c r="O189" s="4"/>
      <c r="P189" s="4"/>
      <c r="Q189" s="4"/>
      <c r="R189" s="4"/>
      <c r="S189" s="4"/>
      <c r="T189" s="4"/>
      <c r="U189" s="4"/>
      <c r="V189" s="4"/>
      <c r="W189" s="4"/>
      <c r="X189" s="4"/>
      <c r="Y189" s="4"/>
      <c r="Z189" s="4"/>
    </row>
    <row r="190" ht="15.75" customHeight="1">
      <c r="A190" s="1"/>
      <c r="B190" s="1"/>
      <c r="C190" s="1"/>
      <c r="D190" s="1"/>
      <c r="E190" s="1"/>
      <c r="F190" s="1"/>
      <c r="G190" s="4"/>
      <c r="H190" s="4"/>
      <c r="I190" s="4"/>
      <c r="J190" s="4"/>
      <c r="K190" s="4"/>
      <c r="L190" s="4"/>
      <c r="M190" s="4"/>
      <c r="N190" s="4"/>
      <c r="O190" s="4"/>
      <c r="P190" s="4"/>
      <c r="Q190" s="4"/>
      <c r="R190" s="4"/>
      <c r="S190" s="4"/>
      <c r="T190" s="4"/>
      <c r="U190" s="4"/>
      <c r="V190" s="4"/>
      <c r="W190" s="4"/>
      <c r="X190" s="4"/>
      <c r="Y190" s="4"/>
      <c r="Z190" s="4"/>
    </row>
    <row r="191" ht="15.75" customHeight="1">
      <c r="A191" s="1"/>
      <c r="B191" s="1"/>
      <c r="C191" s="1"/>
      <c r="D191" s="1"/>
      <c r="E191" s="1"/>
      <c r="F191" s="1"/>
      <c r="G191" s="4"/>
      <c r="H191" s="4"/>
      <c r="I191" s="4"/>
      <c r="J191" s="4"/>
      <c r="K191" s="4"/>
      <c r="L191" s="4"/>
      <c r="M191" s="4"/>
      <c r="N191" s="4"/>
      <c r="O191" s="4"/>
      <c r="P191" s="4"/>
      <c r="Q191" s="4"/>
      <c r="R191" s="4"/>
      <c r="S191" s="4"/>
      <c r="T191" s="4"/>
      <c r="U191" s="4"/>
      <c r="V191" s="4"/>
      <c r="W191" s="4"/>
      <c r="X191" s="4"/>
      <c r="Y191" s="4"/>
      <c r="Z191" s="4"/>
    </row>
    <row r="192" ht="15.75" customHeight="1">
      <c r="A192" s="1"/>
      <c r="B192" s="1"/>
      <c r="C192" s="1"/>
      <c r="D192" s="1"/>
      <c r="E192" s="1"/>
      <c r="F192" s="1"/>
      <c r="G192" s="4"/>
      <c r="H192" s="4"/>
      <c r="I192" s="4"/>
      <c r="J192" s="4"/>
      <c r="K192" s="4"/>
      <c r="L192" s="4"/>
      <c r="M192" s="4"/>
      <c r="N192" s="4"/>
      <c r="O192" s="4"/>
      <c r="P192" s="4"/>
      <c r="Q192" s="4"/>
      <c r="R192" s="4"/>
      <c r="S192" s="4"/>
      <c r="T192" s="4"/>
      <c r="U192" s="4"/>
      <c r="V192" s="4"/>
      <c r="W192" s="4"/>
      <c r="X192" s="4"/>
      <c r="Y192" s="4"/>
      <c r="Z192" s="4"/>
    </row>
    <row r="193" ht="15.75" customHeight="1">
      <c r="A193" s="1"/>
      <c r="B193" s="1"/>
      <c r="C193" s="1"/>
      <c r="D193" s="1"/>
      <c r="E193" s="1"/>
      <c r="F193" s="1"/>
      <c r="G193" s="4"/>
      <c r="H193" s="4"/>
      <c r="I193" s="4"/>
      <c r="J193" s="4"/>
      <c r="K193" s="4"/>
      <c r="L193" s="4"/>
      <c r="M193" s="4"/>
      <c r="N193" s="4"/>
      <c r="O193" s="4"/>
      <c r="P193" s="4"/>
      <c r="Q193" s="4"/>
      <c r="R193" s="4"/>
      <c r="S193" s="4"/>
      <c r="T193" s="4"/>
      <c r="U193" s="4"/>
      <c r="V193" s="4"/>
      <c r="W193" s="4"/>
      <c r="X193" s="4"/>
      <c r="Y193" s="4"/>
      <c r="Z193" s="4"/>
    </row>
    <row r="194" ht="15.75" customHeight="1">
      <c r="A194" s="1"/>
      <c r="B194" s="1"/>
      <c r="C194" s="1"/>
      <c r="D194" s="1"/>
      <c r="E194" s="1"/>
      <c r="F194" s="1"/>
      <c r="G194" s="4"/>
      <c r="H194" s="4"/>
      <c r="I194" s="4"/>
      <c r="J194" s="4"/>
      <c r="K194" s="4"/>
      <c r="L194" s="4"/>
      <c r="M194" s="4"/>
      <c r="N194" s="4"/>
      <c r="O194" s="4"/>
      <c r="P194" s="4"/>
      <c r="Q194" s="4"/>
      <c r="R194" s="4"/>
      <c r="S194" s="4"/>
      <c r="T194" s="4"/>
      <c r="U194" s="4"/>
      <c r="V194" s="4"/>
      <c r="W194" s="4"/>
      <c r="X194" s="4"/>
      <c r="Y194" s="4"/>
      <c r="Z194" s="4"/>
    </row>
    <row r="195" ht="15.75" customHeight="1">
      <c r="A195" s="1"/>
      <c r="B195" s="1"/>
      <c r="C195" s="1"/>
      <c r="D195" s="1"/>
      <c r="E195" s="1"/>
      <c r="F195" s="1"/>
      <c r="G195" s="4"/>
      <c r="H195" s="4"/>
      <c r="I195" s="4"/>
      <c r="J195" s="4"/>
      <c r="K195" s="4"/>
      <c r="L195" s="4"/>
      <c r="M195" s="4"/>
      <c r="N195" s="4"/>
      <c r="O195" s="4"/>
      <c r="P195" s="4"/>
      <c r="Q195" s="4"/>
      <c r="R195" s="4"/>
      <c r="S195" s="4"/>
      <c r="T195" s="4"/>
      <c r="U195" s="4"/>
      <c r="V195" s="4"/>
      <c r="W195" s="4"/>
      <c r="X195" s="4"/>
      <c r="Y195" s="4"/>
      <c r="Z195" s="4"/>
    </row>
    <row r="196" ht="15.75" customHeight="1">
      <c r="A196" s="1"/>
      <c r="B196" s="1"/>
      <c r="C196" s="1"/>
      <c r="D196" s="1"/>
      <c r="E196" s="1"/>
      <c r="F196" s="1"/>
      <c r="G196" s="4"/>
      <c r="H196" s="4"/>
      <c r="I196" s="4"/>
      <c r="J196" s="4"/>
      <c r="K196" s="4"/>
      <c r="L196" s="4"/>
      <c r="M196" s="4"/>
      <c r="N196" s="4"/>
      <c r="O196" s="4"/>
      <c r="P196" s="4"/>
      <c r="Q196" s="4"/>
      <c r="R196" s="4"/>
      <c r="S196" s="4"/>
      <c r="T196" s="4"/>
      <c r="U196" s="4"/>
      <c r="V196" s="4"/>
      <c r="W196" s="4"/>
      <c r="X196" s="4"/>
      <c r="Y196" s="4"/>
      <c r="Z196" s="4"/>
    </row>
    <row r="197" ht="15.75" customHeight="1">
      <c r="A197" s="1"/>
      <c r="B197" s="1"/>
      <c r="C197" s="1"/>
      <c r="D197" s="1"/>
      <c r="E197" s="1"/>
      <c r="F197" s="1"/>
      <c r="G197" s="4"/>
      <c r="H197" s="4"/>
      <c r="I197" s="4"/>
      <c r="J197" s="4"/>
      <c r="K197" s="4"/>
      <c r="L197" s="4"/>
      <c r="M197" s="4"/>
      <c r="N197" s="4"/>
      <c r="O197" s="4"/>
      <c r="P197" s="4"/>
      <c r="Q197" s="4"/>
      <c r="R197" s="4"/>
      <c r="S197" s="4"/>
      <c r="T197" s="4"/>
      <c r="U197" s="4"/>
      <c r="V197" s="4"/>
      <c r="W197" s="4"/>
      <c r="X197" s="4"/>
      <c r="Y197" s="4"/>
      <c r="Z197" s="4"/>
    </row>
    <row r="198" ht="15.75" customHeight="1">
      <c r="A198" s="1"/>
      <c r="B198" s="1"/>
      <c r="C198" s="1"/>
      <c r="D198" s="1"/>
      <c r="E198" s="1"/>
      <c r="F198" s="1"/>
      <c r="G198" s="4"/>
      <c r="H198" s="4"/>
      <c r="I198" s="4"/>
      <c r="J198" s="4"/>
      <c r="K198" s="4"/>
      <c r="L198" s="4"/>
      <c r="M198" s="4"/>
      <c r="N198" s="4"/>
      <c r="O198" s="4"/>
      <c r="P198" s="4"/>
      <c r="Q198" s="4"/>
      <c r="R198" s="4"/>
      <c r="S198" s="4"/>
      <c r="T198" s="4"/>
      <c r="U198" s="4"/>
      <c r="V198" s="4"/>
      <c r="W198" s="4"/>
      <c r="X198" s="4"/>
      <c r="Y198" s="4"/>
      <c r="Z198" s="4"/>
    </row>
    <row r="199" ht="15.75" customHeight="1">
      <c r="A199" s="1"/>
      <c r="B199" s="1"/>
      <c r="C199" s="1"/>
      <c r="D199" s="1"/>
      <c r="E199" s="1"/>
      <c r="F199" s="1"/>
      <c r="G199" s="4"/>
      <c r="H199" s="4"/>
      <c r="I199" s="4"/>
      <c r="J199" s="4"/>
      <c r="K199" s="4"/>
      <c r="L199" s="4"/>
      <c r="M199" s="4"/>
      <c r="N199" s="4"/>
      <c r="O199" s="4"/>
      <c r="P199" s="4"/>
      <c r="Q199" s="4"/>
      <c r="R199" s="4"/>
      <c r="S199" s="4"/>
      <c r="T199" s="4"/>
      <c r="U199" s="4"/>
      <c r="V199" s="4"/>
      <c r="W199" s="4"/>
      <c r="X199" s="4"/>
      <c r="Y199" s="4"/>
      <c r="Z199" s="4"/>
    </row>
    <row r="200" ht="15.75" customHeight="1">
      <c r="A200" s="1"/>
      <c r="B200" s="1"/>
      <c r="C200" s="1"/>
      <c r="D200" s="1"/>
      <c r="E200" s="1"/>
      <c r="F200" s="1"/>
      <c r="G200" s="4"/>
      <c r="H200" s="4"/>
      <c r="I200" s="4"/>
      <c r="J200" s="4"/>
      <c r="K200" s="4"/>
      <c r="L200" s="4"/>
      <c r="M200" s="4"/>
      <c r="N200" s="4"/>
      <c r="O200" s="4"/>
      <c r="P200" s="4"/>
      <c r="Q200" s="4"/>
      <c r="R200" s="4"/>
      <c r="S200" s="4"/>
      <c r="T200" s="4"/>
      <c r="U200" s="4"/>
      <c r="V200" s="4"/>
      <c r="W200" s="4"/>
      <c r="X200" s="4"/>
      <c r="Y200" s="4"/>
      <c r="Z200" s="4"/>
    </row>
    <row r="201" ht="15.75" customHeight="1">
      <c r="A201" s="1"/>
      <c r="B201" s="1"/>
      <c r="C201" s="1"/>
      <c r="D201" s="1"/>
      <c r="E201" s="1"/>
      <c r="F201" s="1"/>
      <c r="G201" s="4"/>
      <c r="H201" s="4"/>
      <c r="I201" s="4"/>
      <c r="J201" s="4"/>
      <c r="K201" s="4"/>
      <c r="L201" s="4"/>
      <c r="M201" s="4"/>
      <c r="N201" s="4"/>
      <c r="O201" s="4"/>
      <c r="P201" s="4"/>
      <c r="Q201" s="4"/>
      <c r="R201" s="4"/>
      <c r="S201" s="4"/>
      <c r="T201" s="4"/>
      <c r="U201" s="4"/>
      <c r="V201" s="4"/>
      <c r="W201" s="4"/>
      <c r="X201" s="4"/>
      <c r="Y201" s="4"/>
      <c r="Z201" s="4"/>
    </row>
    <row r="202" ht="15.75" customHeight="1">
      <c r="A202" s="1"/>
      <c r="B202" s="1"/>
      <c r="C202" s="1"/>
      <c r="D202" s="1"/>
      <c r="E202" s="1"/>
      <c r="F202" s="1"/>
      <c r="G202" s="4"/>
      <c r="H202" s="4"/>
      <c r="I202" s="4"/>
      <c r="J202" s="4"/>
      <c r="K202" s="4"/>
      <c r="L202" s="4"/>
      <c r="M202" s="4"/>
      <c r="N202" s="4"/>
      <c r="O202" s="4"/>
      <c r="P202" s="4"/>
      <c r="Q202" s="4"/>
      <c r="R202" s="4"/>
      <c r="S202" s="4"/>
      <c r="T202" s="4"/>
      <c r="U202" s="4"/>
      <c r="V202" s="4"/>
      <c r="W202" s="4"/>
      <c r="X202" s="4"/>
      <c r="Y202" s="4"/>
      <c r="Z202" s="4"/>
    </row>
    <row r="203" ht="15.75" customHeight="1">
      <c r="A203" s="1"/>
      <c r="B203" s="1"/>
      <c r="C203" s="1"/>
      <c r="D203" s="1"/>
      <c r="E203" s="1"/>
      <c r="F203" s="1"/>
      <c r="G203" s="4"/>
      <c r="H203" s="4"/>
      <c r="I203" s="4"/>
      <c r="J203" s="4"/>
      <c r="K203" s="4"/>
      <c r="L203" s="4"/>
      <c r="M203" s="4"/>
      <c r="N203" s="4"/>
      <c r="O203" s="4"/>
      <c r="P203" s="4"/>
      <c r="Q203" s="4"/>
      <c r="R203" s="4"/>
      <c r="S203" s="4"/>
      <c r="T203" s="4"/>
      <c r="U203" s="4"/>
      <c r="V203" s="4"/>
      <c r="W203" s="4"/>
      <c r="X203" s="4"/>
      <c r="Y203" s="4"/>
      <c r="Z203" s="4"/>
    </row>
    <row r="204" ht="15.75" customHeight="1">
      <c r="A204" s="1"/>
      <c r="B204" s="1"/>
      <c r="C204" s="1"/>
      <c r="D204" s="1"/>
      <c r="E204" s="1"/>
      <c r="F204" s="1"/>
      <c r="G204" s="4"/>
      <c r="H204" s="4"/>
      <c r="I204" s="4"/>
      <c r="J204" s="4"/>
      <c r="K204" s="4"/>
      <c r="L204" s="4"/>
      <c r="M204" s="4"/>
      <c r="N204" s="4"/>
      <c r="O204" s="4"/>
      <c r="P204" s="4"/>
      <c r="Q204" s="4"/>
      <c r="R204" s="4"/>
      <c r="S204" s="4"/>
      <c r="T204" s="4"/>
      <c r="U204" s="4"/>
      <c r="V204" s="4"/>
      <c r="W204" s="4"/>
      <c r="X204" s="4"/>
      <c r="Y204" s="4"/>
      <c r="Z204" s="4"/>
    </row>
    <row r="205" ht="15.75" customHeight="1">
      <c r="A205" s="1"/>
      <c r="B205" s="1"/>
      <c r="C205" s="1"/>
      <c r="D205" s="1"/>
      <c r="E205" s="1"/>
      <c r="F205" s="1"/>
      <c r="G205" s="4"/>
      <c r="H205" s="4"/>
      <c r="I205" s="4"/>
      <c r="J205" s="4"/>
      <c r="K205" s="4"/>
      <c r="L205" s="4"/>
      <c r="M205" s="4"/>
      <c r="N205" s="4"/>
      <c r="O205" s="4"/>
      <c r="P205" s="4"/>
      <c r="Q205" s="4"/>
      <c r="R205" s="4"/>
      <c r="S205" s="4"/>
      <c r="T205" s="4"/>
      <c r="U205" s="4"/>
      <c r="V205" s="4"/>
      <c r="W205" s="4"/>
      <c r="X205" s="4"/>
      <c r="Y205" s="4"/>
      <c r="Z205" s="4"/>
    </row>
    <row r="206" ht="15.75" customHeight="1">
      <c r="A206" s="1"/>
      <c r="B206" s="1"/>
      <c r="C206" s="1"/>
      <c r="D206" s="1"/>
      <c r="E206" s="1"/>
      <c r="F206" s="1"/>
      <c r="G206" s="4"/>
      <c r="H206" s="4"/>
      <c r="I206" s="4"/>
      <c r="J206" s="4"/>
      <c r="K206" s="4"/>
      <c r="L206" s="4"/>
      <c r="M206" s="4"/>
      <c r="N206" s="4"/>
      <c r="O206" s="4"/>
      <c r="P206" s="4"/>
      <c r="Q206" s="4"/>
      <c r="R206" s="4"/>
      <c r="S206" s="4"/>
      <c r="T206" s="4"/>
      <c r="U206" s="4"/>
      <c r="V206" s="4"/>
      <c r="W206" s="4"/>
      <c r="X206" s="4"/>
      <c r="Y206" s="4"/>
      <c r="Z206" s="4"/>
    </row>
    <row r="207" ht="15.75" customHeight="1">
      <c r="A207" s="1"/>
      <c r="B207" s="1"/>
      <c r="C207" s="1"/>
      <c r="D207" s="1"/>
      <c r="E207" s="1"/>
      <c r="F207" s="1"/>
      <c r="G207" s="4"/>
      <c r="H207" s="4"/>
      <c r="I207" s="4"/>
      <c r="J207" s="4"/>
      <c r="K207" s="4"/>
      <c r="L207" s="4"/>
      <c r="M207" s="4"/>
      <c r="N207" s="4"/>
      <c r="O207" s="4"/>
      <c r="P207" s="4"/>
      <c r="Q207" s="4"/>
      <c r="R207" s="4"/>
      <c r="S207" s="4"/>
      <c r="T207" s="4"/>
      <c r="U207" s="4"/>
      <c r="V207" s="4"/>
      <c r="W207" s="4"/>
      <c r="X207" s="4"/>
      <c r="Y207" s="4"/>
      <c r="Z207" s="4"/>
    </row>
    <row r="208" ht="15.75" customHeight="1">
      <c r="A208" s="1"/>
      <c r="B208" s="1"/>
      <c r="C208" s="1"/>
      <c r="D208" s="1"/>
      <c r="E208" s="1"/>
      <c r="F208" s="1"/>
      <c r="G208" s="4"/>
      <c r="H208" s="4"/>
      <c r="I208" s="4"/>
      <c r="J208" s="4"/>
      <c r="K208" s="4"/>
      <c r="L208" s="4"/>
      <c r="M208" s="4"/>
      <c r="N208" s="4"/>
      <c r="O208" s="4"/>
      <c r="P208" s="4"/>
      <c r="Q208" s="4"/>
      <c r="R208" s="4"/>
      <c r="S208" s="4"/>
      <c r="T208" s="4"/>
      <c r="U208" s="4"/>
      <c r="V208" s="4"/>
      <c r="W208" s="4"/>
      <c r="X208" s="4"/>
      <c r="Y208" s="4"/>
      <c r="Z208" s="4"/>
    </row>
    <row r="209" ht="15.75" customHeight="1">
      <c r="A209" s="1"/>
      <c r="B209" s="1"/>
      <c r="C209" s="1"/>
      <c r="D209" s="1"/>
      <c r="E209" s="1"/>
      <c r="F209" s="1"/>
      <c r="G209" s="4"/>
      <c r="H209" s="4"/>
      <c r="I209" s="4"/>
      <c r="J209" s="4"/>
      <c r="K209" s="4"/>
      <c r="L209" s="4"/>
      <c r="M209" s="4"/>
      <c r="N209" s="4"/>
      <c r="O209" s="4"/>
      <c r="P209" s="4"/>
      <c r="Q209" s="4"/>
      <c r="R209" s="4"/>
      <c r="S209" s="4"/>
      <c r="T209" s="4"/>
      <c r="U209" s="4"/>
      <c r="V209" s="4"/>
      <c r="W209" s="4"/>
      <c r="X209" s="4"/>
      <c r="Y209" s="4"/>
      <c r="Z209" s="4"/>
    </row>
    <row r="210" ht="15.75" customHeight="1">
      <c r="A210" s="1"/>
      <c r="B210" s="1"/>
      <c r="C210" s="1"/>
      <c r="D210" s="1"/>
      <c r="E210" s="1"/>
      <c r="F210" s="1"/>
      <c r="G210" s="4"/>
      <c r="H210" s="4"/>
      <c r="I210" s="4"/>
      <c r="J210" s="4"/>
      <c r="K210" s="4"/>
      <c r="L210" s="4"/>
      <c r="M210" s="4"/>
      <c r="N210" s="4"/>
      <c r="O210" s="4"/>
      <c r="P210" s="4"/>
      <c r="Q210" s="4"/>
      <c r="R210" s="4"/>
      <c r="S210" s="4"/>
      <c r="T210" s="4"/>
      <c r="U210" s="4"/>
      <c r="V210" s="4"/>
      <c r="W210" s="4"/>
      <c r="X210" s="4"/>
      <c r="Y210" s="4"/>
      <c r="Z210" s="4"/>
    </row>
    <row r="211" ht="15.75" customHeight="1">
      <c r="A211" s="1"/>
      <c r="B211" s="1"/>
      <c r="C211" s="1"/>
      <c r="D211" s="1"/>
      <c r="E211" s="1"/>
      <c r="F211" s="1"/>
      <c r="G211" s="4"/>
      <c r="H211" s="4"/>
      <c r="I211" s="4"/>
      <c r="J211" s="4"/>
      <c r="K211" s="4"/>
      <c r="L211" s="4"/>
      <c r="M211" s="4"/>
      <c r="N211" s="4"/>
      <c r="O211" s="4"/>
      <c r="P211" s="4"/>
      <c r="Q211" s="4"/>
      <c r="R211" s="4"/>
      <c r="S211" s="4"/>
      <c r="T211" s="4"/>
      <c r="U211" s="4"/>
      <c r="V211" s="4"/>
      <c r="W211" s="4"/>
      <c r="X211" s="4"/>
      <c r="Y211" s="4"/>
      <c r="Z211" s="4"/>
    </row>
    <row r="212" ht="15.75" customHeight="1">
      <c r="A212" s="1"/>
      <c r="B212" s="1"/>
      <c r="C212" s="1"/>
      <c r="D212" s="1"/>
      <c r="E212" s="1"/>
      <c r="F212" s="1"/>
      <c r="G212" s="4"/>
      <c r="H212" s="4"/>
      <c r="I212" s="4"/>
      <c r="J212" s="4"/>
      <c r="K212" s="4"/>
      <c r="L212" s="4"/>
      <c r="M212" s="4"/>
      <c r="N212" s="4"/>
      <c r="O212" s="4"/>
      <c r="P212" s="4"/>
      <c r="Q212" s="4"/>
      <c r="R212" s="4"/>
      <c r="S212" s="4"/>
      <c r="T212" s="4"/>
      <c r="U212" s="4"/>
      <c r="V212" s="4"/>
      <c r="W212" s="4"/>
      <c r="X212" s="4"/>
      <c r="Y212" s="4"/>
      <c r="Z212" s="4"/>
    </row>
    <row r="213" ht="15.75" customHeight="1">
      <c r="A213" s="1"/>
      <c r="B213" s="1"/>
      <c r="C213" s="1"/>
      <c r="D213" s="1"/>
      <c r="E213" s="1"/>
      <c r="F213" s="1"/>
      <c r="G213" s="4"/>
      <c r="H213" s="4"/>
      <c r="I213" s="4"/>
      <c r="J213" s="4"/>
      <c r="K213" s="4"/>
      <c r="L213" s="4"/>
      <c r="M213" s="4"/>
      <c r="N213" s="4"/>
      <c r="O213" s="4"/>
      <c r="P213" s="4"/>
      <c r="Q213" s="4"/>
      <c r="R213" s="4"/>
      <c r="S213" s="4"/>
      <c r="T213" s="4"/>
      <c r="U213" s="4"/>
      <c r="V213" s="4"/>
      <c r="W213" s="4"/>
      <c r="X213" s="4"/>
      <c r="Y213" s="4"/>
      <c r="Z213" s="4"/>
    </row>
    <row r="214" ht="15.75" customHeight="1">
      <c r="A214" s="1"/>
      <c r="B214" s="1"/>
      <c r="C214" s="1"/>
      <c r="D214" s="1"/>
      <c r="E214" s="1"/>
      <c r="F214" s="1"/>
      <c r="G214" s="4"/>
      <c r="H214" s="4"/>
      <c r="I214" s="4"/>
      <c r="J214" s="4"/>
      <c r="K214" s="4"/>
      <c r="L214" s="4"/>
      <c r="M214" s="4"/>
      <c r="N214" s="4"/>
      <c r="O214" s="4"/>
      <c r="P214" s="4"/>
      <c r="Q214" s="4"/>
      <c r="R214" s="4"/>
      <c r="S214" s="4"/>
      <c r="T214" s="4"/>
      <c r="U214" s="4"/>
      <c r="V214" s="4"/>
      <c r="W214" s="4"/>
      <c r="X214" s="4"/>
      <c r="Y214" s="4"/>
      <c r="Z214" s="4"/>
    </row>
    <row r="215" ht="15.75" customHeight="1">
      <c r="A215" s="1"/>
      <c r="B215" s="1"/>
      <c r="C215" s="1"/>
      <c r="D215" s="1"/>
      <c r="E215" s="1"/>
      <c r="F215" s="1"/>
      <c r="G215" s="4"/>
      <c r="H215" s="4"/>
      <c r="I215" s="4"/>
      <c r="J215" s="4"/>
      <c r="K215" s="4"/>
      <c r="L215" s="4"/>
      <c r="M215" s="4"/>
      <c r="N215" s="4"/>
      <c r="O215" s="4"/>
      <c r="P215" s="4"/>
      <c r="Q215" s="4"/>
      <c r="R215" s="4"/>
      <c r="S215" s="4"/>
      <c r="T215" s="4"/>
      <c r="U215" s="4"/>
      <c r="V215" s="4"/>
      <c r="W215" s="4"/>
      <c r="X215" s="4"/>
      <c r="Y215" s="4"/>
      <c r="Z215" s="4"/>
    </row>
    <row r="216" ht="15.75" customHeight="1">
      <c r="A216" s="1"/>
      <c r="B216" s="1"/>
      <c r="C216" s="1"/>
      <c r="D216" s="1"/>
      <c r="E216" s="1"/>
      <c r="F216" s="1"/>
      <c r="G216" s="4"/>
      <c r="H216" s="4"/>
      <c r="I216" s="4"/>
      <c r="J216" s="4"/>
      <c r="K216" s="4"/>
      <c r="L216" s="4"/>
      <c r="M216" s="4"/>
      <c r="N216" s="4"/>
      <c r="O216" s="4"/>
      <c r="P216" s="4"/>
      <c r="Q216" s="4"/>
      <c r="R216" s="4"/>
      <c r="S216" s="4"/>
      <c r="T216" s="4"/>
      <c r="U216" s="4"/>
      <c r="V216" s="4"/>
      <c r="W216" s="4"/>
      <c r="X216" s="4"/>
      <c r="Y216" s="4"/>
      <c r="Z216" s="4"/>
    </row>
    <row r="217" ht="15.75" customHeight="1">
      <c r="A217" s="1"/>
      <c r="B217" s="1"/>
      <c r="C217" s="1"/>
      <c r="D217" s="1"/>
      <c r="E217" s="1"/>
      <c r="F217" s="1"/>
      <c r="G217" s="4"/>
      <c r="H217" s="4"/>
      <c r="I217" s="4"/>
      <c r="J217" s="4"/>
      <c r="K217" s="4"/>
      <c r="L217" s="4"/>
      <c r="M217" s="4"/>
      <c r="N217" s="4"/>
      <c r="O217" s="4"/>
      <c r="P217" s="4"/>
      <c r="Q217" s="4"/>
      <c r="R217" s="4"/>
      <c r="S217" s="4"/>
      <c r="T217" s="4"/>
      <c r="U217" s="4"/>
      <c r="V217" s="4"/>
      <c r="W217" s="4"/>
      <c r="X217" s="4"/>
      <c r="Y217" s="4"/>
      <c r="Z217" s="4"/>
    </row>
    <row r="218" ht="15.75" customHeight="1">
      <c r="A218" s="1"/>
      <c r="B218" s="1"/>
      <c r="C218" s="1"/>
      <c r="D218" s="1"/>
      <c r="E218" s="1"/>
      <c r="F218" s="1"/>
      <c r="G218" s="4"/>
      <c r="H218" s="4"/>
      <c r="I218" s="4"/>
      <c r="J218" s="4"/>
      <c r="K218" s="4"/>
      <c r="L218" s="4"/>
      <c r="M218" s="4"/>
      <c r="N218" s="4"/>
      <c r="O218" s="4"/>
      <c r="P218" s="4"/>
      <c r="Q218" s="4"/>
      <c r="R218" s="4"/>
      <c r="S218" s="4"/>
      <c r="T218" s="4"/>
      <c r="U218" s="4"/>
      <c r="V218" s="4"/>
      <c r="W218" s="4"/>
      <c r="X218" s="4"/>
      <c r="Y218" s="4"/>
      <c r="Z218" s="4"/>
    </row>
    <row r="219" ht="15.75" customHeight="1">
      <c r="A219" s="1"/>
      <c r="B219" s="1"/>
      <c r="C219" s="1"/>
      <c r="D219" s="1"/>
      <c r="E219" s="1"/>
      <c r="F219" s="1"/>
      <c r="G219" s="4"/>
      <c r="H219" s="4"/>
      <c r="I219" s="4"/>
      <c r="J219" s="4"/>
      <c r="K219" s="4"/>
      <c r="L219" s="4"/>
      <c r="M219" s="4"/>
      <c r="N219" s="4"/>
      <c r="O219" s="4"/>
      <c r="P219" s="4"/>
      <c r="Q219" s="4"/>
      <c r="R219" s="4"/>
      <c r="S219" s="4"/>
      <c r="T219" s="4"/>
      <c r="U219" s="4"/>
      <c r="V219" s="4"/>
      <c r="W219" s="4"/>
      <c r="X219" s="4"/>
      <c r="Y219" s="4"/>
      <c r="Z219" s="4"/>
    </row>
    <row r="220" ht="15.75" customHeight="1">
      <c r="A220" s="1"/>
      <c r="B220" s="1"/>
      <c r="C220" s="1"/>
      <c r="D220" s="1"/>
      <c r="E220" s="1"/>
      <c r="F220" s="1"/>
      <c r="G220" s="4"/>
      <c r="H220" s="4"/>
      <c r="I220" s="4"/>
      <c r="J220" s="4"/>
      <c r="K220" s="4"/>
      <c r="L220" s="4"/>
      <c r="M220" s="4"/>
      <c r="N220" s="4"/>
      <c r="O220" s="4"/>
      <c r="P220" s="4"/>
      <c r="Q220" s="4"/>
      <c r="R220" s="4"/>
      <c r="S220" s="4"/>
      <c r="T220" s="4"/>
      <c r="U220" s="4"/>
      <c r="V220" s="4"/>
      <c r="W220" s="4"/>
      <c r="X220" s="4"/>
      <c r="Y220" s="4"/>
      <c r="Z220" s="4"/>
    </row>
    <row r="221" ht="15.75" customHeight="1">
      <c r="A221" s="1"/>
      <c r="B221" s="1"/>
      <c r="C221" s="1"/>
      <c r="D221" s="1"/>
      <c r="E221" s="1"/>
      <c r="F221" s="1"/>
      <c r="G221" s="4"/>
      <c r="H221" s="4"/>
      <c r="I221" s="4"/>
      <c r="J221" s="4"/>
      <c r="K221" s="4"/>
      <c r="L221" s="4"/>
      <c r="M221" s="4"/>
      <c r="N221" s="4"/>
      <c r="O221" s="4"/>
      <c r="P221" s="4"/>
      <c r="Q221" s="4"/>
      <c r="R221" s="4"/>
      <c r="S221" s="4"/>
      <c r="T221" s="4"/>
      <c r="U221" s="4"/>
      <c r="V221" s="4"/>
      <c r="W221" s="4"/>
      <c r="X221" s="4"/>
      <c r="Y221" s="4"/>
      <c r="Z221" s="4"/>
    </row>
    <row r="222" ht="15.75" customHeight="1">
      <c r="A222" s="1"/>
      <c r="B222" s="1"/>
      <c r="C222" s="1"/>
      <c r="D222" s="1"/>
      <c r="E222" s="1"/>
      <c r="F222" s="1"/>
      <c r="G222" s="4"/>
      <c r="H222" s="4"/>
      <c r="I222" s="4"/>
      <c r="J222" s="4"/>
      <c r="K222" s="4"/>
      <c r="L222" s="4"/>
      <c r="M222" s="4"/>
      <c r="N222" s="4"/>
      <c r="O222" s="4"/>
      <c r="P222" s="4"/>
      <c r="Q222" s="4"/>
      <c r="R222" s="4"/>
      <c r="S222" s="4"/>
      <c r="T222" s="4"/>
      <c r="U222" s="4"/>
      <c r="V222" s="4"/>
      <c r="W222" s="4"/>
      <c r="X222" s="4"/>
      <c r="Y222" s="4"/>
      <c r="Z222" s="4"/>
    </row>
    <row r="223" ht="15.75" customHeight="1">
      <c r="A223" s="1"/>
      <c r="B223" s="1"/>
      <c r="C223" s="1"/>
      <c r="D223" s="1"/>
      <c r="E223" s="1"/>
      <c r="F223" s="1"/>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41:H41"/>
    <mergeCell ref="A42:H42"/>
    <mergeCell ref="A1:F1"/>
    <mergeCell ref="A2:F2"/>
    <mergeCell ref="A4:F4"/>
    <mergeCell ref="A13:F13"/>
    <mergeCell ref="A15:F15"/>
    <mergeCell ref="A32:H32"/>
    <mergeCell ref="A33:H33"/>
  </mergeCells>
  <dataValidations>
    <dataValidation type="list" allowBlank="1" showErrorMessage="1" sqref="F17:F26 F30">
      <formula1>"PASS,BREACH,N/A"</formula1>
    </dataValidation>
    <dataValidation type="list" allowBlank="1" showErrorMessage="1" sqref="G35:G37">
      <formula1>"PASS,EXCEPTION,NO EVENTS"</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34.0"/>
    <col customWidth="1" min="3" max="3" width="20.0"/>
    <col customWidth="1" min="4" max="4" width="28.0"/>
    <col customWidth="1" min="5" max="5" width="22.0"/>
    <col customWidth="1" min="6" max="6" width="28.0"/>
    <col customWidth="1" min="7" max="8" width="22.0"/>
    <col customWidth="1" min="9" max="9" width="24.0"/>
  </cols>
  <sheetData>
    <row r="1" ht="24.0" customHeight="1">
      <c r="A1" s="39" t="s">
        <v>208</v>
      </c>
      <c r="G1" s="40"/>
      <c r="H1" s="40"/>
      <c r="I1" s="40"/>
      <c r="J1" s="41"/>
      <c r="K1" s="41"/>
      <c r="L1" s="41"/>
      <c r="M1" s="41"/>
      <c r="N1" s="41"/>
      <c r="O1" s="4"/>
      <c r="P1" s="4"/>
      <c r="Q1" s="4"/>
      <c r="R1" s="4"/>
      <c r="S1" s="4"/>
      <c r="T1" s="4"/>
      <c r="U1" s="4"/>
      <c r="V1" s="4"/>
      <c r="W1" s="4"/>
      <c r="X1" s="4"/>
      <c r="Y1" s="4"/>
      <c r="Z1" s="4"/>
    </row>
    <row r="2" ht="15.0" customHeight="1">
      <c r="A2" s="54" t="s">
        <v>211</v>
      </c>
      <c r="G2" s="2"/>
      <c r="H2" s="2"/>
      <c r="I2" s="2"/>
      <c r="J2" s="41"/>
      <c r="K2" s="41"/>
      <c r="L2" s="41"/>
      <c r="M2" s="41"/>
      <c r="N2" s="41"/>
      <c r="O2" s="4"/>
      <c r="P2" s="4"/>
      <c r="Q2" s="4"/>
      <c r="R2" s="4"/>
      <c r="S2" s="4"/>
      <c r="T2" s="4"/>
      <c r="U2" s="4"/>
      <c r="V2" s="4"/>
      <c r="W2" s="4"/>
      <c r="X2" s="4"/>
      <c r="Y2" s="4"/>
      <c r="Z2" s="4"/>
    </row>
    <row r="3" ht="15.0" customHeight="1">
      <c r="A3" s="2"/>
      <c r="B3" s="2"/>
      <c r="C3" s="2"/>
      <c r="D3" s="2"/>
      <c r="E3" s="2"/>
      <c r="F3" s="2"/>
      <c r="G3" s="2"/>
      <c r="H3" s="2"/>
      <c r="I3" s="2"/>
      <c r="J3" s="41"/>
      <c r="K3" s="41"/>
      <c r="L3" s="41"/>
      <c r="M3" s="41"/>
      <c r="N3" s="41"/>
      <c r="O3" s="4"/>
      <c r="P3" s="4"/>
      <c r="Q3" s="4"/>
      <c r="R3" s="4"/>
      <c r="S3" s="4"/>
      <c r="T3" s="4"/>
      <c r="U3" s="4"/>
      <c r="V3" s="4"/>
      <c r="W3" s="4"/>
      <c r="X3" s="4"/>
      <c r="Y3" s="4"/>
      <c r="Z3" s="4"/>
    </row>
    <row r="4" ht="15.0" customHeight="1">
      <c r="A4" s="44" t="s">
        <v>212</v>
      </c>
      <c r="G4" s="2"/>
      <c r="H4" s="2"/>
      <c r="I4" s="2"/>
      <c r="J4" s="41"/>
      <c r="K4" s="41"/>
      <c r="L4" s="41"/>
      <c r="M4" s="41"/>
      <c r="N4" s="41"/>
      <c r="O4" s="4"/>
      <c r="P4" s="4"/>
      <c r="Q4" s="4"/>
      <c r="R4" s="4"/>
      <c r="S4" s="4"/>
      <c r="T4" s="4"/>
      <c r="U4" s="4"/>
      <c r="V4" s="4"/>
      <c r="W4" s="4"/>
      <c r="X4" s="4"/>
      <c r="Y4" s="4"/>
      <c r="Z4" s="4"/>
    </row>
    <row r="5" ht="15.0" customHeight="1">
      <c r="A5" s="45"/>
      <c r="G5" s="2"/>
      <c r="H5" s="2"/>
      <c r="I5" s="2"/>
      <c r="J5" s="41"/>
      <c r="K5" s="41"/>
      <c r="L5" s="41"/>
      <c r="M5" s="41"/>
      <c r="N5" s="41"/>
      <c r="O5" s="4"/>
      <c r="P5" s="4"/>
      <c r="Q5" s="4"/>
      <c r="R5" s="4"/>
      <c r="S5" s="4"/>
      <c r="T5" s="4"/>
      <c r="U5" s="4"/>
      <c r="V5" s="4"/>
      <c r="W5" s="4"/>
      <c r="X5" s="4"/>
      <c r="Y5" s="4"/>
      <c r="Z5" s="4"/>
    </row>
    <row r="6" ht="15.0" customHeight="1">
      <c r="A6" s="9"/>
      <c r="B6" s="9" t="s">
        <v>213</v>
      </c>
      <c r="C6" s="9" t="s">
        <v>214</v>
      </c>
      <c r="D6" s="9" t="s">
        <v>161</v>
      </c>
      <c r="E6" s="9" t="s">
        <v>127</v>
      </c>
      <c r="F6" s="9" t="s">
        <v>215</v>
      </c>
      <c r="G6" s="2"/>
      <c r="H6" s="2"/>
      <c r="I6" s="2"/>
      <c r="J6" s="41"/>
      <c r="K6" s="41"/>
      <c r="L6" s="41"/>
      <c r="M6" s="41"/>
      <c r="N6" s="41"/>
      <c r="O6" s="4"/>
      <c r="P6" s="4"/>
      <c r="Q6" s="4"/>
      <c r="R6" s="4"/>
      <c r="S6" s="4"/>
      <c r="T6" s="4"/>
      <c r="U6" s="4"/>
      <c r="V6" s="4"/>
      <c r="W6" s="4"/>
      <c r="X6" s="4"/>
      <c r="Y6" s="4"/>
      <c r="Z6" s="4"/>
    </row>
    <row r="7" ht="32.25" customHeight="1">
      <c r="A7" s="2"/>
      <c r="B7" s="60" t="s">
        <v>218</v>
      </c>
      <c r="C7" s="52" t="str">
        <f>IF('Annex E-1 Scoring Calc'!G5="","",'Annex E-1 Scoring Calc'!G5)</f>
        <v/>
      </c>
      <c r="D7" s="52"/>
      <c r="E7" s="52" t="s">
        <v>219</v>
      </c>
      <c r="F7" s="61" t="s">
        <v>221</v>
      </c>
      <c r="G7" s="2"/>
      <c r="H7" s="2"/>
      <c r="I7" s="2"/>
      <c r="J7" s="41"/>
      <c r="K7" s="41"/>
      <c r="L7" s="41"/>
      <c r="M7" s="41"/>
      <c r="N7" s="41"/>
      <c r="O7" s="4"/>
      <c r="P7" s="4"/>
      <c r="Q7" s="4"/>
      <c r="R7" s="4"/>
      <c r="S7" s="4"/>
      <c r="T7" s="4"/>
      <c r="U7" s="4"/>
      <c r="V7" s="4"/>
      <c r="W7" s="4"/>
      <c r="X7" s="4"/>
      <c r="Y7" s="4"/>
      <c r="Z7" s="4"/>
    </row>
    <row r="8" ht="24.0" customHeight="1">
      <c r="A8" s="2"/>
      <c r="B8" s="62" t="s">
        <v>222</v>
      </c>
      <c r="C8" s="57" t="str">
        <f>IF('Annex E-1 Scoring Calc'!G6="","",'Annex E-1 Scoring Calc'!G6)</f>
        <v/>
      </c>
      <c r="D8" s="57"/>
      <c r="E8" s="57" t="s">
        <v>219</v>
      </c>
      <c r="F8" s="63" t="s">
        <v>225</v>
      </c>
      <c r="G8" s="2"/>
      <c r="H8" s="2"/>
      <c r="I8" s="2"/>
      <c r="J8" s="41"/>
      <c r="K8" s="41"/>
      <c r="L8" s="41"/>
      <c r="M8" s="41"/>
      <c r="N8" s="41"/>
      <c r="O8" s="4"/>
      <c r="P8" s="4"/>
      <c r="Q8" s="4"/>
      <c r="R8" s="4"/>
      <c r="S8" s="4"/>
      <c r="T8" s="4"/>
      <c r="U8" s="4"/>
      <c r="V8" s="4"/>
      <c r="W8" s="4"/>
      <c r="X8" s="4"/>
      <c r="Y8" s="4"/>
      <c r="Z8" s="4"/>
    </row>
    <row r="9" ht="24.0" customHeight="1">
      <c r="A9" s="2"/>
      <c r="B9" s="60" t="s">
        <v>227</v>
      </c>
      <c r="C9" s="52" t="str">
        <f>IF('Annex E-1 Scoring Calc'!G7="","",'Annex E-1 Scoring Calc'!G7)</f>
        <v/>
      </c>
      <c r="D9" s="52"/>
      <c r="E9" s="52" t="s">
        <v>219</v>
      </c>
      <c r="F9" s="61" t="s">
        <v>233</v>
      </c>
      <c r="G9" s="2"/>
      <c r="H9" s="2"/>
      <c r="I9" s="2"/>
      <c r="J9" s="41"/>
      <c r="K9" s="41"/>
      <c r="L9" s="41"/>
      <c r="M9" s="41"/>
      <c r="N9" s="41"/>
      <c r="O9" s="4"/>
      <c r="P9" s="4"/>
      <c r="Q9" s="4"/>
      <c r="R9" s="4"/>
      <c r="S9" s="4"/>
      <c r="T9" s="4"/>
      <c r="U9" s="4"/>
      <c r="V9" s="4"/>
      <c r="W9" s="4"/>
      <c r="X9" s="4"/>
      <c r="Y9" s="4"/>
      <c r="Z9" s="4"/>
    </row>
    <row r="10" ht="24.0" customHeight="1">
      <c r="A10" s="2"/>
      <c r="B10" s="62" t="s">
        <v>12</v>
      </c>
      <c r="C10" s="57" t="str">
        <f>IF('Annex E-1 Scoring Calc'!G8="","",'Annex E-1 Scoring Calc'!G8)</f>
        <v/>
      </c>
      <c r="D10" s="57"/>
      <c r="E10" s="57" t="s">
        <v>219</v>
      </c>
      <c r="F10" s="63" t="s">
        <v>239</v>
      </c>
      <c r="G10" s="2"/>
      <c r="H10" s="2"/>
      <c r="I10" s="2"/>
      <c r="J10" s="41"/>
      <c r="K10" s="41"/>
      <c r="L10" s="41"/>
      <c r="M10" s="41"/>
      <c r="N10" s="41"/>
      <c r="O10" s="4"/>
      <c r="P10" s="4"/>
      <c r="Q10" s="4"/>
      <c r="R10" s="4"/>
      <c r="S10" s="4"/>
      <c r="T10" s="4"/>
      <c r="U10" s="4"/>
      <c r="V10" s="4"/>
      <c r="W10" s="4"/>
      <c r="X10" s="4"/>
      <c r="Y10" s="4"/>
      <c r="Z10" s="4"/>
    </row>
    <row r="11" ht="15.0" customHeight="1">
      <c r="A11" s="2"/>
      <c r="B11" s="2"/>
      <c r="C11" s="2"/>
      <c r="D11" s="2"/>
      <c r="E11" s="2"/>
      <c r="F11" s="2"/>
      <c r="G11" s="2"/>
      <c r="H11" s="2"/>
      <c r="I11" s="2"/>
      <c r="J11" s="41"/>
      <c r="K11" s="41"/>
      <c r="L11" s="41"/>
      <c r="M11" s="41"/>
      <c r="N11" s="41"/>
      <c r="O11" s="4"/>
      <c r="P11" s="4"/>
      <c r="Q11" s="4"/>
      <c r="R11" s="4"/>
      <c r="S11" s="4"/>
      <c r="T11" s="4"/>
      <c r="U11" s="4"/>
      <c r="V11" s="4"/>
      <c r="W11" s="4"/>
      <c r="X11" s="4"/>
      <c r="Y11" s="4"/>
      <c r="Z11" s="4"/>
    </row>
    <row r="12" ht="15.0" customHeight="1">
      <c r="A12" s="2"/>
      <c r="B12" s="2"/>
      <c r="C12" s="2"/>
      <c r="D12" s="2"/>
      <c r="E12" s="2"/>
      <c r="F12" s="2"/>
      <c r="G12" s="2"/>
      <c r="H12" s="2"/>
      <c r="I12" s="2"/>
      <c r="J12" s="41"/>
      <c r="K12" s="41"/>
      <c r="L12" s="41"/>
      <c r="M12" s="41"/>
      <c r="N12" s="41"/>
      <c r="O12" s="4"/>
      <c r="P12" s="4"/>
      <c r="Q12" s="4"/>
      <c r="R12" s="4"/>
      <c r="S12" s="4"/>
      <c r="T12" s="4"/>
      <c r="U12" s="4"/>
      <c r="V12" s="4"/>
      <c r="W12" s="4"/>
      <c r="X12" s="4"/>
      <c r="Y12" s="4"/>
      <c r="Z12" s="4"/>
    </row>
    <row r="13" ht="15.0" customHeight="1">
      <c r="A13" s="67" t="s">
        <v>248</v>
      </c>
      <c r="G13" s="68"/>
      <c r="H13" s="68"/>
      <c r="I13" s="68"/>
      <c r="J13" s="41"/>
      <c r="K13" s="41"/>
      <c r="L13" s="41"/>
      <c r="M13" s="41"/>
      <c r="N13" s="41"/>
      <c r="O13" s="4"/>
      <c r="P13" s="4"/>
      <c r="Q13" s="4"/>
      <c r="R13" s="4"/>
      <c r="S13" s="4"/>
      <c r="T13" s="4"/>
      <c r="U13" s="4"/>
      <c r="V13" s="4"/>
      <c r="W13" s="4"/>
      <c r="X13" s="4"/>
      <c r="Y13" s="4"/>
      <c r="Z13" s="4"/>
    </row>
    <row r="14" ht="15.0" customHeight="1">
      <c r="A14" s="9"/>
      <c r="B14" s="46" t="s">
        <v>253</v>
      </c>
      <c r="C14" s="46" t="s">
        <v>255</v>
      </c>
      <c r="D14" s="9"/>
      <c r="E14" s="9"/>
      <c r="F14" s="9"/>
      <c r="G14" s="2"/>
      <c r="H14" s="2"/>
      <c r="I14" s="2"/>
      <c r="J14" s="41"/>
      <c r="K14" s="41"/>
      <c r="L14" s="41"/>
      <c r="M14" s="41"/>
      <c r="N14" s="41"/>
      <c r="O14" s="4"/>
      <c r="P14" s="4"/>
      <c r="Q14" s="4"/>
      <c r="R14" s="4"/>
      <c r="S14" s="4"/>
      <c r="T14" s="4"/>
      <c r="U14" s="4"/>
      <c r="V14" s="4"/>
      <c r="W14" s="4"/>
      <c r="X14" s="4"/>
      <c r="Y14" s="4"/>
      <c r="Z14" s="4"/>
    </row>
    <row r="15" ht="36.0" customHeight="1">
      <c r="A15" s="2"/>
      <c r="B15" s="32" t="s">
        <v>151</v>
      </c>
      <c r="C15" s="31" t="s">
        <v>257</v>
      </c>
      <c r="D15" s="2"/>
      <c r="E15" s="2"/>
      <c r="F15" s="2"/>
      <c r="G15" s="2"/>
      <c r="H15" s="2"/>
      <c r="I15" s="2"/>
      <c r="J15" s="41"/>
      <c r="K15" s="41"/>
      <c r="L15" s="41"/>
      <c r="M15" s="41"/>
      <c r="N15" s="41"/>
      <c r="O15" s="4"/>
      <c r="P15" s="4"/>
      <c r="Q15" s="4"/>
      <c r="R15" s="4"/>
      <c r="S15" s="4"/>
      <c r="T15" s="4"/>
      <c r="U15" s="4"/>
      <c r="V15" s="4"/>
      <c r="W15" s="4"/>
      <c r="X15" s="4"/>
      <c r="Y15" s="4"/>
      <c r="Z15" s="4"/>
    </row>
    <row r="16" ht="48.0" customHeight="1">
      <c r="A16" s="2"/>
      <c r="B16" s="35" t="s">
        <v>149</v>
      </c>
      <c r="C16" s="34" t="s">
        <v>258</v>
      </c>
      <c r="D16" s="2"/>
      <c r="E16" s="2"/>
      <c r="F16" s="2"/>
      <c r="G16" s="2"/>
      <c r="H16" s="2"/>
      <c r="I16" s="2"/>
      <c r="J16" s="41"/>
      <c r="K16" s="41"/>
      <c r="L16" s="41"/>
      <c r="M16" s="41"/>
      <c r="N16" s="41"/>
      <c r="O16" s="4"/>
      <c r="P16" s="4"/>
      <c r="Q16" s="4"/>
      <c r="R16" s="4"/>
      <c r="S16" s="4"/>
      <c r="T16" s="4"/>
      <c r="U16" s="4"/>
      <c r="V16" s="4"/>
      <c r="W16" s="4"/>
      <c r="X16" s="4"/>
      <c r="Y16" s="4"/>
      <c r="Z16" s="4"/>
    </row>
    <row r="17" ht="36.0" customHeight="1">
      <c r="A17" s="2"/>
      <c r="B17" s="32" t="s">
        <v>147</v>
      </c>
      <c r="C17" s="31" t="s">
        <v>259</v>
      </c>
      <c r="D17" s="2"/>
      <c r="E17" s="2"/>
      <c r="F17" s="2"/>
      <c r="G17" s="2"/>
      <c r="H17" s="2"/>
      <c r="I17" s="2"/>
      <c r="J17" s="41"/>
      <c r="K17" s="41"/>
      <c r="L17" s="41"/>
      <c r="M17" s="41"/>
      <c r="N17" s="41"/>
      <c r="O17" s="4"/>
      <c r="P17" s="4"/>
      <c r="Q17" s="4"/>
      <c r="R17" s="4"/>
      <c r="S17" s="4"/>
      <c r="T17" s="4"/>
      <c r="U17" s="4"/>
      <c r="V17" s="4"/>
      <c r="W17" s="4"/>
      <c r="X17" s="4"/>
      <c r="Y17" s="4"/>
      <c r="Z17" s="4"/>
    </row>
    <row r="18" ht="36.0" customHeight="1">
      <c r="A18" s="2"/>
      <c r="B18" s="35" t="s">
        <v>145</v>
      </c>
      <c r="C18" s="34" t="s">
        <v>260</v>
      </c>
      <c r="D18" s="2"/>
      <c r="E18" s="2"/>
      <c r="F18" s="2"/>
      <c r="G18" s="2"/>
      <c r="H18" s="2"/>
      <c r="I18" s="2"/>
      <c r="J18" s="41"/>
      <c r="K18" s="41"/>
      <c r="L18" s="41"/>
      <c r="M18" s="41"/>
      <c r="N18" s="41"/>
      <c r="O18" s="4"/>
      <c r="P18" s="4"/>
      <c r="Q18" s="4"/>
      <c r="R18" s="4"/>
      <c r="S18" s="4"/>
      <c r="T18" s="4"/>
      <c r="U18" s="4"/>
      <c r="V18" s="4"/>
      <c r="W18" s="4"/>
      <c r="X18" s="4"/>
      <c r="Y18" s="4"/>
      <c r="Z18" s="4"/>
    </row>
    <row r="19" ht="60.0" customHeight="1">
      <c r="A19" s="2"/>
      <c r="B19" s="32" t="s">
        <v>143</v>
      </c>
      <c r="C19" s="31" t="s">
        <v>261</v>
      </c>
      <c r="D19" s="2"/>
      <c r="E19" s="2"/>
      <c r="F19" s="2"/>
      <c r="G19" s="2"/>
      <c r="H19" s="2"/>
      <c r="I19" s="2"/>
      <c r="J19" s="41"/>
      <c r="K19" s="41"/>
      <c r="L19" s="41"/>
      <c r="M19" s="41"/>
      <c r="N19" s="41"/>
      <c r="O19" s="4"/>
      <c r="P19" s="4"/>
      <c r="Q19" s="4"/>
      <c r="R19" s="4"/>
      <c r="S19" s="4"/>
      <c r="T19" s="4"/>
      <c r="U19" s="4"/>
      <c r="V19" s="4"/>
      <c r="W19" s="4"/>
      <c r="X19" s="4"/>
      <c r="Y19" s="4"/>
      <c r="Z19" s="4"/>
    </row>
    <row r="20" ht="15.0" customHeight="1">
      <c r="A20" s="2"/>
      <c r="B20" s="2"/>
      <c r="C20" s="2"/>
      <c r="D20" s="2"/>
      <c r="E20" s="2"/>
      <c r="F20" s="2"/>
      <c r="G20" s="2"/>
      <c r="H20" s="2"/>
      <c r="I20" s="2"/>
      <c r="J20" s="41"/>
      <c r="K20" s="41"/>
      <c r="L20" s="41"/>
      <c r="M20" s="41"/>
      <c r="N20" s="41"/>
      <c r="O20" s="4"/>
      <c r="P20" s="4"/>
      <c r="Q20" s="4"/>
      <c r="R20" s="4"/>
      <c r="S20" s="4"/>
      <c r="T20" s="4"/>
      <c r="U20" s="4"/>
      <c r="V20" s="4"/>
      <c r="W20" s="4"/>
      <c r="X20" s="4"/>
      <c r="Y20" s="4"/>
      <c r="Z20" s="4"/>
    </row>
    <row r="21" ht="15.0" customHeight="1">
      <c r="A21" s="2"/>
      <c r="B21" s="2"/>
      <c r="C21" s="2"/>
      <c r="D21" s="2"/>
      <c r="E21" s="2"/>
      <c r="F21" s="2"/>
      <c r="G21" s="2"/>
      <c r="H21" s="2"/>
      <c r="I21" s="2"/>
      <c r="J21" s="41"/>
      <c r="K21" s="41"/>
      <c r="L21" s="41"/>
      <c r="M21" s="41"/>
      <c r="N21" s="41"/>
      <c r="O21" s="4"/>
      <c r="P21" s="4"/>
      <c r="Q21" s="4"/>
      <c r="R21" s="4"/>
      <c r="S21" s="4"/>
      <c r="T21" s="4"/>
      <c r="U21" s="4"/>
      <c r="V21" s="4"/>
      <c r="W21" s="4"/>
      <c r="X21" s="4"/>
      <c r="Y21" s="4"/>
      <c r="Z21" s="4"/>
    </row>
    <row r="22" ht="15.0" customHeight="1">
      <c r="A22" s="44" t="s">
        <v>262</v>
      </c>
      <c r="G22" s="2"/>
      <c r="H22" s="2"/>
      <c r="I22" s="2"/>
      <c r="J22" s="41"/>
      <c r="K22" s="41"/>
      <c r="L22" s="41"/>
      <c r="M22" s="41"/>
      <c r="N22" s="41"/>
      <c r="O22" s="4"/>
      <c r="P22" s="4"/>
      <c r="Q22" s="4"/>
      <c r="R22" s="4"/>
      <c r="S22" s="4"/>
      <c r="T22" s="4"/>
      <c r="U22" s="4"/>
      <c r="V22" s="4"/>
      <c r="W22" s="4"/>
      <c r="X22" s="4"/>
      <c r="Y22" s="4"/>
      <c r="Z22" s="4"/>
    </row>
    <row r="23" ht="15.0" customHeight="1">
      <c r="A23" s="54" t="s">
        <v>264</v>
      </c>
      <c r="G23" s="2"/>
      <c r="H23" s="2"/>
      <c r="I23" s="2"/>
      <c r="J23" s="41"/>
      <c r="K23" s="41"/>
      <c r="L23" s="41"/>
      <c r="M23" s="41"/>
      <c r="N23" s="41"/>
      <c r="O23" s="4"/>
      <c r="P23" s="4"/>
      <c r="Q23" s="4"/>
      <c r="R23" s="4"/>
      <c r="S23" s="4"/>
      <c r="T23" s="4"/>
      <c r="U23" s="4"/>
      <c r="V23" s="4"/>
      <c r="W23" s="4"/>
      <c r="X23" s="4"/>
      <c r="Y23" s="4"/>
      <c r="Z23" s="4"/>
    </row>
    <row r="24" ht="15.0" customHeight="1">
      <c r="A24" s="9"/>
      <c r="B24" s="9" t="s">
        <v>265</v>
      </c>
      <c r="C24" s="9" t="s">
        <v>266</v>
      </c>
      <c r="D24" s="9" t="s">
        <v>213</v>
      </c>
      <c r="E24" s="9" t="s">
        <v>267</v>
      </c>
      <c r="F24" s="9" t="s">
        <v>268</v>
      </c>
      <c r="G24" s="9" t="s">
        <v>74</v>
      </c>
      <c r="H24" s="9" t="s">
        <v>269</v>
      </c>
      <c r="I24" s="9" t="s">
        <v>163</v>
      </c>
      <c r="J24" s="41"/>
      <c r="K24" s="41"/>
      <c r="L24" s="41"/>
      <c r="M24" s="41"/>
      <c r="N24" s="41"/>
      <c r="O24" s="4"/>
      <c r="P24" s="4"/>
      <c r="Q24" s="4"/>
      <c r="R24" s="4"/>
      <c r="S24" s="4"/>
      <c r="T24" s="4"/>
      <c r="U24" s="4"/>
      <c r="V24" s="4"/>
      <c r="W24" s="4"/>
      <c r="X24" s="4"/>
      <c r="Y24" s="4"/>
      <c r="Z24" s="4"/>
    </row>
    <row r="25" ht="15.0" customHeight="1">
      <c r="A25" s="12"/>
      <c r="B25" s="12" t="s">
        <v>270</v>
      </c>
      <c r="C25" s="12"/>
      <c r="D25" s="12"/>
      <c r="E25" s="12"/>
      <c r="F25" s="12"/>
      <c r="G25" s="12"/>
      <c r="H25" s="12"/>
      <c r="I25" s="12"/>
      <c r="J25" s="41"/>
      <c r="K25" s="41"/>
      <c r="L25" s="41"/>
      <c r="M25" s="41"/>
      <c r="N25" s="41"/>
      <c r="O25" s="4"/>
      <c r="P25" s="4"/>
      <c r="Q25" s="4"/>
      <c r="R25" s="4"/>
      <c r="S25" s="4"/>
      <c r="T25" s="4"/>
      <c r="U25" s="4"/>
      <c r="V25" s="4"/>
      <c r="W25" s="4"/>
      <c r="X25" s="4"/>
      <c r="Y25" s="4"/>
      <c r="Z25" s="4"/>
    </row>
    <row r="26" ht="15.0" customHeight="1">
      <c r="A26" s="16"/>
      <c r="B26" s="16" t="s">
        <v>270</v>
      </c>
      <c r="C26" s="16"/>
      <c r="D26" s="16"/>
      <c r="E26" s="16"/>
      <c r="F26" s="16"/>
      <c r="G26" s="16"/>
      <c r="H26" s="16"/>
      <c r="I26" s="16"/>
      <c r="J26" s="41"/>
      <c r="K26" s="41"/>
      <c r="L26" s="41"/>
      <c r="M26" s="41"/>
      <c r="N26" s="41"/>
      <c r="O26" s="4"/>
      <c r="P26" s="4"/>
      <c r="Q26" s="4"/>
      <c r="R26" s="4"/>
      <c r="S26" s="4"/>
      <c r="T26" s="4"/>
      <c r="U26" s="4"/>
      <c r="V26" s="4"/>
      <c r="W26" s="4"/>
      <c r="X26" s="4"/>
      <c r="Y26" s="4"/>
      <c r="Z26" s="4"/>
    </row>
    <row r="27" ht="15.0" customHeight="1">
      <c r="A27" s="12"/>
      <c r="B27" s="12" t="s">
        <v>270</v>
      </c>
      <c r="C27" s="12"/>
      <c r="D27" s="12"/>
      <c r="E27" s="12"/>
      <c r="F27" s="12"/>
      <c r="G27" s="12"/>
      <c r="H27" s="12"/>
      <c r="I27" s="12"/>
      <c r="J27" s="41"/>
      <c r="K27" s="41"/>
      <c r="L27" s="41"/>
      <c r="M27" s="41"/>
      <c r="N27" s="41"/>
      <c r="O27" s="4"/>
      <c r="P27" s="4"/>
      <c r="Q27" s="4"/>
      <c r="R27" s="4"/>
      <c r="S27" s="4"/>
      <c r="T27" s="4"/>
      <c r="U27" s="4"/>
      <c r="V27" s="4"/>
      <c r="W27" s="4"/>
      <c r="X27" s="4"/>
      <c r="Y27" s="4"/>
      <c r="Z27" s="4"/>
    </row>
    <row r="28" ht="15.0" customHeight="1">
      <c r="A28" s="16"/>
      <c r="B28" s="16" t="s">
        <v>270</v>
      </c>
      <c r="C28" s="16"/>
      <c r="D28" s="16"/>
      <c r="E28" s="16"/>
      <c r="F28" s="16"/>
      <c r="G28" s="16"/>
      <c r="H28" s="16"/>
      <c r="I28" s="16"/>
      <c r="J28" s="41"/>
      <c r="K28" s="41"/>
      <c r="L28" s="41"/>
      <c r="M28" s="41"/>
      <c r="N28" s="41"/>
      <c r="O28" s="4"/>
      <c r="P28" s="4"/>
      <c r="Q28" s="4"/>
      <c r="R28" s="4"/>
      <c r="S28" s="4"/>
      <c r="T28" s="4"/>
      <c r="U28" s="4"/>
      <c r="V28" s="4"/>
      <c r="W28" s="4"/>
      <c r="X28" s="4"/>
      <c r="Y28" s="4"/>
      <c r="Z28" s="4"/>
    </row>
    <row r="29" ht="15.0" customHeight="1">
      <c r="A29" s="12"/>
      <c r="B29" s="12" t="s">
        <v>270</v>
      </c>
      <c r="C29" s="12"/>
      <c r="D29" s="12"/>
      <c r="E29" s="12"/>
      <c r="F29" s="12"/>
      <c r="G29" s="12"/>
      <c r="H29" s="12"/>
      <c r="I29" s="12"/>
      <c r="J29" s="41"/>
      <c r="K29" s="41"/>
      <c r="L29" s="41"/>
      <c r="M29" s="41"/>
      <c r="N29" s="41"/>
      <c r="O29" s="4"/>
      <c r="P29" s="4"/>
      <c r="Q29" s="4"/>
      <c r="R29" s="4"/>
      <c r="S29" s="4"/>
      <c r="T29" s="4"/>
      <c r="U29" s="4"/>
      <c r="V29" s="4"/>
      <c r="W29" s="4"/>
      <c r="X29" s="4"/>
      <c r="Y29" s="4"/>
      <c r="Z29" s="4"/>
    </row>
    <row r="30" ht="15.0" customHeight="1">
      <c r="A30" s="2"/>
      <c r="B30" s="2"/>
      <c r="C30" s="2"/>
      <c r="D30" s="2"/>
      <c r="E30" s="2"/>
      <c r="F30" s="2"/>
      <c r="G30" s="2"/>
      <c r="H30" s="2"/>
      <c r="I30" s="2"/>
      <c r="J30" s="41"/>
      <c r="K30" s="41"/>
      <c r="L30" s="41"/>
      <c r="M30" s="41"/>
      <c r="N30" s="41"/>
      <c r="O30" s="4"/>
      <c r="P30" s="4"/>
      <c r="Q30" s="4"/>
      <c r="R30" s="4"/>
      <c r="S30" s="4"/>
      <c r="T30" s="4"/>
      <c r="U30" s="4"/>
      <c r="V30" s="4"/>
      <c r="W30" s="4"/>
      <c r="X30" s="4"/>
      <c r="Y30" s="4"/>
      <c r="Z30" s="4"/>
    </row>
    <row r="31" ht="15.0" customHeight="1">
      <c r="A31" s="2"/>
      <c r="B31" s="2"/>
      <c r="C31" s="2"/>
      <c r="D31" s="2"/>
      <c r="E31" s="2"/>
      <c r="F31" s="2"/>
      <c r="G31" s="2"/>
      <c r="H31" s="2"/>
      <c r="I31" s="2"/>
      <c r="J31" s="41"/>
      <c r="K31" s="41"/>
      <c r="L31" s="41"/>
      <c r="M31" s="41"/>
      <c r="N31" s="41"/>
      <c r="O31" s="4"/>
      <c r="P31" s="4"/>
      <c r="Q31" s="4"/>
      <c r="R31" s="4"/>
      <c r="S31" s="4"/>
      <c r="T31" s="4"/>
      <c r="U31" s="4"/>
      <c r="V31" s="4"/>
      <c r="W31" s="4"/>
      <c r="X31" s="4"/>
      <c r="Y31" s="4"/>
      <c r="Z31" s="4"/>
    </row>
    <row r="32" ht="15.0" customHeight="1">
      <c r="A32" s="44" t="s">
        <v>276</v>
      </c>
      <c r="G32" s="2"/>
      <c r="H32" s="2"/>
      <c r="I32" s="2"/>
      <c r="J32" s="41"/>
      <c r="K32" s="41"/>
      <c r="L32" s="41"/>
      <c r="M32" s="41"/>
      <c r="N32" s="41"/>
      <c r="O32" s="4"/>
      <c r="P32" s="4"/>
      <c r="Q32" s="4"/>
      <c r="R32" s="4"/>
      <c r="S32" s="4"/>
      <c r="T32" s="4"/>
      <c r="U32" s="4"/>
      <c r="V32" s="4"/>
      <c r="W32" s="4"/>
      <c r="X32" s="4"/>
      <c r="Y32" s="4"/>
      <c r="Z32" s="4"/>
    </row>
    <row r="33" ht="15.0" customHeight="1">
      <c r="A33" s="9"/>
      <c r="B33" s="9" t="s">
        <v>159</v>
      </c>
      <c r="C33" s="9" t="s">
        <v>135</v>
      </c>
      <c r="D33" s="9" t="s">
        <v>163</v>
      </c>
      <c r="E33" s="2"/>
      <c r="F33" s="2"/>
      <c r="G33" s="2"/>
      <c r="H33" s="2"/>
      <c r="I33" s="2"/>
      <c r="J33" s="41"/>
      <c r="K33" s="41"/>
      <c r="L33" s="41"/>
      <c r="M33" s="41"/>
      <c r="N33" s="41"/>
      <c r="O33" s="4"/>
      <c r="P33" s="4"/>
      <c r="Q33" s="4"/>
      <c r="R33" s="4"/>
      <c r="S33" s="4"/>
      <c r="T33" s="4"/>
      <c r="U33" s="4"/>
      <c r="V33" s="4"/>
      <c r="W33" s="4"/>
      <c r="X33" s="4"/>
      <c r="Y33" s="4"/>
      <c r="Z33" s="4"/>
    </row>
    <row r="34" ht="15.0" customHeight="1">
      <c r="A34" s="12"/>
      <c r="B34" s="12" t="s">
        <v>280</v>
      </c>
      <c r="C34" s="12"/>
      <c r="D34" s="12"/>
      <c r="E34" s="2"/>
      <c r="F34" s="2"/>
      <c r="G34" s="2"/>
      <c r="H34" s="2"/>
      <c r="I34" s="2"/>
      <c r="J34" s="41"/>
      <c r="K34" s="41"/>
      <c r="L34" s="41"/>
      <c r="M34" s="41"/>
      <c r="N34" s="41"/>
      <c r="O34" s="4"/>
      <c r="P34" s="4"/>
      <c r="Q34" s="4"/>
      <c r="R34" s="4"/>
      <c r="S34" s="4"/>
      <c r="T34" s="4"/>
      <c r="U34" s="4"/>
      <c r="V34" s="4"/>
      <c r="W34" s="4"/>
      <c r="X34" s="4"/>
      <c r="Y34" s="4"/>
      <c r="Z34" s="4"/>
    </row>
    <row r="35" ht="36.0" customHeight="1">
      <c r="A35" s="16"/>
      <c r="B35" s="16" t="s">
        <v>282</v>
      </c>
      <c r="C35" s="16"/>
      <c r="D35" s="16"/>
      <c r="E35" s="2"/>
      <c r="F35" s="2"/>
      <c r="G35" s="2"/>
      <c r="H35" s="2"/>
      <c r="I35" s="2"/>
      <c r="J35" s="41"/>
      <c r="K35" s="41"/>
      <c r="L35" s="41"/>
      <c r="M35" s="41"/>
      <c r="N35" s="41"/>
      <c r="O35" s="4"/>
      <c r="P35" s="4"/>
      <c r="Q35" s="4"/>
      <c r="R35" s="4"/>
      <c r="S35" s="4"/>
      <c r="T35" s="4"/>
      <c r="U35" s="4"/>
      <c r="V35" s="4"/>
      <c r="W35" s="4"/>
      <c r="X35" s="4"/>
      <c r="Y35" s="4"/>
      <c r="Z35" s="4"/>
    </row>
    <row r="36" ht="15.0" customHeight="1">
      <c r="A36" s="45" t="s">
        <v>284</v>
      </c>
      <c r="G36" s="2"/>
      <c r="H36" s="2"/>
      <c r="I36" s="2"/>
      <c r="J36" s="41"/>
      <c r="K36" s="41"/>
      <c r="L36" s="41"/>
      <c r="M36" s="41"/>
      <c r="N36" s="41"/>
      <c r="O36" s="4"/>
      <c r="P36" s="4"/>
      <c r="Q36" s="4"/>
      <c r="R36" s="4"/>
      <c r="S36" s="4"/>
      <c r="T36" s="4"/>
      <c r="U36" s="4"/>
      <c r="V36" s="4"/>
      <c r="W36" s="4"/>
      <c r="X36" s="4"/>
      <c r="Y36" s="4"/>
      <c r="Z36" s="4"/>
    </row>
    <row r="37" ht="15.0" customHeight="1">
      <c r="A37" s="9"/>
      <c r="B37" s="9" t="s">
        <v>285</v>
      </c>
      <c r="C37" s="9" t="s">
        <v>266</v>
      </c>
      <c r="D37" s="9" t="s">
        <v>286</v>
      </c>
      <c r="E37" s="9" t="s">
        <v>287</v>
      </c>
      <c r="F37" s="9" t="s">
        <v>163</v>
      </c>
      <c r="G37" s="2"/>
      <c r="H37" s="2"/>
      <c r="I37" s="2"/>
      <c r="J37" s="41"/>
      <c r="K37" s="41"/>
      <c r="L37" s="41"/>
      <c r="M37" s="41"/>
      <c r="N37" s="41"/>
      <c r="O37" s="4"/>
      <c r="P37" s="4"/>
      <c r="Q37" s="4"/>
      <c r="R37" s="4"/>
      <c r="S37" s="4"/>
      <c r="T37" s="4"/>
      <c r="U37" s="4"/>
      <c r="V37" s="4"/>
      <c r="W37" s="4"/>
      <c r="X37" s="4"/>
      <c r="Y37" s="4"/>
      <c r="Z37" s="4"/>
    </row>
    <row r="38" ht="15.0" customHeight="1">
      <c r="A38" s="16"/>
      <c r="B38" s="16"/>
      <c r="C38" s="16"/>
      <c r="D38" s="16"/>
      <c r="E38" s="16"/>
      <c r="F38" s="16"/>
      <c r="G38" s="2"/>
      <c r="H38" s="2"/>
      <c r="I38" s="2"/>
      <c r="J38" s="41"/>
      <c r="K38" s="41"/>
      <c r="L38" s="41"/>
      <c r="M38" s="41"/>
      <c r="N38" s="41"/>
      <c r="O38" s="4"/>
      <c r="P38" s="4"/>
      <c r="Q38" s="4"/>
      <c r="R38" s="4"/>
      <c r="S38" s="4"/>
      <c r="T38" s="4"/>
      <c r="U38" s="4"/>
      <c r="V38" s="4"/>
      <c r="W38" s="4"/>
      <c r="X38" s="4"/>
      <c r="Y38" s="4"/>
      <c r="Z38" s="4"/>
    </row>
    <row r="39" ht="15.0" customHeight="1">
      <c r="A39" s="2"/>
      <c r="B39" s="2"/>
      <c r="C39" s="2"/>
      <c r="D39" s="2"/>
      <c r="E39" s="2"/>
      <c r="F39" s="2"/>
      <c r="G39" s="2"/>
      <c r="H39" s="2"/>
      <c r="I39" s="2"/>
      <c r="J39" s="41"/>
      <c r="K39" s="41"/>
      <c r="L39" s="41"/>
      <c r="M39" s="41"/>
      <c r="N39" s="41"/>
      <c r="O39" s="4"/>
      <c r="P39" s="4"/>
      <c r="Q39" s="4"/>
      <c r="R39" s="4"/>
      <c r="S39" s="4"/>
      <c r="T39" s="4"/>
      <c r="U39" s="4"/>
      <c r="V39" s="4"/>
      <c r="W39" s="4"/>
      <c r="X39" s="4"/>
      <c r="Y39" s="4"/>
      <c r="Z39" s="4"/>
    </row>
    <row r="40" ht="27.75" customHeight="1">
      <c r="A40" s="79" t="s">
        <v>293</v>
      </c>
      <c r="J40" s="41"/>
      <c r="K40" s="41"/>
      <c r="L40" s="41"/>
      <c r="M40" s="41"/>
      <c r="N40" s="41"/>
      <c r="O40" s="4"/>
      <c r="P40" s="4"/>
      <c r="Q40" s="4"/>
      <c r="R40" s="4"/>
      <c r="S40" s="4"/>
      <c r="T40" s="4"/>
      <c r="U40" s="4"/>
      <c r="V40" s="4"/>
      <c r="W40" s="4"/>
      <c r="X40" s="4"/>
      <c r="Y40" s="4"/>
      <c r="Z40" s="4"/>
    </row>
    <row r="41" ht="42.0" customHeight="1">
      <c r="A41" s="80" t="s">
        <v>295</v>
      </c>
      <c r="J41" s="41"/>
      <c r="K41" s="41"/>
      <c r="L41" s="41"/>
      <c r="M41" s="41"/>
      <c r="N41" s="41"/>
      <c r="O41" s="4"/>
      <c r="P41" s="4"/>
      <c r="Q41" s="4"/>
      <c r="R41" s="4"/>
      <c r="S41" s="4"/>
      <c r="T41" s="4"/>
      <c r="U41" s="4"/>
      <c r="V41" s="4"/>
      <c r="W41" s="4"/>
      <c r="X41" s="4"/>
      <c r="Y41" s="4"/>
      <c r="Z41" s="4"/>
    </row>
    <row r="42" ht="15.0" customHeight="1">
      <c r="A42" s="2"/>
      <c r="B42" s="2"/>
      <c r="C42" s="2"/>
      <c r="D42" s="2"/>
      <c r="E42" s="2"/>
      <c r="F42" s="2"/>
      <c r="G42" s="2"/>
      <c r="H42" s="2"/>
      <c r="I42" s="2"/>
      <c r="J42" s="41"/>
      <c r="K42" s="41"/>
      <c r="L42" s="41"/>
      <c r="M42" s="41"/>
      <c r="N42" s="41"/>
      <c r="O42" s="4"/>
      <c r="P42" s="4"/>
      <c r="Q42" s="4"/>
      <c r="R42" s="4"/>
      <c r="S42" s="4"/>
      <c r="T42" s="4"/>
      <c r="U42" s="4"/>
      <c r="V42" s="4"/>
      <c r="W42" s="4"/>
      <c r="X42" s="4"/>
      <c r="Y42" s="4"/>
      <c r="Z42" s="4"/>
    </row>
    <row r="43" ht="15.0" customHeight="1">
      <c r="A43" s="2"/>
      <c r="B43" s="81" t="s">
        <v>124</v>
      </c>
      <c r="C43" s="81" t="s">
        <v>300</v>
      </c>
      <c r="D43" s="81" t="s">
        <v>7</v>
      </c>
      <c r="E43" s="2"/>
      <c r="F43" s="2"/>
      <c r="G43" s="2"/>
      <c r="H43" s="2"/>
      <c r="I43" s="2"/>
      <c r="J43" s="41"/>
      <c r="K43" s="41"/>
      <c r="L43" s="41"/>
      <c r="M43" s="41"/>
      <c r="N43" s="41"/>
      <c r="O43" s="4"/>
      <c r="P43" s="4"/>
      <c r="Q43" s="4"/>
      <c r="R43" s="4"/>
      <c r="S43" s="4"/>
      <c r="T43" s="4"/>
      <c r="U43" s="4"/>
      <c r="V43" s="4"/>
      <c r="W43" s="4"/>
      <c r="X43" s="4"/>
      <c r="Y43" s="4"/>
      <c r="Z43" s="4"/>
    </row>
    <row r="44" ht="26.25" customHeight="1">
      <c r="A44" s="2"/>
      <c r="B44" s="29" t="s">
        <v>304</v>
      </c>
      <c r="C44" s="29"/>
      <c r="D44" s="29" t="s">
        <v>305</v>
      </c>
      <c r="E44" s="2"/>
      <c r="F44" s="2"/>
      <c r="G44" s="2"/>
      <c r="H44" s="2"/>
      <c r="I44" s="2"/>
      <c r="J44" s="41"/>
      <c r="K44" s="41"/>
      <c r="L44" s="41"/>
      <c r="M44" s="41"/>
      <c r="N44" s="41"/>
      <c r="O44" s="4"/>
      <c r="P44" s="4"/>
      <c r="Q44" s="4"/>
      <c r="R44" s="4"/>
      <c r="S44" s="4"/>
      <c r="T44" s="4"/>
      <c r="U44" s="4"/>
      <c r="V44" s="4"/>
      <c r="W44" s="4"/>
      <c r="X44" s="4"/>
      <c r="Y44" s="4"/>
      <c r="Z44" s="4"/>
    </row>
    <row r="45" ht="26.25" customHeight="1">
      <c r="A45" s="2"/>
      <c r="B45" s="29" t="s">
        <v>307</v>
      </c>
      <c r="C45" s="29"/>
      <c r="D45" s="29" t="s">
        <v>305</v>
      </c>
      <c r="E45" s="2"/>
      <c r="F45" s="2"/>
      <c r="G45" s="2"/>
      <c r="H45" s="2"/>
      <c r="I45" s="2"/>
      <c r="J45" s="41"/>
      <c r="K45" s="41"/>
      <c r="L45" s="41"/>
      <c r="M45" s="41"/>
      <c r="N45" s="41"/>
      <c r="O45" s="4"/>
      <c r="P45" s="4"/>
      <c r="Q45" s="4"/>
      <c r="R45" s="4"/>
      <c r="S45" s="4"/>
      <c r="T45" s="4"/>
      <c r="U45" s="4"/>
      <c r="V45" s="4"/>
      <c r="W45" s="4"/>
      <c r="X45" s="4"/>
      <c r="Y45" s="4"/>
      <c r="Z45" s="4"/>
    </row>
    <row r="46" ht="26.25" customHeight="1">
      <c r="A46" s="2"/>
      <c r="B46" s="29" t="s">
        <v>315</v>
      </c>
      <c r="C46" s="29"/>
      <c r="D46" s="29" t="s">
        <v>305</v>
      </c>
      <c r="E46" s="2"/>
      <c r="F46" s="2"/>
      <c r="G46" s="2"/>
      <c r="H46" s="2"/>
      <c r="I46" s="2"/>
      <c r="J46" s="41"/>
      <c r="K46" s="41"/>
      <c r="L46" s="41"/>
      <c r="M46" s="41"/>
      <c r="N46" s="41"/>
      <c r="O46" s="4"/>
      <c r="P46" s="4"/>
      <c r="Q46" s="4"/>
      <c r="R46" s="4"/>
      <c r="S46" s="4"/>
      <c r="T46" s="4"/>
      <c r="U46" s="4"/>
      <c r="V46" s="4"/>
      <c r="W46" s="4"/>
      <c r="X46" s="4"/>
      <c r="Y46" s="4"/>
      <c r="Z46" s="4"/>
    </row>
    <row r="47" ht="39.0" customHeight="1">
      <c r="A47" s="2"/>
      <c r="B47" s="29" t="s">
        <v>318</v>
      </c>
      <c r="C47" s="29"/>
      <c r="D47" s="29" t="s">
        <v>319</v>
      </c>
      <c r="E47" s="2"/>
      <c r="F47" s="2"/>
      <c r="G47" s="2"/>
      <c r="H47" s="2"/>
      <c r="I47" s="2"/>
      <c r="J47" s="41"/>
      <c r="K47" s="41"/>
      <c r="L47" s="41"/>
      <c r="M47" s="41"/>
      <c r="N47" s="41"/>
      <c r="O47" s="4"/>
      <c r="P47" s="4"/>
      <c r="Q47" s="4"/>
      <c r="R47" s="4"/>
      <c r="S47" s="4"/>
      <c r="T47" s="4"/>
      <c r="U47" s="4"/>
      <c r="V47" s="4"/>
      <c r="W47" s="4"/>
      <c r="X47" s="4"/>
      <c r="Y47" s="4"/>
      <c r="Z47" s="4"/>
    </row>
    <row r="48" ht="15.0" customHeight="1">
      <c r="A48" s="2"/>
      <c r="B48" s="29" t="s">
        <v>320</v>
      </c>
      <c r="C48" s="29"/>
      <c r="D48" s="29" t="s">
        <v>321</v>
      </c>
      <c r="E48" s="2"/>
      <c r="F48" s="2"/>
      <c r="G48" s="2"/>
      <c r="H48" s="2"/>
      <c r="I48" s="2"/>
      <c r="J48" s="41"/>
      <c r="K48" s="41"/>
      <c r="L48" s="41"/>
      <c r="M48" s="41"/>
      <c r="N48" s="41"/>
      <c r="O48" s="4"/>
      <c r="P48" s="4"/>
      <c r="Q48" s="4"/>
      <c r="R48" s="4"/>
      <c r="S48" s="4"/>
      <c r="T48" s="4"/>
      <c r="U48" s="4"/>
      <c r="V48" s="4"/>
      <c r="W48" s="4"/>
      <c r="X48" s="4"/>
      <c r="Y48" s="4"/>
      <c r="Z48" s="4"/>
    </row>
    <row r="49" ht="26.25" customHeight="1">
      <c r="A49" s="2"/>
      <c r="B49" s="29" t="s">
        <v>323</v>
      </c>
      <c r="C49" s="29"/>
      <c r="D49" s="29" t="s">
        <v>324</v>
      </c>
      <c r="E49" s="2"/>
      <c r="F49" s="2"/>
      <c r="G49" s="2"/>
      <c r="H49" s="2"/>
      <c r="I49" s="2"/>
      <c r="J49" s="41"/>
      <c r="K49" s="41"/>
      <c r="L49" s="41"/>
      <c r="M49" s="41"/>
      <c r="N49" s="41"/>
      <c r="O49" s="4"/>
      <c r="P49" s="4"/>
      <c r="Q49" s="4"/>
      <c r="R49" s="4"/>
      <c r="S49" s="4"/>
      <c r="T49" s="4"/>
      <c r="U49" s="4"/>
      <c r="V49" s="4"/>
      <c r="W49" s="4"/>
      <c r="X49" s="4"/>
      <c r="Y49" s="4"/>
      <c r="Z49" s="4"/>
    </row>
    <row r="50" ht="15.0" customHeight="1">
      <c r="A50" s="2"/>
      <c r="B50" s="2"/>
      <c r="C50" s="2"/>
      <c r="D50" s="2"/>
      <c r="E50" s="2"/>
      <c r="F50" s="2"/>
      <c r="G50" s="2"/>
      <c r="H50" s="2"/>
      <c r="I50" s="2"/>
      <c r="J50" s="41"/>
      <c r="K50" s="41"/>
      <c r="L50" s="41"/>
      <c r="M50" s="41"/>
      <c r="N50" s="41"/>
      <c r="O50" s="4"/>
      <c r="P50" s="4"/>
      <c r="Q50" s="4"/>
      <c r="R50" s="4"/>
      <c r="S50" s="4"/>
      <c r="T50" s="4"/>
      <c r="U50" s="4"/>
      <c r="V50" s="4"/>
      <c r="W50" s="4"/>
      <c r="X50" s="4"/>
      <c r="Y50" s="4"/>
      <c r="Z50" s="4"/>
    </row>
    <row r="51" ht="39.0" customHeight="1">
      <c r="A51" s="2"/>
      <c r="B51" s="81" t="s">
        <v>22</v>
      </c>
      <c r="C51" s="81" t="s">
        <v>327</v>
      </c>
      <c r="D51" s="81" t="s">
        <v>328</v>
      </c>
      <c r="E51" s="81" t="s">
        <v>329</v>
      </c>
      <c r="F51" s="81" t="s">
        <v>331</v>
      </c>
      <c r="G51" s="81" t="s">
        <v>332</v>
      </c>
      <c r="H51" s="83" t="s">
        <v>333</v>
      </c>
      <c r="I51" s="2"/>
      <c r="J51" s="41"/>
      <c r="K51" s="41"/>
      <c r="L51" s="41"/>
      <c r="M51" s="41"/>
      <c r="N51" s="41"/>
      <c r="O51" s="4"/>
      <c r="P51" s="4"/>
      <c r="Q51" s="4"/>
      <c r="R51" s="4"/>
      <c r="S51" s="4"/>
      <c r="T51" s="4"/>
      <c r="U51" s="4"/>
      <c r="V51" s="4"/>
      <c r="W51" s="4"/>
      <c r="X51" s="4"/>
      <c r="Y51" s="4"/>
      <c r="Z51" s="4"/>
    </row>
    <row r="52" ht="15.0" customHeight="1">
      <c r="A52" s="2"/>
      <c r="B52" s="84" t="s">
        <v>335</v>
      </c>
      <c r="C52" s="84"/>
      <c r="D52" s="84"/>
      <c r="E52" s="84"/>
      <c r="F52" s="84"/>
      <c r="G52" s="84"/>
      <c r="H52" s="84"/>
      <c r="I52" s="84"/>
      <c r="J52" s="41"/>
      <c r="K52" s="41"/>
      <c r="L52" s="41"/>
      <c r="M52" s="41"/>
      <c r="N52" s="41"/>
      <c r="O52" s="4"/>
      <c r="P52" s="4"/>
      <c r="Q52" s="4"/>
      <c r="R52" s="4"/>
      <c r="S52" s="4"/>
      <c r="T52" s="4"/>
      <c r="U52" s="4"/>
      <c r="V52" s="4"/>
      <c r="W52" s="4"/>
      <c r="X52" s="4"/>
      <c r="Y52" s="4"/>
      <c r="Z52" s="4"/>
    </row>
    <row r="53" ht="15.0" customHeight="1">
      <c r="A53" s="2"/>
      <c r="B53" s="85" t="s">
        <v>340</v>
      </c>
      <c r="C53" s="85"/>
      <c r="D53" s="85"/>
      <c r="E53" s="85"/>
      <c r="F53" s="85"/>
      <c r="G53" s="85"/>
      <c r="H53" s="85"/>
      <c r="I53" s="84"/>
      <c r="J53" s="41"/>
      <c r="K53" s="41"/>
      <c r="L53" s="41"/>
      <c r="M53" s="41"/>
      <c r="N53" s="41"/>
      <c r="O53" s="4"/>
      <c r="P53" s="4"/>
      <c r="Q53" s="4"/>
      <c r="R53" s="4"/>
      <c r="S53" s="4"/>
      <c r="T53" s="4"/>
      <c r="U53" s="4"/>
      <c r="V53" s="4"/>
      <c r="W53" s="4"/>
      <c r="X53" s="4"/>
      <c r="Y53" s="4"/>
      <c r="Z53" s="4"/>
    </row>
    <row r="54" ht="15.0" customHeight="1">
      <c r="A54" s="2"/>
      <c r="B54" s="84" t="s">
        <v>342</v>
      </c>
      <c r="C54" s="84"/>
      <c r="D54" s="84"/>
      <c r="E54" s="84"/>
      <c r="F54" s="84"/>
      <c r="G54" s="84"/>
      <c r="H54" s="84"/>
      <c r="I54" s="84"/>
      <c r="J54" s="41"/>
      <c r="K54" s="41"/>
      <c r="L54" s="41"/>
      <c r="M54" s="41"/>
      <c r="N54" s="41"/>
      <c r="O54" s="4"/>
      <c r="P54" s="4"/>
      <c r="Q54" s="4"/>
      <c r="R54" s="4"/>
      <c r="S54" s="4"/>
      <c r="T54" s="4"/>
      <c r="U54" s="4"/>
      <c r="V54" s="4"/>
      <c r="W54" s="4"/>
      <c r="X54" s="4"/>
      <c r="Y54" s="4"/>
      <c r="Z54" s="4"/>
    </row>
    <row r="55" ht="15.0" customHeight="1">
      <c r="A55" s="2"/>
      <c r="B55" s="85" t="s">
        <v>344</v>
      </c>
      <c r="C55" s="85"/>
      <c r="D55" s="85"/>
      <c r="E55" s="85"/>
      <c r="F55" s="85"/>
      <c r="G55" s="85"/>
      <c r="H55" s="85"/>
      <c r="I55" s="84"/>
      <c r="J55" s="41"/>
      <c r="K55" s="41"/>
      <c r="L55" s="41"/>
      <c r="M55" s="41"/>
      <c r="N55" s="41"/>
      <c r="O55" s="4"/>
      <c r="P55" s="4"/>
      <c r="Q55" s="4"/>
      <c r="R55" s="4"/>
      <c r="S55" s="4"/>
      <c r="T55" s="4"/>
      <c r="U55" s="4"/>
      <c r="V55" s="4"/>
      <c r="W55" s="4"/>
      <c r="X55" s="4"/>
      <c r="Y55" s="4"/>
      <c r="Z55" s="4"/>
    </row>
    <row r="56" ht="24.0" customHeight="1">
      <c r="A56" s="86"/>
      <c r="B56" s="87" t="s">
        <v>345</v>
      </c>
      <c r="C56" s="87"/>
      <c r="D56" s="87"/>
      <c r="E56" s="87"/>
      <c r="F56" s="87"/>
      <c r="G56" s="87"/>
      <c r="H56" s="87"/>
      <c r="I56" s="87"/>
      <c r="J56" s="41"/>
      <c r="K56" s="41"/>
      <c r="L56" s="41"/>
      <c r="M56" s="41"/>
      <c r="N56" s="41"/>
      <c r="O56" s="4"/>
      <c r="P56" s="4"/>
      <c r="Q56" s="4"/>
      <c r="R56" s="4"/>
      <c r="S56" s="4"/>
      <c r="T56" s="4"/>
      <c r="U56" s="4"/>
      <c r="V56" s="4"/>
      <c r="W56" s="4"/>
      <c r="X56" s="4"/>
      <c r="Y56" s="4"/>
      <c r="Z56" s="4"/>
    </row>
    <row r="57" ht="24.0" customHeight="1">
      <c r="A57" s="88"/>
      <c r="B57" s="89" t="s">
        <v>58</v>
      </c>
      <c r="C57" s="89"/>
      <c r="D57" s="89"/>
      <c r="E57" s="89"/>
      <c r="F57" s="89"/>
      <c r="G57" s="89"/>
      <c r="H57" s="89"/>
      <c r="I57" s="87"/>
      <c r="J57" s="41"/>
      <c r="K57" s="41"/>
      <c r="L57" s="41"/>
      <c r="M57" s="41"/>
      <c r="N57" s="41"/>
      <c r="O57" s="4"/>
      <c r="P57" s="4"/>
      <c r="Q57" s="4"/>
      <c r="R57" s="4"/>
      <c r="S57" s="4"/>
      <c r="T57" s="4"/>
      <c r="U57" s="4"/>
      <c r="V57" s="4"/>
      <c r="W57" s="4"/>
      <c r="X57" s="4"/>
      <c r="Y57" s="4"/>
      <c r="Z57" s="4"/>
    </row>
    <row r="58" ht="15.0" customHeight="1">
      <c r="A58" s="2"/>
      <c r="B58" s="84" t="s">
        <v>348</v>
      </c>
      <c r="C58" s="84"/>
      <c r="D58" s="84"/>
      <c r="E58" s="84"/>
      <c r="F58" s="84"/>
      <c r="G58" s="84"/>
      <c r="H58" s="84"/>
      <c r="I58" s="84"/>
      <c r="J58" s="41"/>
      <c r="K58" s="41"/>
      <c r="L58" s="41"/>
      <c r="M58" s="41"/>
      <c r="N58" s="41"/>
      <c r="O58" s="4"/>
      <c r="P58" s="4"/>
      <c r="Q58" s="4"/>
      <c r="R58" s="4"/>
      <c r="S58" s="4"/>
      <c r="T58" s="4"/>
      <c r="U58" s="4"/>
      <c r="V58" s="4"/>
      <c r="W58" s="4"/>
      <c r="X58" s="4"/>
      <c r="Y58" s="4"/>
      <c r="Z58" s="4"/>
    </row>
    <row r="59" ht="15.0" customHeight="1">
      <c r="A59" s="2"/>
      <c r="B59" s="85" t="s">
        <v>47</v>
      </c>
      <c r="C59" s="85"/>
      <c r="D59" s="85"/>
      <c r="E59" s="85"/>
      <c r="F59" s="85"/>
      <c r="G59" s="85"/>
      <c r="H59" s="85"/>
      <c r="I59" s="84"/>
      <c r="J59" s="41"/>
      <c r="K59" s="41"/>
      <c r="L59" s="41"/>
      <c r="M59" s="41"/>
      <c r="N59" s="41"/>
      <c r="O59" s="4"/>
      <c r="P59" s="4"/>
      <c r="Q59" s="4"/>
      <c r="R59" s="4"/>
      <c r="S59" s="4"/>
      <c r="T59" s="4"/>
      <c r="U59" s="4"/>
      <c r="V59" s="4"/>
      <c r="W59" s="4"/>
      <c r="X59" s="4"/>
      <c r="Y59" s="4"/>
      <c r="Z59" s="4"/>
    </row>
    <row r="60" ht="24.0" customHeight="1">
      <c r="A60" s="2"/>
      <c r="B60" s="84" t="s">
        <v>349</v>
      </c>
      <c r="C60" s="84"/>
      <c r="D60" s="84"/>
      <c r="E60" s="84"/>
      <c r="F60" s="84"/>
      <c r="G60" s="84"/>
      <c r="H60" s="84"/>
      <c r="I60" s="84"/>
      <c r="J60" s="41"/>
      <c r="K60" s="41"/>
      <c r="L60" s="41"/>
      <c r="M60" s="41"/>
      <c r="N60" s="41"/>
      <c r="O60" s="4"/>
      <c r="P60" s="4"/>
      <c r="Q60" s="4"/>
      <c r="R60" s="4"/>
      <c r="S60" s="4"/>
      <c r="T60" s="4"/>
      <c r="U60" s="4"/>
      <c r="V60" s="4"/>
      <c r="W60" s="4"/>
      <c r="X60" s="4"/>
      <c r="Y60" s="4"/>
      <c r="Z60" s="4"/>
    </row>
    <row r="61" ht="24.0" customHeight="1">
      <c r="A61" s="2"/>
      <c r="B61" s="85" t="s">
        <v>352</v>
      </c>
      <c r="C61" s="85"/>
      <c r="D61" s="85"/>
      <c r="E61" s="85"/>
      <c r="F61" s="85"/>
      <c r="G61" s="85"/>
      <c r="H61" s="85"/>
      <c r="I61" s="84"/>
      <c r="J61" s="41"/>
      <c r="K61" s="41"/>
      <c r="L61" s="41"/>
      <c r="M61" s="41"/>
      <c r="N61" s="41"/>
      <c r="O61" s="4"/>
      <c r="P61" s="4"/>
      <c r="Q61" s="4"/>
      <c r="R61" s="4"/>
      <c r="S61" s="4"/>
      <c r="T61" s="4"/>
      <c r="U61" s="4"/>
      <c r="V61" s="4"/>
      <c r="W61" s="4"/>
      <c r="X61" s="4"/>
      <c r="Y61" s="4"/>
      <c r="Z61" s="4"/>
    </row>
    <row r="62" ht="15.0" customHeight="1">
      <c r="A62" s="2"/>
      <c r="B62" s="84" t="s">
        <v>36</v>
      </c>
      <c r="C62" s="84"/>
      <c r="D62" s="84"/>
      <c r="E62" s="84"/>
      <c r="F62" s="84"/>
      <c r="G62" s="84"/>
      <c r="H62" s="84"/>
      <c r="I62" s="84"/>
      <c r="J62" s="41"/>
      <c r="K62" s="41"/>
      <c r="L62" s="41"/>
      <c r="M62" s="41"/>
      <c r="N62" s="41"/>
      <c r="O62" s="4"/>
      <c r="P62" s="4"/>
      <c r="Q62" s="4"/>
      <c r="R62" s="4"/>
      <c r="S62" s="4"/>
      <c r="T62" s="4"/>
      <c r="U62" s="4"/>
      <c r="V62" s="4"/>
      <c r="W62" s="4"/>
      <c r="X62" s="4"/>
      <c r="Y62" s="4"/>
      <c r="Z62" s="4"/>
    </row>
    <row r="63" ht="15.0" customHeight="1">
      <c r="A63" s="2"/>
      <c r="B63" s="76"/>
      <c r="C63" s="76"/>
      <c r="D63" s="2"/>
      <c r="E63" s="2"/>
      <c r="F63" s="2"/>
      <c r="G63" s="2"/>
      <c r="H63" s="2"/>
      <c r="I63" s="2"/>
      <c r="J63" s="41"/>
      <c r="K63" s="41"/>
      <c r="L63" s="41"/>
      <c r="M63" s="41"/>
      <c r="N63" s="41"/>
      <c r="O63" s="4"/>
      <c r="P63" s="4"/>
      <c r="Q63" s="4"/>
      <c r="R63" s="4"/>
      <c r="S63" s="4"/>
      <c r="T63" s="4"/>
      <c r="U63" s="4"/>
      <c r="V63" s="4"/>
      <c r="W63" s="4"/>
      <c r="X63" s="4"/>
      <c r="Y63" s="4"/>
      <c r="Z63" s="4"/>
    </row>
    <row r="64" ht="27.75" customHeight="1">
      <c r="A64" s="79" t="s">
        <v>354</v>
      </c>
      <c r="J64" s="41"/>
      <c r="K64" s="41"/>
      <c r="L64" s="41"/>
      <c r="M64" s="41"/>
      <c r="N64" s="41"/>
      <c r="O64" s="4"/>
      <c r="P64" s="4"/>
      <c r="Q64" s="4"/>
      <c r="R64" s="4"/>
      <c r="S64" s="4"/>
      <c r="T64" s="4"/>
      <c r="U64" s="4"/>
      <c r="V64" s="4"/>
      <c r="W64" s="4"/>
      <c r="X64" s="4"/>
      <c r="Y64" s="4"/>
      <c r="Z64" s="4"/>
    </row>
    <row r="65" ht="42.0" customHeight="1">
      <c r="A65" s="2" t="s">
        <v>357</v>
      </c>
      <c r="J65" s="41"/>
      <c r="K65" s="41"/>
      <c r="L65" s="41"/>
      <c r="M65" s="41"/>
      <c r="N65" s="41"/>
      <c r="O65" s="4"/>
      <c r="P65" s="4"/>
      <c r="Q65" s="4"/>
      <c r="R65" s="4"/>
      <c r="S65" s="4"/>
      <c r="T65" s="4"/>
      <c r="U65" s="4"/>
      <c r="V65" s="4"/>
      <c r="W65" s="4"/>
      <c r="X65" s="4"/>
      <c r="Y65" s="4"/>
      <c r="Z65" s="4"/>
    </row>
    <row r="66" ht="15.0" customHeight="1">
      <c r="A66" s="2"/>
      <c r="B66" s="83" t="s">
        <v>360</v>
      </c>
      <c r="C66" s="83" t="s">
        <v>361</v>
      </c>
      <c r="D66" s="2"/>
      <c r="E66" s="2"/>
      <c r="F66" s="2"/>
      <c r="G66" s="2"/>
      <c r="H66" s="2"/>
      <c r="I66" s="2"/>
      <c r="J66" s="41"/>
      <c r="K66" s="41"/>
      <c r="L66" s="41"/>
      <c r="M66" s="41"/>
      <c r="N66" s="41"/>
      <c r="O66" s="4"/>
      <c r="P66" s="4"/>
      <c r="Q66" s="4"/>
      <c r="R66" s="4"/>
      <c r="S66" s="4"/>
      <c r="T66" s="4"/>
      <c r="U66" s="4"/>
      <c r="V66" s="4"/>
      <c r="W66" s="4"/>
      <c r="X66" s="4"/>
      <c r="Y66" s="4"/>
      <c r="Z66" s="4"/>
    </row>
    <row r="67" ht="15.75" customHeight="1">
      <c r="A67" s="2"/>
      <c r="B67" s="84" t="s">
        <v>362</v>
      </c>
      <c r="C67" s="84"/>
      <c r="D67" s="84"/>
      <c r="E67" s="84"/>
      <c r="F67" s="84"/>
      <c r="G67" s="84"/>
      <c r="H67" s="84"/>
      <c r="I67" s="84"/>
      <c r="J67" s="41"/>
      <c r="K67" s="41"/>
      <c r="L67" s="41"/>
      <c r="M67" s="41"/>
      <c r="N67" s="41"/>
      <c r="O67" s="4"/>
      <c r="P67" s="4"/>
      <c r="Q67" s="4"/>
      <c r="R67" s="4"/>
      <c r="S67" s="4"/>
      <c r="T67" s="4"/>
      <c r="U67" s="4"/>
      <c r="V67" s="4"/>
      <c r="W67" s="4"/>
      <c r="X67" s="4"/>
      <c r="Y67" s="4"/>
      <c r="Z67" s="4"/>
    </row>
    <row r="68" ht="24.0" customHeight="1">
      <c r="A68" s="86"/>
      <c r="B68" s="89" t="s">
        <v>365</v>
      </c>
      <c r="C68" s="89"/>
      <c r="D68" s="87"/>
      <c r="E68" s="87"/>
      <c r="F68" s="87"/>
      <c r="G68" s="87"/>
      <c r="H68" s="87"/>
      <c r="I68" s="87"/>
      <c r="J68" s="41"/>
      <c r="K68" s="41"/>
      <c r="L68" s="41"/>
      <c r="M68" s="41"/>
      <c r="N68" s="41"/>
      <c r="O68" s="4"/>
      <c r="P68" s="4"/>
      <c r="Q68" s="4"/>
      <c r="R68" s="4"/>
      <c r="S68" s="4"/>
      <c r="T68" s="4"/>
      <c r="U68" s="4"/>
      <c r="V68" s="4"/>
      <c r="W68" s="4"/>
      <c r="X68" s="4"/>
      <c r="Y68" s="4"/>
      <c r="Z68" s="4"/>
    </row>
    <row r="69" ht="24.0" customHeight="1">
      <c r="A69" s="88"/>
      <c r="B69" s="87" t="s">
        <v>368</v>
      </c>
      <c r="C69" s="87"/>
      <c r="D69" s="87"/>
      <c r="E69" s="87"/>
      <c r="F69" s="87"/>
      <c r="G69" s="87"/>
      <c r="H69" s="87"/>
      <c r="I69" s="87"/>
      <c r="J69" s="41"/>
      <c r="K69" s="41"/>
      <c r="L69" s="41"/>
      <c r="M69" s="41"/>
      <c r="N69" s="41"/>
      <c r="O69" s="4"/>
      <c r="P69" s="4"/>
      <c r="Q69" s="4"/>
      <c r="R69" s="4"/>
      <c r="S69" s="4"/>
      <c r="T69" s="4"/>
      <c r="U69" s="4"/>
      <c r="V69" s="4"/>
      <c r="W69" s="4"/>
      <c r="X69" s="4"/>
      <c r="Y69" s="4"/>
      <c r="Z69" s="4"/>
    </row>
    <row r="70" ht="15.75" customHeight="1">
      <c r="A70" s="2"/>
      <c r="B70" s="85" t="s">
        <v>370</v>
      </c>
      <c r="C70" s="85"/>
      <c r="D70" s="84"/>
      <c r="E70" s="84"/>
      <c r="F70" s="84"/>
      <c r="G70" s="84"/>
      <c r="H70" s="84"/>
      <c r="I70" s="84"/>
      <c r="J70" s="41"/>
      <c r="K70" s="41"/>
      <c r="L70" s="41"/>
      <c r="M70" s="41"/>
      <c r="N70" s="41"/>
      <c r="O70" s="4"/>
      <c r="P70" s="4"/>
      <c r="Q70" s="4"/>
      <c r="R70" s="4"/>
      <c r="S70" s="4"/>
      <c r="T70" s="4"/>
      <c r="U70" s="4"/>
      <c r="V70" s="4"/>
      <c r="W70" s="4"/>
      <c r="X70" s="4"/>
      <c r="Y70" s="4"/>
      <c r="Z70" s="4"/>
    </row>
    <row r="71" ht="15.0" customHeight="1">
      <c r="A71" s="2"/>
      <c r="B71" s="84" t="s">
        <v>320</v>
      </c>
      <c r="C71" s="84"/>
      <c r="D71" s="84"/>
      <c r="E71" s="84"/>
      <c r="F71" s="84"/>
      <c r="G71" s="84"/>
      <c r="H71" s="84"/>
      <c r="I71" s="84"/>
      <c r="J71" s="41"/>
      <c r="K71" s="41"/>
      <c r="L71" s="41"/>
      <c r="M71" s="41"/>
      <c r="N71" s="41"/>
      <c r="O71" s="4"/>
      <c r="P71" s="4"/>
      <c r="Q71" s="4"/>
      <c r="R71" s="4"/>
      <c r="S71" s="4"/>
      <c r="T71" s="4"/>
      <c r="U71" s="4"/>
      <c r="V71" s="4"/>
      <c r="W71" s="4"/>
      <c r="X71" s="4"/>
      <c r="Y71" s="4"/>
      <c r="Z71" s="4"/>
    </row>
    <row r="72" ht="24.0" customHeight="1">
      <c r="A72" s="2"/>
      <c r="B72" s="85" t="s">
        <v>372</v>
      </c>
      <c r="C72" s="85"/>
      <c r="D72" s="84"/>
      <c r="E72" s="84"/>
      <c r="F72" s="84"/>
      <c r="G72" s="84"/>
      <c r="H72" s="84"/>
      <c r="I72" s="84"/>
      <c r="J72" s="41"/>
      <c r="K72" s="41"/>
      <c r="L72" s="41"/>
      <c r="M72" s="41"/>
      <c r="N72" s="41"/>
      <c r="O72" s="4"/>
      <c r="P72" s="4"/>
      <c r="Q72" s="4"/>
      <c r="R72" s="4"/>
      <c r="S72" s="4"/>
      <c r="T72" s="4"/>
      <c r="U72" s="4"/>
      <c r="V72" s="4"/>
      <c r="W72" s="4"/>
      <c r="X72" s="4"/>
      <c r="Y72" s="4"/>
      <c r="Z72" s="4"/>
    </row>
    <row r="73" ht="24.0" customHeight="1">
      <c r="A73" s="2"/>
      <c r="B73" s="84" t="s">
        <v>376</v>
      </c>
      <c r="C73" s="84"/>
      <c r="D73" s="84"/>
      <c r="E73" s="84"/>
      <c r="F73" s="84"/>
      <c r="G73" s="84"/>
      <c r="H73" s="84"/>
      <c r="I73" s="84"/>
      <c r="J73" s="41"/>
      <c r="K73" s="41"/>
      <c r="L73" s="41"/>
      <c r="M73" s="41"/>
      <c r="N73" s="41"/>
      <c r="O73" s="4"/>
      <c r="P73" s="4"/>
      <c r="Q73" s="4"/>
      <c r="R73" s="4"/>
      <c r="S73" s="4"/>
      <c r="T73" s="4"/>
      <c r="U73" s="4"/>
      <c r="V73" s="4"/>
      <c r="W73" s="4"/>
      <c r="X73" s="4"/>
      <c r="Y73" s="4"/>
      <c r="Z73" s="4"/>
    </row>
    <row r="74" ht="24.0" customHeight="1">
      <c r="A74" s="2"/>
      <c r="B74" s="85" t="s">
        <v>378</v>
      </c>
      <c r="C74" s="85"/>
      <c r="D74" s="84"/>
      <c r="E74" s="84"/>
      <c r="F74" s="84"/>
      <c r="G74" s="84"/>
      <c r="H74" s="84"/>
      <c r="I74" s="84"/>
      <c r="J74" s="41"/>
      <c r="K74" s="41"/>
      <c r="L74" s="41"/>
      <c r="M74" s="41"/>
      <c r="N74" s="41"/>
      <c r="O74" s="4"/>
      <c r="P74" s="4"/>
      <c r="Q74" s="4"/>
      <c r="R74" s="4"/>
      <c r="S74" s="4"/>
      <c r="T74" s="4"/>
      <c r="U74" s="4"/>
      <c r="V74" s="4"/>
      <c r="W74" s="4"/>
      <c r="X74" s="4"/>
      <c r="Y74" s="4"/>
      <c r="Z74" s="4"/>
    </row>
    <row r="75" ht="24.0" customHeight="1">
      <c r="A75" s="2"/>
      <c r="B75" s="76"/>
      <c r="C75" s="76"/>
      <c r="D75" s="2"/>
      <c r="E75" s="2"/>
      <c r="F75" s="2"/>
      <c r="G75" s="2"/>
      <c r="H75" s="2"/>
      <c r="I75" s="2"/>
      <c r="J75" s="41"/>
      <c r="K75" s="41"/>
      <c r="L75" s="41"/>
      <c r="M75" s="41"/>
      <c r="N75" s="41"/>
      <c r="O75" s="4"/>
      <c r="P75" s="4"/>
      <c r="Q75" s="4"/>
      <c r="R75" s="4"/>
      <c r="S75" s="4"/>
      <c r="T75" s="4"/>
      <c r="U75" s="4"/>
      <c r="V75" s="4"/>
      <c r="W75" s="4"/>
      <c r="X75" s="4"/>
      <c r="Y75" s="4"/>
      <c r="Z75" s="4"/>
    </row>
    <row r="76" ht="27.75" customHeight="1">
      <c r="A76" s="79" t="s">
        <v>380</v>
      </c>
      <c r="J76" s="41"/>
      <c r="K76" s="41"/>
      <c r="L76" s="41"/>
      <c r="M76" s="41"/>
      <c r="N76" s="41"/>
      <c r="O76" s="4"/>
      <c r="P76" s="4"/>
      <c r="Q76" s="4"/>
      <c r="R76" s="4"/>
      <c r="S76" s="4"/>
      <c r="T76" s="4"/>
      <c r="U76" s="4"/>
      <c r="V76" s="4"/>
      <c r="W76" s="4"/>
      <c r="X76" s="4"/>
      <c r="Y76" s="4"/>
      <c r="Z76" s="4"/>
    </row>
    <row r="77" ht="45.75" customHeight="1">
      <c r="A77" s="2" t="s">
        <v>382</v>
      </c>
      <c r="J77" s="41"/>
      <c r="K77" s="41"/>
      <c r="L77" s="41"/>
      <c r="M77" s="41"/>
      <c r="N77" s="41"/>
      <c r="O77" s="4"/>
      <c r="P77" s="4"/>
      <c r="Q77" s="4"/>
      <c r="R77" s="4"/>
      <c r="S77" s="4"/>
      <c r="T77" s="4"/>
      <c r="U77" s="4"/>
      <c r="V77" s="4"/>
      <c r="W77" s="4"/>
      <c r="X77" s="4"/>
      <c r="Y77" s="4"/>
      <c r="Z77" s="4"/>
    </row>
    <row r="78" ht="15.0" customHeight="1">
      <c r="A78" s="2"/>
      <c r="B78" s="83" t="s">
        <v>392</v>
      </c>
      <c r="C78" s="83" t="s">
        <v>361</v>
      </c>
      <c r="D78" s="2"/>
      <c r="E78" s="2"/>
      <c r="F78" s="2"/>
      <c r="G78" s="2"/>
      <c r="H78" s="2"/>
      <c r="I78" s="2"/>
      <c r="J78" s="41"/>
      <c r="K78" s="41"/>
      <c r="L78" s="41"/>
      <c r="M78" s="41"/>
      <c r="N78" s="41"/>
      <c r="O78" s="4"/>
      <c r="P78" s="4"/>
      <c r="Q78" s="4"/>
      <c r="R78" s="4"/>
      <c r="S78" s="4"/>
      <c r="T78" s="4"/>
      <c r="U78" s="4"/>
      <c r="V78" s="4"/>
      <c r="W78" s="4"/>
      <c r="X78" s="4"/>
      <c r="Y78" s="4"/>
      <c r="Z78" s="4"/>
    </row>
    <row r="79" ht="15.0" customHeight="1">
      <c r="A79" s="2"/>
      <c r="B79" s="84" t="s">
        <v>397</v>
      </c>
      <c r="C79" s="84"/>
      <c r="D79" s="84"/>
      <c r="E79" s="84"/>
      <c r="F79" s="84"/>
      <c r="G79" s="84"/>
      <c r="H79" s="84"/>
      <c r="I79" s="84"/>
      <c r="J79" s="41"/>
      <c r="K79" s="41"/>
      <c r="L79" s="41"/>
      <c r="M79" s="41"/>
      <c r="N79" s="41"/>
      <c r="O79" s="4"/>
      <c r="P79" s="4"/>
      <c r="Q79" s="4"/>
      <c r="R79" s="4"/>
      <c r="S79" s="4"/>
      <c r="T79" s="4"/>
      <c r="U79" s="4"/>
      <c r="V79" s="4"/>
      <c r="W79" s="4"/>
      <c r="X79" s="4"/>
      <c r="Y79" s="4"/>
      <c r="Z79" s="4"/>
    </row>
    <row r="80" ht="15.0" customHeight="1">
      <c r="A80" s="2"/>
      <c r="B80" s="85" t="s">
        <v>399</v>
      </c>
      <c r="C80" s="85"/>
      <c r="D80" s="84"/>
      <c r="E80" s="84"/>
      <c r="F80" s="84"/>
      <c r="G80" s="84"/>
      <c r="H80" s="84"/>
      <c r="I80" s="84"/>
      <c r="J80" s="41"/>
      <c r="K80" s="41"/>
      <c r="L80" s="41"/>
      <c r="M80" s="41"/>
      <c r="N80" s="41"/>
      <c r="O80" s="4"/>
      <c r="P80" s="4"/>
      <c r="Q80" s="4"/>
      <c r="R80" s="4"/>
      <c r="S80" s="4"/>
      <c r="T80" s="4"/>
      <c r="U80" s="4"/>
      <c r="V80" s="4"/>
      <c r="W80" s="4"/>
      <c r="X80" s="4"/>
      <c r="Y80" s="4"/>
      <c r="Z80" s="4"/>
    </row>
    <row r="81" ht="15.0" customHeight="1">
      <c r="A81" s="1"/>
      <c r="B81" s="84" t="s">
        <v>406</v>
      </c>
      <c r="C81" s="84"/>
      <c r="D81" s="84"/>
      <c r="E81" s="84"/>
      <c r="F81" s="84"/>
      <c r="G81" s="84"/>
      <c r="H81" s="84"/>
      <c r="I81" s="84"/>
      <c r="J81" s="4"/>
      <c r="K81" s="4"/>
      <c r="L81" s="4"/>
      <c r="M81" s="4"/>
      <c r="N81" s="4"/>
      <c r="O81" s="4"/>
      <c r="P81" s="4"/>
      <c r="Q81" s="4"/>
      <c r="R81" s="4"/>
      <c r="S81" s="4"/>
      <c r="T81" s="4"/>
      <c r="U81" s="4"/>
      <c r="V81" s="4"/>
      <c r="W81" s="4"/>
      <c r="X81" s="4"/>
      <c r="Y81" s="4"/>
      <c r="Z81" s="4"/>
    </row>
    <row r="82" ht="15.75" customHeight="1">
      <c r="A82" s="1"/>
      <c r="B82" s="85" t="s">
        <v>410</v>
      </c>
      <c r="C82" s="85"/>
      <c r="D82" s="84"/>
      <c r="E82" s="84"/>
      <c r="F82" s="84"/>
      <c r="G82" s="84"/>
      <c r="H82" s="84"/>
      <c r="I82" s="84"/>
      <c r="J82" s="4"/>
      <c r="K82" s="4"/>
      <c r="L82" s="4"/>
      <c r="M82" s="4"/>
      <c r="N82" s="4"/>
      <c r="O82" s="4"/>
      <c r="P82" s="4"/>
      <c r="Q82" s="4"/>
      <c r="R82" s="4"/>
      <c r="S82" s="4"/>
      <c r="T82" s="4"/>
      <c r="U82" s="4"/>
      <c r="V82" s="4"/>
      <c r="W82" s="4"/>
      <c r="X82" s="4"/>
      <c r="Y82" s="4"/>
      <c r="Z82" s="4"/>
    </row>
    <row r="83" ht="91.5" customHeight="1">
      <c r="A83" s="2"/>
      <c r="B83" s="84" t="s">
        <v>411</v>
      </c>
      <c r="C83" s="84" t="s">
        <v>412</v>
      </c>
      <c r="D83" s="84"/>
      <c r="E83" s="84"/>
      <c r="F83" s="84"/>
      <c r="G83" s="84"/>
      <c r="H83" s="84"/>
      <c r="I83" s="84"/>
      <c r="J83" s="4"/>
      <c r="K83" s="4"/>
      <c r="L83" s="4"/>
      <c r="M83" s="4"/>
      <c r="N83" s="4"/>
      <c r="O83" s="4"/>
      <c r="P83" s="4"/>
      <c r="Q83" s="4"/>
      <c r="R83" s="4"/>
      <c r="S83" s="4"/>
      <c r="T83" s="4"/>
      <c r="U83" s="4"/>
      <c r="V83" s="4"/>
      <c r="W83" s="4"/>
      <c r="X83" s="4"/>
      <c r="Y83" s="4"/>
      <c r="Z83" s="4"/>
    </row>
    <row r="84" ht="15.75" customHeight="1">
      <c r="A84" s="1"/>
      <c r="B84" s="85" t="s">
        <v>414</v>
      </c>
      <c r="C84" s="85"/>
      <c r="D84" s="84"/>
      <c r="E84" s="84"/>
      <c r="F84" s="84"/>
      <c r="G84" s="84"/>
      <c r="H84" s="84"/>
      <c r="I84" s="84"/>
      <c r="J84" s="4"/>
      <c r="K84" s="4"/>
      <c r="L84" s="4"/>
      <c r="M84" s="4"/>
      <c r="N84" s="4"/>
      <c r="O84" s="4"/>
      <c r="P84" s="4"/>
      <c r="Q84" s="4"/>
      <c r="R84" s="4"/>
      <c r="S84" s="4"/>
      <c r="T84" s="4"/>
      <c r="U84" s="4"/>
      <c r="V84" s="4"/>
      <c r="W84" s="4"/>
      <c r="X84" s="4"/>
      <c r="Y84" s="4"/>
      <c r="Z84" s="4"/>
    </row>
    <row r="85" ht="15.75" customHeight="1">
      <c r="A85" s="1"/>
      <c r="B85" s="84" t="s">
        <v>416</v>
      </c>
      <c r="C85" s="84"/>
      <c r="D85" s="84"/>
      <c r="E85" s="84"/>
      <c r="F85" s="84"/>
      <c r="G85" s="84"/>
      <c r="H85" s="84"/>
      <c r="I85" s="84"/>
      <c r="J85" s="4"/>
      <c r="K85" s="4"/>
      <c r="L85" s="4"/>
      <c r="M85" s="4"/>
      <c r="N85" s="4"/>
      <c r="O85" s="4"/>
      <c r="P85" s="4"/>
      <c r="Q85" s="4"/>
      <c r="R85" s="4"/>
      <c r="S85" s="4"/>
      <c r="T85" s="4"/>
      <c r="U85" s="4"/>
      <c r="V85" s="4"/>
      <c r="W85" s="4"/>
      <c r="X85" s="4"/>
      <c r="Y85" s="4"/>
      <c r="Z85" s="4"/>
    </row>
    <row r="86" ht="15.75" customHeight="1">
      <c r="A86" s="1"/>
      <c r="B86" s="85" t="s">
        <v>421</v>
      </c>
      <c r="C86" s="85"/>
      <c r="D86" s="84"/>
      <c r="E86" s="84"/>
      <c r="F86" s="84"/>
      <c r="G86" s="84"/>
      <c r="H86" s="84"/>
      <c r="I86" s="84"/>
      <c r="J86" s="4"/>
      <c r="K86" s="4"/>
      <c r="L86" s="4"/>
      <c r="M86" s="4"/>
      <c r="N86" s="4"/>
      <c r="O86" s="4"/>
      <c r="P86" s="4"/>
      <c r="Q86" s="4"/>
      <c r="R86" s="4"/>
      <c r="S86" s="4"/>
      <c r="T86" s="4"/>
      <c r="U86" s="4"/>
      <c r="V86" s="4"/>
      <c r="W86" s="4"/>
      <c r="X86" s="4"/>
      <c r="Y86" s="4"/>
      <c r="Z86" s="4"/>
    </row>
    <row r="87" ht="15.75" customHeight="1">
      <c r="A87" s="1"/>
      <c r="B87" s="84" t="s">
        <v>422</v>
      </c>
      <c r="C87" s="84"/>
      <c r="D87" s="84"/>
      <c r="E87" s="84"/>
      <c r="F87" s="84"/>
      <c r="G87" s="84"/>
      <c r="H87" s="84"/>
      <c r="I87" s="84"/>
      <c r="J87" s="4"/>
      <c r="K87" s="4"/>
      <c r="L87" s="4"/>
      <c r="M87" s="4"/>
      <c r="N87" s="4"/>
      <c r="O87" s="4"/>
      <c r="P87" s="4"/>
      <c r="Q87" s="4"/>
      <c r="R87" s="4"/>
      <c r="S87" s="4"/>
      <c r="T87" s="4"/>
      <c r="U87" s="4"/>
      <c r="V87" s="4"/>
      <c r="W87" s="4"/>
      <c r="X87" s="4"/>
      <c r="Y87" s="4"/>
      <c r="Z87" s="4"/>
    </row>
    <row r="88" ht="15.75" customHeight="1">
      <c r="A88" s="1"/>
      <c r="B88" s="85" t="s">
        <v>372</v>
      </c>
      <c r="C88" s="85"/>
      <c r="D88" s="84"/>
      <c r="E88" s="84"/>
      <c r="F88" s="84"/>
      <c r="G88" s="84"/>
      <c r="H88" s="84"/>
      <c r="I88" s="84"/>
      <c r="J88" s="4"/>
      <c r="K88" s="4"/>
      <c r="L88" s="4"/>
      <c r="M88" s="4"/>
      <c r="N88" s="4"/>
      <c r="O88" s="4"/>
      <c r="P88" s="4"/>
      <c r="Q88" s="4"/>
      <c r="R88" s="4"/>
      <c r="S88" s="4"/>
      <c r="T88" s="4"/>
      <c r="U88" s="4"/>
      <c r="V88" s="4"/>
      <c r="W88" s="4"/>
      <c r="X88" s="4"/>
      <c r="Y88" s="4"/>
      <c r="Z88" s="4"/>
    </row>
    <row r="89" ht="15.75" customHeight="1">
      <c r="A89" s="1"/>
      <c r="B89" s="84" t="s">
        <v>426</v>
      </c>
      <c r="C89" s="84"/>
      <c r="D89" s="84"/>
      <c r="E89" s="84"/>
      <c r="F89" s="84"/>
      <c r="G89" s="84"/>
      <c r="H89" s="84"/>
      <c r="I89" s="84"/>
      <c r="J89" s="4"/>
      <c r="K89" s="4"/>
      <c r="L89" s="4"/>
      <c r="M89" s="4"/>
      <c r="N89" s="4"/>
      <c r="O89" s="4"/>
      <c r="P89" s="4"/>
      <c r="Q89" s="4"/>
      <c r="R89" s="4"/>
      <c r="S89" s="4"/>
      <c r="T89" s="4"/>
      <c r="U89" s="4"/>
      <c r="V89" s="4"/>
      <c r="W89" s="4"/>
      <c r="X89" s="4"/>
      <c r="Y89" s="4"/>
      <c r="Z89" s="4"/>
    </row>
    <row r="90" ht="15.75" customHeight="1">
      <c r="A90" s="1"/>
      <c r="B90" s="90" t="s">
        <v>436</v>
      </c>
      <c r="C90" s="90"/>
      <c r="D90" s="1"/>
      <c r="E90" s="1"/>
      <c r="F90" s="1"/>
      <c r="G90" s="1"/>
      <c r="H90" s="1"/>
      <c r="I90" s="1"/>
      <c r="J90" s="4"/>
      <c r="K90" s="4"/>
      <c r="L90" s="4"/>
      <c r="M90" s="4"/>
      <c r="N90" s="4"/>
      <c r="O90" s="4"/>
      <c r="P90" s="4"/>
      <c r="Q90" s="4"/>
      <c r="R90" s="4"/>
      <c r="S90" s="4"/>
      <c r="T90" s="4"/>
      <c r="U90" s="4"/>
      <c r="V90" s="4"/>
      <c r="W90" s="4"/>
      <c r="X90" s="4"/>
      <c r="Y90" s="4"/>
      <c r="Z90" s="4"/>
    </row>
    <row r="91" ht="27.75" customHeight="1">
      <c r="A91" s="79" t="s">
        <v>441</v>
      </c>
      <c r="J91" s="4"/>
      <c r="K91" s="4"/>
      <c r="L91" s="4"/>
      <c r="M91" s="4"/>
      <c r="N91" s="4"/>
      <c r="O91" s="4"/>
      <c r="P91" s="4"/>
      <c r="Q91" s="4"/>
      <c r="R91" s="4"/>
      <c r="S91" s="4"/>
      <c r="T91" s="4"/>
      <c r="U91" s="4"/>
      <c r="V91" s="4"/>
      <c r="W91" s="4"/>
      <c r="X91" s="4"/>
      <c r="Y91" s="4"/>
      <c r="Z91" s="4"/>
    </row>
    <row r="92" ht="48.0" customHeight="1">
      <c r="A92" s="2" t="s">
        <v>442</v>
      </c>
      <c r="J92" s="4"/>
      <c r="K92" s="4"/>
      <c r="L92" s="4"/>
      <c r="M92" s="4"/>
      <c r="N92" s="4"/>
      <c r="O92" s="4"/>
      <c r="P92" s="4"/>
      <c r="Q92" s="4"/>
      <c r="R92" s="4"/>
      <c r="S92" s="4"/>
      <c r="T92" s="4"/>
      <c r="U92" s="4"/>
      <c r="V92" s="4"/>
      <c r="W92" s="4"/>
      <c r="X92" s="4"/>
      <c r="Y92" s="4"/>
      <c r="Z92" s="4"/>
    </row>
    <row r="93" ht="15.75" customHeight="1">
      <c r="A93" s="1"/>
      <c r="B93" s="83" t="s">
        <v>159</v>
      </c>
      <c r="C93" s="83" t="s">
        <v>403</v>
      </c>
      <c r="D93" s="83" t="s">
        <v>161</v>
      </c>
      <c r="E93" s="83" t="s">
        <v>443</v>
      </c>
      <c r="F93" s="1"/>
      <c r="G93" s="1"/>
      <c r="H93" s="1"/>
      <c r="I93" s="1"/>
      <c r="J93" s="4"/>
      <c r="K93" s="4"/>
      <c r="L93" s="4"/>
      <c r="M93" s="4"/>
      <c r="N93" s="4"/>
      <c r="O93" s="4"/>
      <c r="P93" s="4"/>
      <c r="Q93" s="4"/>
      <c r="R93" s="4"/>
      <c r="S93" s="4"/>
      <c r="T93" s="4"/>
      <c r="U93" s="4"/>
      <c r="V93" s="4"/>
      <c r="W93" s="4"/>
      <c r="X93" s="4"/>
      <c r="Y93" s="4"/>
      <c r="Z93" s="4"/>
    </row>
    <row r="94" ht="15.75" customHeight="1">
      <c r="A94" s="1"/>
      <c r="B94" s="29" t="s">
        <v>444</v>
      </c>
      <c r="C94" s="29"/>
      <c r="D94" s="29"/>
      <c r="E94" s="29" t="s">
        <v>445</v>
      </c>
      <c r="F94" s="1"/>
      <c r="G94" s="1"/>
      <c r="H94" s="1"/>
      <c r="I94" s="1"/>
      <c r="J94" s="4"/>
      <c r="K94" s="4"/>
      <c r="L94" s="4"/>
      <c r="M94" s="4"/>
      <c r="N94" s="4"/>
      <c r="O94" s="4"/>
      <c r="P94" s="4"/>
      <c r="Q94" s="4"/>
      <c r="R94" s="4"/>
      <c r="S94" s="4"/>
      <c r="T94" s="4"/>
      <c r="U94" s="4"/>
      <c r="V94" s="4"/>
      <c r="W94" s="4"/>
      <c r="X94" s="4"/>
      <c r="Y94" s="4"/>
      <c r="Z94" s="4"/>
    </row>
    <row r="95" ht="15.75" customHeight="1">
      <c r="A95" s="1"/>
      <c r="B95" s="29" t="s">
        <v>446</v>
      </c>
      <c r="C95" s="29"/>
      <c r="D95" s="29"/>
      <c r="E95" s="29" t="s">
        <v>447</v>
      </c>
      <c r="F95" s="1"/>
      <c r="G95" s="1"/>
      <c r="H95" s="1"/>
      <c r="I95" s="1"/>
      <c r="J95" s="4"/>
      <c r="K95" s="4"/>
      <c r="L95" s="4"/>
      <c r="M95" s="4"/>
      <c r="N95" s="4"/>
      <c r="O95" s="4"/>
      <c r="P95" s="4"/>
      <c r="Q95" s="4"/>
      <c r="R95" s="4"/>
      <c r="S95" s="4"/>
      <c r="T95" s="4"/>
      <c r="U95" s="4"/>
      <c r="V95" s="4"/>
      <c r="W95" s="4"/>
      <c r="X95" s="4"/>
      <c r="Y95" s="4"/>
      <c r="Z95" s="4"/>
    </row>
    <row r="96" ht="15.75" customHeight="1">
      <c r="A96" s="1"/>
      <c r="B96" s="29" t="s">
        <v>448</v>
      </c>
      <c r="C96" s="96" t="str">
        <f>IF(C94="","",IF(C94=0,"N/A",IF(C95="","",C95/C94)))</f>
        <v/>
      </c>
      <c r="D96" s="96"/>
      <c r="E96" s="29" t="s">
        <v>449</v>
      </c>
      <c r="F96" s="1"/>
      <c r="G96" s="1"/>
      <c r="H96" s="1"/>
      <c r="I96" s="1"/>
      <c r="J96" s="4"/>
      <c r="K96" s="4"/>
      <c r="L96" s="4"/>
      <c r="M96" s="4"/>
      <c r="N96" s="4"/>
      <c r="O96" s="4"/>
      <c r="P96" s="4"/>
      <c r="Q96" s="4"/>
      <c r="R96" s="4"/>
      <c r="S96" s="4"/>
      <c r="T96" s="4"/>
      <c r="U96" s="4"/>
      <c r="V96" s="4"/>
      <c r="W96" s="4"/>
      <c r="X96" s="4"/>
      <c r="Y96" s="4"/>
      <c r="Z96" s="4"/>
    </row>
    <row r="97" ht="15.75" customHeight="1">
      <c r="A97" s="1"/>
      <c r="B97" s="29" t="s">
        <v>450</v>
      </c>
      <c r="C97" s="29"/>
      <c r="D97" s="29"/>
      <c r="E97" s="29" t="s">
        <v>451</v>
      </c>
      <c r="F97" s="1"/>
      <c r="G97" s="1"/>
      <c r="H97" s="1"/>
      <c r="I97" s="1"/>
      <c r="J97" s="4"/>
      <c r="K97" s="4"/>
      <c r="L97" s="4"/>
      <c r="M97" s="4"/>
      <c r="N97" s="4"/>
      <c r="O97" s="4"/>
      <c r="P97" s="4"/>
      <c r="Q97" s="4"/>
      <c r="R97" s="4"/>
      <c r="S97" s="4"/>
      <c r="T97" s="4"/>
      <c r="U97" s="4"/>
      <c r="V97" s="4"/>
      <c r="W97" s="4"/>
      <c r="X97" s="4"/>
      <c r="Y97" s="4"/>
      <c r="Z97" s="4"/>
    </row>
    <row r="98" ht="15.75" customHeight="1">
      <c r="A98" s="1"/>
      <c r="B98" s="29" t="s">
        <v>452</v>
      </c>
      <c r="C98" s="29"/>
      <c r="D98" s="29"/>
      <c r="E98" s="29" t="s">
        <v>453</v>
      </c>
      <c r="F98" s="1"/>
      <c r="G98" s="1"/>
      <c r="H98" s="1"/>
      <c r="I98" s="1"/>
      <c r="J98" s="4"/>
      <c r="K98" s="4"/>
      <c r="L98" s="4"/>
      <c r="M98" s="4"/>
      <c r="N98" s="4"/>
      <c r="O98" s="4"/>
      <c r="P98" s="4"/>
      <c r="Q98" s="4"/>
      <c r="R98" s="4"/>
      <c r="S98" s="4"/>
      <c r="T98" s="4"/>
      <c r="U98" s="4"/>
      <c r="V98" s="4"/>
      <c r="W98" s="4"/>
      <c r="X98" s="4"/>
      <c r="Y98" s="4"/>
      <c r="Z98" s="4"/>
    </row>
    <row r="99" ht="15.75" customHeight="1">
      <c r="A99" s="1"/>
      <c r="B99" s="1"/>
      <c r="C99" s="1"/>
      <c r="D99" s="1"/>
      <c r="E99" s="1"/>
      <c r="F99" s="1"/>
      <c r="G99" s="1"/>
      <c r="H99" s="1"/>
      <c r="I99" s="1"/>
      <c r="J99" s="4"/>
      <c r="K99" s="4"/>
      <c r="L99" s="4"/>
      <c r="M99" s="4"/>
      <c r="N99" s="4"/>
      <c r="O99" s="4"/>
      <c r="P99" s="4"/>
      <c r="Q99" s="4"/>
      <c r="R99" s="4"/>
      <c r="S99" s="4"/>
      <c r="T99" s="4"/>
      <c r="U99" s="4"/>
      <c r="V99" s="4"/>
      <c r="W99" s="4"/>
      <c r="X99" s="4"/>
      <c r="Y99" s="4"/>
      <c r="Z99" s="4"/>
    </row>
    <row r="100" ht="27.75" customHeight="1">
      <c r="A100" s="79" t="s">
        <v>454</v>
      </c>
      <c r="J100" s="4"/>
      <c r="K100" s="4"/>
      <c r="L100" s="4"/>
      <c r="M100" s="4"/>
      <c r="N100" s="4"/>
      <c r="O100" s="4"/>
      <c r="P100" s="4"/>
      <c r="Q100" s="4"/>
      <c r="R100" s="4"/>
      <c r="S100" s="4"/>
      <c r="T100" s="4"/>
      <c r="U100" s="4"/>
      <c r="V100" s="4"/>
      <c r="W100" s="4"/>
      <c r="X100" s="4"/>
      <c r="Y100" s="4"/>
      <c r="Z100" s="4"/>
    </row>
    <row r="101" ht="26.25" customHeight="1">
      <c r="A101" s="2" t="s">
        <v>455</v>
      </c>
      <c r="J101" s="4"/>
      <c r="K101" s="4"/>
      <c r="L101" s="4"/>
      <c r="M101" s="4"/>
      <c r="N101" s="4"/>
      <c r="O101" s="4"/>
      <c r="P101" s="4"/>
      <c r="Q101" s="4"/>
      <c r="R101" s="4"/>
      <c r="S101" s="4"/>
      <c r="T101" s="4"/>
      <c r="U101" s="4"/>
      <c r="V101" s="4"/>
      <c r="W101" s="4"/>
      <c r="X101" s="4"/>
      <c r="Y101" s="4"/>
      <c r="Z101" s="4"/>
    </row>
    <row r="102" ht="15.0" customHeight="1">
      <c r="A102" s="1"/>
      <c r="B102" s="83" t="s">
        <v>159</v>
      </c>
      <c r="C102" s="83" t="s">
        <v>403</v>
      </c>
      <c r="D102" s="83" t="s">
        <v>161</v>
      </c>
      <c r="E102" s="83" t="s">
        <v>456</v>
      </c>
      <c r="F102" s="83" t="s">
        <v>388</v>
      </c>
      <c r="G102" s="1"/>
      <c r="H102" s="1"/>
      <c r="I102" s="1"/>
      <c r="J102" s="4"/>
      <c r="K102" s="4"/>
      <c r="L102" s="4"/>
      <c r="M102" s="4"/>
      <c r="N102" s="4"/>
      <c r="O102" s="4"/>
      <c r="P102" s="4"/>
      <c r="Q102" s="4"/>
      <c r="R102" s="4"/>
      <c r="S102" s="4"/>
      <c r="T102" s="4"/>
      <c r="U102" s="4"/>
      <c r="V102" s="4"/>
      <c r="W102" s="4"/>
      <c r="X102" s="4"/>
      <c r="Y102" s="4"/>
      <c r="Z102" s="4"/>
    </row>
    <row r="103" ht="36.0" customHeight="1">
      <c r="A103" s="1"/>
      <c r="B103" s="29" t="s">
        <v>457</v>
      </c>
      <c r="C103" s="29"/>
      <c r="D103" s="29"/>
      <c r="E103" s="29" t="s">
        <v>458</v>
      </c>
      <c r="F103" s="29" t="s">
        <v>459</v>
      </c>
      <c r="G103" s="1"/>
      <c r="H103" s="1"/>
      <c r="I103" s="1"/>
      <c r="J103" s="4"/>
      <c r="K103" s="4"/>
      <c r="L103" s="4"/>
      <c r="M103" s="4"/>
      <c r="N103" s="4"/>
      <c r="O103" s="4"/>
      <c r="P103" s="4"/>
      <c r="Q103" s="4"/>
      <c r="R103" s="4"/>
      <c r="S103" s="4"/>
      <c r="T103" s="4"/>
      <c r="U103" s="4"/>
      <c r="V103" s="4"/>
      <c r="W103" s="4"/>
      <c r="X103" s="4"/>
      <c r="Y103" s="4"/>
      <c r="Z103" s="4"/>
    </row>
    <row r="104" ht="24.0" customHeight="1">
      <c r="A104" s="1"/>
      <c r="B104" s="29" t="s">
        <v>460</v>
      </c>
      <c r="C104" s="29"/>
      <c r="D104" s="29"/>
      <c r="E104" s="29" t="s">
        <v>461</v>
      </c>
      <c r="F104" s="29" t="s">
        <v>462</v>
      </c>
      <c r="G104" s="1"/>
      <c r="H104" s="1"/>
      <c r="I104" s="1"/>
      <c r="J104" s="4"/>
      <c r="K104" s="4"/>
      <c r="L104" s="4"/>
      <c r="M104" s="4"/>
      <c r="N104" s="4"/>
      <c r="O104" s="4"/>
      <c r="P104" s="4"/>
      <c r="Q104" s="4"/>
      <c r="R104" s="4"/>
      <c r="S104" s="4"/>
      <c r="T104" s="4"/>
      <c r="U104" s="4"/>
      <c r="V104" s="4"/>
      <c r="W104" s="4"/>
      <c r="X104" s="4"/>
      <c r="Y104" s="4"/>
      <c r="Z104" s="4"/>
    </row>
    <row r="105" ht="24.0" customHeight="1">
      <c r="A105" s="1"/>
      <c r="B105" s="29" t="s">
        <v>463</v>
      </c>
      <c r="C105" s="29"/>
      <c r="D105" s="29"/>
      <c r="E105" s="29" t="s">
        <v>464</v>
      </c>
      <c r="F105" s="29" t="s">
        <v>462</v>
      </c>
      <c r="G105" s="1"/>
      <c r="H105" s="1"/>
      <c r="I105" s="1"/>
      <c r="J105" s="4"/>
      <c r="K105" s="4"/>
      <c r="L105" s="4"/>
      <c r="M105" s="4"/>
      <c r="N105" s="4"/>
      <c r="O105" s="4"/>
      <c r="P105" s="4"/>
      <c r="Q105" s="4"/>
      <c r="R105" s="4"/>
      <c r="S105" s="4"/>
      <c r="T105" s="4"/>
      <c r="U105" s="4"/>
      <c r="V105" s="4"/>
      <c r="W105" s="4"/>
      <c r="X105" s="4"/>
      <c r="Y105" s="4"/>
      <c r="Z105" s="4"/>
    </row>
    <row r="106" ht="36.0" customHeight="1">
      <c r="A106" s="1"/>
      <c r="B106" s="29" t="s">
        <v>465</v>
      </c>
      <c r="C106" s="29"/>
      <c r="D106" s="29"/>
      <c r="E106" s="29" t="s">
        <v>466</v>
      </c>
      <c r="F106" s="29" t="s">
        <v>467</v>
      </c>
      <c r="G106" s="1"/>
      <c r="H106" s="1"/>
      <c r="I106" s="1"/>
      <c r="J106" s="4"/>
      <c r="K106" s="4"/>
      <c r="L106" s="4"/>
      <c r="M106" s="4"/>
      <c r="N106" s="4"/>
      <c r="O106" s="4"/>
      <c r="P106" s="4"/>
      <c r="Q106" s="4"/>
      <c r="R106" s="4"/>
      <c r="S106" s="4"/>
      <c r="T106" s="4"/>
      <c r="U106" s="4"/>
      <c r="V106" s="4"/>
      <c r="W106" s="4"/>
      <c r="X106" s="4"/>
      <c r="Y106" s="4"/>
      <c r="Z106" s="4"/>
    </row>
    <row r="107" ht="24.0" customHeight="1">
      <c r="A107" s="1"/>
      <c r="B107" s="29" t="s">
        <v>468</v>
      </c>
      <c r="C107" s="29"/>
      <c r="D107" s="29"/>
      <c r="E107" s="29" t="s">
        <v>469</v>
      </c>
      <c r="F107" s="29" t="s">
        <v>470</v>
      </c>
      <c r="G107" s="1"/>
      <c r="H107" s="1"/>
      <c r="I107" s="1"/>
      <c r="J107" s="4"/>
      <c r="K107" s="4"/>
      <c r="L107" s="4"/>
      <c r="M107" s="4"/>
      <c r="N107" s="4"/>
      <c r="O107" s="4"/>
      <c r="P107" s="4"/>
      <c r="Q107" s="4"/>
      <c r="R107" s="4"/>
      <c r="S107" s="4"/>
      <c r="T107" s="4"/>
      <c r="U107" s="4"/>
      <c r="V107" s="4"/>
      <c r="W107" s="4"/>
      <c r="X107" s="4"/>
      <c r="Y107" s="4"/>
      <c r="Z107" s="4"/>
    </row>
    <row r="108" ht="72.0" customHeight="1">
      <c r="A108" s="28"/>
      <c r="B108" s="28" t="s">
        <v>471</v>
      </c>
      <c r="C108" s="28"/>
      <c r="D108" s="28"/>
      <c r="E108" s="28" t="s">
        <v>472</v>
      </c>
      <c r="F108" s="28" t="s">
        <v>473</v>
      </c>
      <c r="G108" s="28"/>
      <c r="H108" s="28"/>
      <c r="I108" s="28"/>
      <c r="J108" s="4"/>
      <c r="K108" s="4"/>
      <c r="L108" s="4"/>
      <c r="M108" s="4"/>
      <c r="N108" s="4"/>
      <c r="O108" s="4"/>
      <c r="P108" s="4"/>
      <c r="Q108" s="4"/>
      <c r="R108" s="4"/>
      <c r="S108" s="4"/>
      <c r="T108" s="4"/>
      <c r="U108" s="4"/>
      <c r="V108" s="4"/>
      <c r="W108" s="4"/>
      <c r="X108" s="4"/>
      <c r="Y108" s="4"/>
      <c r="Z108" s="4"/>
    </row>
    <row r="109" ht="96.0" customHeight="1">
      <c r="A109" s="101"/>
      <c r="B109" s="101" t="s">
        <v>474</v>
      </c>
      <c r="C109" s="101"/>
      <c r="D109" s="101"/>
      <c r="E109" s="101" t="s">
        <v>475</v>
      </c>
      <c r="F109" s="101" t="s">
        <v>476</v>
      </c>
      <c r="G109" s="101"/>
      <c r="H109" s="101"/>
      <c r="I109" s="101"/>
      <c r="J109" s="4"/>
      <c r="K109" s="4"/>
      <c r="L109" s="4"/>
      <c r="M109" s="4"/>
      <c r="N109" s="4"/>
      <c r="O109" s="4"/>
      <c r="P109" s="4"/>
      <c r="Q109" s="4"/>
      <c r="R109" s="4"/>
      <c r="S109" s="4"/>
      <c r="T109" s="4"/>
      <c r="U109" s="4"/>
      <c r="V109" s="4"/>
      <c r="W109" s="4"/>
      <c r="X109" s="4"/>
      <c r="Y109" s="4"/>
      <c r="Z109" s="4"/>
    </row>
    <row r="110" ht="24.0" customHeight="1">
      <c r="A110" s="102" t="s">
        <v>477</v>
      </c>
      <c r="J110" s="4"/>
      <c r="K110" s="4"/>
      <c r="L110" s="4"/>
      <c r="M110" s="4"/>
      <c r="N110" s="4"/>
      <c r="O110" s="4"/>
      <c r="P110" s="4"/>
      <c r="Q110" s="4"/>
      <c r="R110" s="4"/>
      <c r="S110" s="4"/>
      <c r="T110" s="4"/>
      <c r="U110" s="4"/>
      <c r="V110" s="4"/>
      <c r="W110" s="4"/>
      <c r="X110" s="4"/>
      <c r="Y110" s="4"/>
      <c r="Z110" s="4"/>
    </row>
    <row r="111" ht="37.5" customHeight="1">
      <c r="A111" s="103" t="s">
        <v>478</v>
      </c>
      <c r="J111" s="4"/>
      <c r="K111" s="4"/>
      <c r="L111" s="4"/>
      <c r="M111" s="4"/>
      <c r="N111" s="4"/>
      <c r="O111" s="4"/>
      <c r="P111" s="4"/>
      <c r="Q111" s="4"/>
      <c r="R111" s="4"/>
      <c r="S111" s="4"/>
      <c r="T111" s="4"/>
      <c r="U111" s="4"/>
      <c r="V111" s="4"/>
      <c r="W111" s="4"/>
      <c r="X111" s="4"/>
      <c r="Y111" s="4"/>
      <c r="Z111" s="4"/>
    </row>
    <row r="112" ht="24.0" customHeight="1">
      <c r="A112" s="103"/>
      <c r="B112" s="105" t="s">
        <v>159</v>
      </c>
      <c r="C112" s="105" t="s">
        <v>403</v>
      </c>
      <c r="D112" s="105" t="s">
        <v>161</v>
      </c>
      <c r="E112" s="105" t="s">
        <v>482</v>
      </c>
      <c r="F112" s="105" t="s">
        <v>388</v>
      </c>
      <c r="G112" s="103"/>
      <c r="H112" s="103"/>
      <c r="I112" s="103"/>
      <c r="J112" s="4"/>
      <c r="K112" s="4"/>
      <c r="L112" s="4"/>
      <c r="M112" s="4"/>
      <c r="N112" s="4"/>
      <c r="O112" s="4"/>
      <c r="P112" s="4"/>
      <c r="Q112" s="4"/>
      <c r="R112" s="4"/>
      <c r="S112" s="4"/>
      <c r="T112" s="4"/>
      <c r="U112" s="4"/>
      <c r="V112" s="4"/>
      <c r="W112" s="4"/>
      <c r="X112" s="4"/>
      <c r="Y112" s="4"/>
      <c r="Z112" s="4"/>
    </row>
    <row r="113" ht="15.0" customHeight="1">
      <c r="A113" s="1"/>
      <c r="B113" s="29" t="s">
        <v>485</v>
      </c>
      <c r="C113" s="29"/>
      <c r="D113" s="29"/>
      <c r="E113" s="29" t="s">
        <v>135</v>
      </c>
      <c r="F113" s="29" t="s">
        <v>486</v>
      </c>
      <c r="G113" s="1"/>
      <c r="H113" s="1"/>
      <c r="I113" s="1"/>
      <c r="J113" s="4"/>
      <c r="K113" s="4"/>
      <c r="L113" s="4"/>
      <c r="M113" s="4"/>
      <c r="N113" s="4"/>
      <c r="O113" s="4"/>
      <c r="P113" s="4"/>
      <c r="Q113" s="4"/>
      <c r="R113" s="4"/>
      <c r="S113" s="4"/>
      <c r="T113" s="4"/>
      <c r="U113" s="4"/>
      <c r="V113" s="4"/>
      <c r="W113" s="4"/>
      <c r="X113" s="4"/>
      <c r="Y113" s="4"/>
      <c r="Z113" s="4"/>
    </row>
    <row r="114" ht="15.0" customHeight="1">
      <c r="A114" s="1"/>
      <c r="B114" s="29" t="s">
        <v>490</v>
      </c>
      <c r="C114" s="29"/>
      <c r="D114" s="29"/>
      <c r="E114" s="29" t="s">
        <v>135</v>
      </c>
      <c r="F114" s="29" t="s">
        <v>491</v>
      </c>
      <c r="G114" s="1"/>
      <c r="H114" s="1"/>
      <c r="I114" s="1"/>
      <c r="J114" s="4"/>
      <c r="K114" s="4"/>
      <c r="L114" s="4"/>
      <c r="M114" s="4"/>
      <c r="N114" s="4"/>
      <c r="O114" s="4"/>
      <c r="P114" s="4"/>
      <c r="Q114" s="4"/>
      <c r="R114" s="4"/>
      <c r="S114" s="4"/>
      <c r="T114" s="4"/>
      <c r="U114" s="4"/>
      <c r="V114" s="4"/>
      <c r="W114" s="4"/>
      <c r="X114" s="4"/>
      <c r="Y114" s="4"/>
      <c r="Z114" s="4"/>
    </row>
    <row r="115" ht="15.0" customHeight="1">
      <c r="A115" s="1"/>
      <c r="B115" s="29" t="s">
        <v>496</v>
      </c>
      <c r="C115" s="29"/>
      <c r="D115" s="29"/>
      <c r="E115" s="29" t="s">
        <v>135</v>
      </c>
      <c r="F115" s="29" t="s">
        <v>497</v>
      </c>
      <c r="G115" s="1"/>
      <c r="H115" s="1"/>
      <c r="I115" s="1"/>
      <c r="J115" s="4"/>
      <c r="K115" s="4"/>
      <c r="L115" s="4"/>
      <c r="M115" s="4"/>
      <c r="N115" s="4"/>
      <c r="O115" s="4"/>
      <c r="P115" s="4"/>
      <c r="Q115" s="4"/>
      <c r="R115" s="4"/>
      <c r="S115" s="4"/>
      <c r="T115" s="4"/>
      <c r="U115" s="4"/>
      <c r="V115" s="4"/>
      <c r="W115" s="4"/>
      <c r="X115" s="4"/>
      <c r="Y115" s="4"/>
      <c r="Z115" s="4"/>
    </row>
    <row r="116" ht="15.0" customHeight="1">
      <c r="A116" s="1"/>
      <c r="B116" s="29" t="s">
        <v>499</v>
      </c>
      <c r="C116" s="29"/>
      <c r="D116" s="29"/>
      <c r="E116" s="29" t="s">
        <v>500</v>
      </c>
      <c r="F116" s="29" t="s">
        <v>501</v>
      </c>
      <c r="G116" s="1"/>
      <c r="H116" s="1"/>
      <c r="I116" s="1"/>
      <c r="J116" s="4"/>
      <c r="K116" s="4"/>
      <c r="L116" s="4"/>
      <c r="M116" s="4"/>
      <c r="N116" s="4"/>
      <c r="O116" s="4"/>
      <c r="P116" s="4"/>
      <c r="Q116" s="4"/>
      <c r="R116" s="4"/>
      <c r="S116" s="4"/>
      <c r="T116" s="4"/>
      <c r="U116" s="4"/>
      <c r="V116" s="4"/>
      <c r="W116" s="4"/>
      <c r="X116" s="4"/>
      <c r="Y116" s="4"/>
      <c r="Z116" s="4"/>
    </row>
    <row r="117" ht="24.0" customHeight="1">
      <c r="A117" s="1"/>
      <c r="B117" s="29" t="s">
        <v>502</v>
      </c>
      <c r="C117" s="29"/>
      <c r="D117" s="29"/>
      <c r="E117" s="29" t="s">
        <v>500</v>
      </c>
      <c r="F117" s="29" t="s">
        <v>501</v>
      </c>
      <c r="G117" s="1"/>
      <c r="H117" s="1"/>
      <c r="I117" s="1"/>
      <c r="J117" s="4"/>
      <c r="K117" s="4"/>
      <c r="L117" s="4"/>
      <c r="M117" s="4"/>
      <c r="N117" s="4"/>
      <c r="O117" s="4"/>
      <c r="P117" s="4"/>
      <c r="Q117" s="4"/>
      <c r="R117" s="4"/>
      <c r="S117" s="4"/>
      <c r="T117" s="4"/>
      <c r="U117" s="4"/>
      <c r="V117" s="4"/>
      <c r="W117" s="4"/>
      <c r="X117" s="4"/>
      <c r="Y117" s="4"/>
      <c r="Z117" s="4"/>
    </row>
    <row r="118" ht="15.0" customHeight="1">
      <c r="A118" s="1"/>
      <c r="B118" s="29" t="s">
        <v>504</v>
      </c>
      <c r="C118" s="29"/>
      <c r="D118" s="29"/>
      <c r="E118" s="29" t="s">
        <v>135</v>
      </c>
      <c r="F118" s="29" t="s">
        <v>506</v>
      </c>
      <c r="G118" s="1"/>
      <c r="H118" s="1"/>
      <c r="I118" s="1"/>
      <c r="J118" s="4"/>
      <c r="K118" s="4"/>
      <c r="L118" s="4"/>
      <c r="M118" s="4"/>
      <c r="N118" s="4"/>
      <c r="O118" s="4"/>
      <c r="P118" s="4"/>
      <c r="Q118" s="4"/>
      <c r="R118" s="4"/>
      <c r="S118" s="4"/>
      <c r="T118" s="4"/>
      <c r="U118" s="4"/>
      <c r="V118" s="4"/>
      <c r="W118" s="4"/>
      <c r="X118" s="4"/>
      <c r="Y118" s="4"/>
      <c r="Z118" s="4"/>
    </row>
    <row r="119" ht="24.0" customHeight="1">
      <c r="A119" s="1"/>
      <c r="B119" s="29" t="s">
        <v>508</v>
      </c>
      <c r="C119" s="29"/>
      <c r="D119" s="29"/>
      <c r="E119" s="29" t="s">
        <v>135</v>
      </c>
      <c r="F119" s="29" t="s">
        <v>509</v>
      </c>
      <c r="G119" s="1"/>
      <c r="H119" s="1"/>
      <c r="I119" s="1"/>
      <c r="J119" s="4"/>
      <c r="K119" s="4"/>
      <c r="L119" s="4"/>
      <c r="M119" s="4"/>
      <c r="N119" s="4"/>
      <c r="O119" s="4"/>
      <c r="P119" s="4"/>
      <c r="Q119" s="4"/>
      <c r="R119" s="4"/>
      <c r="S119" s="4"/>
      <c r="T119" s="4"/>
      <c r="U119" s="4"/>
      <c r="V119" s="4"/>
      <c r="W119" s="4"/>
      <c r="X119" s="4"/>
      <c r="Y119" s="4"/>
      <c r="Z119" s="4"/>
    </row>
    <row r="120" ht="24.0" customHeight="1">
      <c r="A120" s="1"/>
      <c r="B120" s="29" t="s">
        <v>510</v>
      </c>
      <c r="C120" s="29"/>
      <c r="D120" s="29"/>
      <c r="E120" s="29" t="s">
        <v>135</v>
      </c>
      <c r="F120" s="29" t="s">
        <v>511</v>
      </c>
      <c r="G120" s="1"/>
      <c r="H120" s="1"/>
      <c r="I120" s="1"/>
      <c r="J120" s="4"/>
      <c r="K120" s="4"/>
      <c r="L120" s="4"/>
      <c r="M120" s="4"/>
      <c r="N120" s="4"/>
      <c r="O120" s="4"/>
      <c r="P120" s="4"/>
      <c r="Q120" s="4"/>
      <c r="R120" s="4"/>
      <c r="S120" s="4"/>
      <c r="T120" s="4"/>
      <c r="U120" s="4"/>
      <c r="V120" s="4"/>
      <c r="W120" s="4"/>
      <c r="X120" s="4"/>
      <c r="Y120" s="4"/>
      <c r="Z120" s="4"/>
    </row>
    <row r="121" ht="24.0" customHeight="1">
      <c r="A121" s="1"/>
      <c r="B121" s="29" t="s">
        <v>512</v>
      </c>
      <c r="C121" s="29"/>
      <c r="D121" s="29"/>
      <c r="E121" s="29" t="s">
        <v>135</v>
      </c>
      <c r="F121" s="29" t="s">
        <v>513</v>
      </c>
      <c r="G121" s="1"/>
      <c r="H121" s="1"/>
      <c r="I121" s="1"/>
      <c r="J121" s="4"/>
      <c r="K121" s="4"/>
      <c r="L121" s="4"/>
      <c r="M121" s="4"/>
      <c r="N121" s="4"/>
      <c r="O121" s="4"/>
      <c r="P121" s="4"/>
      <c r="Q121" s="4"/>
      <c r="R121" s="4"/>
      <c r="S121" s="4"/>
      <c r="T121" s="4"/>
      <c r="U121" s="4"/>
      <c r="V121" s="4"/>
      <c r="W121" s="4"/>
      <c r="X121" s="4"/>
      <c r="Y121" s="4"/>
      <c r="Z121" s="4"/>
    </row>
    <row r="122" ht="24.0" customHeight="1">
      <c r="A122" s="1"/>
      <c r="B122" s="29" t="s">
        <v>515</v>
      </c>
      <c r="C122" s="29"/>
      <c r="D122" s="29"/>
      <c r="E122" s="29" t="s">
        <v>135</v>
      </c>
      <c r="F122" s="29" t="s">
        <v>516</v>
      </c>
      <c r="G122" s="1"/>
      <c r="H122" s="1"/>
      <c r="I122" s="1"/>
      <c r="J122" s="4"/>
      <c r="K122" s="4"/>
      <c r="L122" s="4"/>
      <c r="M122" s="4"/>
      <c r="N122" s="4"/>
      <c r="O122" s="4"/>
      <c r="P122" s="4"/>
      <c r="Q122" s="4"/>
      <c r="R122" s="4"/>
      <c r="S122" s="4"/>
      <c r="T122" s="4"/>
      <c r="U122" s="4"/>
      <c r="V122" s="4"/>
      <c r="W122" s="4"/>
      <c r="X122" s="4"/>
      <c r="Y122" s="4"/>
      <c r="Z122" s="4"/>
    </row>
    <row r="123" ht="24.0" customHeight="1">
      <c r="A123" s="1"/>
      <c r="B123" s="29" t="s">
        <v>518</v>
      </c>
      <c r="C123" s="29"/>
      <c r="D123" s="29"/>
      <c r="E123" s="29" t="s">
        <v>135</v>
      </c>
      <c r="F123" s="29" t="s">
        <v>519</v>
      </c>
      <c r="G123" s="1"/>
      <c r="H123" s="1"/>
      <c r="I123" s="1"/>
      <c r="J123" s="4"/>
      <c r="K123" s="4"/>
      <c r="L123" s="4"/>
      <c r="M123" s="4"/>
      <c r="N123" s="4"/>
      <c r="O123" s="4"/>
      <c r="P123" s="4"/>
      <c r="Q123" s="4"/>
      <c r="R123" s="4"/>
      <c r="S123" s="4"/>
      <c r="T123" s="4"/>
      <c r="U123" s="4"/>
      <c r="V123" s="4"/>
      <c r="W123" s="4"/>
      <c r="X123" s="4"/>
      <c r="Y123" s="4"/>
      <c r="Z123" s="4"/>
    </row>
    <row r="124" ht="15.0" customHeight="1">
      <c r="A124" s="1"/>
      <c r="B124" s="29" t="s">
        <v>521</v>
      </c>
      <c r="C124" s="29"/>
      <c r="D124" s="29"/>
      <c r="E124" s="29" t="s">
        <v>522</v>
      </c>
      <c r="F124" s="29" t="s">
        <v>523</v>
      </c>
      <c r="G124" s="1"/>
      <c r="H124" s="1"/>
      <c r="I124" s="1"/>
      <c r="J124" s="4"/>
      <c r="K124" s="4"/>
      <c r="L124" s="4"/>
      <c r="M124" s="4"/>
      <c r="N124" s="4"/>
      <c r="O124" s="4"/>
      <c r="P124" s="4"/>
      <c r="Q124" s="4"/>
      <c r="R124" s="4"/>
      <c r="S124" s="4"/>
      <c r="T124" s="4"/>
      <c r="U124" s="4"/>
      <c r="V124" s="4"/>
      <c r="W124" s="4"/>
      <c r="X124" s="4"/>
      <c r="Y124" s="4"/>
      <c r="Z124" s="4"/>
    </row>
    <row r="125" ht="15.0" customHeight="1">
      <c r="A125" s="1"/>
      <c r="B125" s="29" t="s">
        <v>525</v>
      </c>
      <c r="C125" s="29"/>
      <c r="D125" s="29"/>
      <c r="E125" s="29" t="s">
        <v>135</v>
      </c>
      <c r="F125" s="29" t="s">
        <v>526</v>
      </c>
      <c r="G125" s="1"/>
      <c r="H125" s="1"/>
      <c r="I125" s="1"/>
      <c r="J125" s="4"/>
      <c r="K125" s="4"/>
      <c r="L125" s="4"/>
      <c r="M125" s="4"/>
      <c r="N125" s="4"/>
      <c r="O125" s="4"/>
      <c r="P125" s="4"/>
      <c r="Q125" s="4"/>
      <c r="R125" s="4"/>
      <c r="S125" s="4"/>
      <c r="T125" s="4"/>
      <c r="U125" s="4"/>
      <c r="V125" s="4"/>
      <c r="W125" s="4"/>
      <c r="X125" s="4"/>
      <c r="Y125" s="4"/>
      <c r="Z125" s="4"/>
    </row>
    <row r="126" ht="15.0" customHeight="1">
      <c r="A126" s="1"/>
      <c r="B126" s="29" t="s">
        <v>527</v>
      </c>
      <c r="C126" s="29"/>
      <c r="D126" s="29"/>
      <c r="E126" s="29" t="s">
        <v>135</v>
      </c>
      <c r="F126" s="29" t="s">
        <v>528</v>
      </c>
      <c r="G126" s="1"/>
      <c r="H126" s="1"/>
      <c r="I126" s="1"/>
      <c r="J126" s="4"/>
      <c r="K126" s="4"/>
      <c r="L126" s="4"/>
      <c r="M126" s="4"/>
      <c r="N126" s="4"/>
      <c r="O126" s="4"/>
      <c r="P126" s="4"/>
      <c r="Q126" s="4"/>
      <c r="R126" s="4"/>
      <c r="S126" s="4"/>
      <c r="T126" s="4"/>
      <c r="U126" s="4"/>
      <c r="V126" s="4"/>
      <c r="W126" s="4"/>
      <c r="X126" s="4"/>
      <c r="Y126" s="4"/>
      <c r="Z126" s="4"/>
    </row>
    <row r="127" ht="24.0" customHeight="1">
      <c r="A127" s="1"/>
      <c r="B127" s="29" t="s">
        <v>529</v>
      </c>
      <c r="C127" s="29"/>
      <c r="D127" s="29"/>
      <c r="E127" s="29" t="s">
        <v>135</v>
      </c>
      <c r="F127" s="29" t="s">
        <v>531</v>
      </c>
      <c r="G127" s="1"/>
      <c r="H127" s="1"/>
      <c r="I127" s="1"/>
      <c r="J127" s="4"/>
      <c r="K127" s="4"/>
      <c r="L127" s="4"/>
      <c r="M127" s="4"/>
      <c r="N127" s="4"/>
      <c r="O127" s="4"/>
      <c r="P127" s="4"/>
      <c r="Q127" s="4"/>
      <c r="R127" s="4"/>
      <c r="S127" s="4"/>
      <c r="T127" s="4"/>
      <c r="U127" s="4"/>
      <c r="V127" s="4"/>
      <c r="W127" s="4"/>
      <c r="X127" s="4"/>
      <c r="Y127" s="4"/>
      <c r="Z127" s="4"/>
    </row>
    <row r="128" ht="36.0" customHeight="1">
      <c r="A128" s="1"/>
      <c r="B128" s="29" t="s">
        <v>532</v>
      </c>
      <c r="C128" s="29"/>
      <c r="D128" s="29"/>
      <c r="E128" s="29" t="s">
        <v>135</v>
      </c>
      <c r="F128" s="29" t="s">
        <v>533</v>
      </c>
      <c r="G128" s="1"/>
      <c r="H128" s="1"/>
      <c r="I128" s="1"/>
      <c r="J128" s="4"/>
      <c r="K128" s="4"/>
      <c r="L128" s="4"/>
      <c r="M128" s="4"/>
      <c r="N128" s="4"/>
      <c r="O128" s="4"/>
      <c r="P128" s="4"/>
      <c r="Q128" s="4"/>
      <c r="R128" s="4"/>
      <c r="S128" s="4"/>
      <c r="T128" s="4"/>
      <c r="U128" s="4"/>
      <c r="V128" s="4"/>
      <c r="W128" s="4"/>
      <c r="X128" s="4"/>
      <c r="Y128" s="4"/>
      <c r="Z128" s="4"/>
    </row>
    <row r="129" ht="15.75" customHeight="1">
      <c r="A129" s="1"/>
      <c r="B129" s="1" t="s">
        <v>534</v>
      </c>
      <c r="C129" s="1"/>
      <c r="D129" s="1"/>
      <c r="E129" s="1" t="s">
        <v>535</v>
      </c>
      <c r="F129" s="1" t="s">
        <v>536</v>
      </c>
      <c r="G129" s="1"/>
      <c r="H129" s="1"/>
      <c r="I129" s="1"/>
      <c r="J129" s="4"/>
      <c r="K129" s="4"/>
      <c r="L129" s="4"/>
      <c r="M129" s="4"/>
      <c r="N129" s="4"/>
      <c r="O129" s="4"/>
      <c r="P129" s="4"/>
      <c r="Q129" s="4"/>
      <c r="R129" s="4"/>
      <c r="S129" s="4"/>
      <c r="T129" s="4"/>
      <c r="U129" s="4"/>
      <c r="V129" s="4"/>
      <c r="W129" s="4"/>
      <c r="X129" s="4"/>
      <c r="Y129" s="4"/>
      <c r="Z129" s="4"/>
    </row>
    <row r="130" ht="15.75" customHeight="1">
      <c r="A130" s="1"/>
      <c r="B130" s="1"/>
      <c r="C130" s="1"/>
      <c r="D130" s="1"/>
      <c r="E130" s="1"/>
      <c r="F130" s="1"/>
      <c r="G130" s="1"/>
      <c r="H130" s="1"/>
      <c r="I130" s="1"/>
      <c r="J130" s="4"/>
      <c r="K130" s="4"/>
      <c r="L130" s="4"/>
      <c r="M130" s="4"/>
      <c r="N130" s="4"/>
      <c r="O130" s="4"/>
      <c r="P130" s="4"/>
      <c r="Q130" s="4"/>
      <c r="R130" s="4"/>
      <c r="S130" s="4"/>
      <c r="T130" s="4"/>
      <c r="U130" s="4"/>
      <c r="V130" s="4"/>
      <c r="W130" s="4"/>
      <c r="X130" s="4"/>
      <c r="Y130" s="4"/>
      <c r="Z130" s="4"/>
    </row>
    <row r="131" ht="15.75" customHeight="1">
      <c r="A131" s="1"/>
      <c r="B131" s="1"/>
      <c r="C131" s="1"/>
      <c r="D131" s="1"/>
      <c r="E131" s="1"/>
      <c r="F131" s="1"/>
      <c r="G131" s="1"/>
      <c r="H131" s="1"/>
      <c r="I131" s="1"/>
      <c r="J131" s="4"/>
      <c r="K131" s="4"/>
      <c r="L131" s="4"/>
      <c r="M131" s="4"/>
      <c r="N131" s="4"/>
      <c r="O131" s="4"/>
      <c r="P131" s="4"/>
      <c r="Q131" s="4"/>
      <c r="R131" s="4"/>
      <c r="S131" s="4"/>
      <c r="T131" s="4"/>
      <c r="U131" s="4"/>
      <c r="V131" s="4"/>
      <c r="W131" s="4"/>
      <c r="X131" s="4"/>
      <c r="Y131" s="4"/>
      <c r="Z131" s="4"/>
    </row>
    <row r="132" ht="15.75" customHeight="1">
      <c r="A132" s="1"/>
      <c r="B132" s="1"/>
      <c r="C132" s="1"/>
      <c r="D132" s="1"/>
      <c r="E132" s="1"/>
      <c r="F132" s="1"/>
      <c r="G132" s="1"/>
      <c r="H132" s="1"/>
      <c r="I132" s="1"/>
      <c r="J132" s="4"/>
      <c r="K132" s="4"/>
      <c r="L132" s="4"/>
      <c r="M132" s="4"/>
      <c r="N132" s="4"/>
      <c r="O132" s="4"/>
      <c r="P132" s="4"/>
      <c r="Q132" s="4"/>
      <c r="R132" s="4"/>
      <c r="S132" s="4"/>
      <c r="T132" s="4"/>
      <c r="U132" s="4"/>
      <c r="V132" s="4"/>
      <c r="W132" s="4"/>
      <c r="X132" s="4"/>
      <c r="Y132" s="4"/>
      <c r="Z132" s="4"/>
    </row>
    <row r="133" ht="15.75" customHeight="1">
      <c r="A133" s="1"/>
      <c r="B133" s="1"/>
      <c r="C133" s="1"/>
      <c r="D133" s="1"/>
      <c r="E133" s="1"/>
      <c r="F133" s="1"/>
      <c r="G133" s="1"/>
      <c r="H133" s="1"/>
      <c r="I133" s="1"/>
      <c r="J133" s="4"/>
      <c r="K133" s="4"/>
      <c r="L133" s="4"/>
      <c r="M133" s="4"/>
      <c r="N133" s="4"/>
      <c r="O133" s="4"/>
      <c r="P133" s="4"/>
      <c r="Q133" s="4"/>
      <c r="R133" s="4"/>
      <c r="S133" s="4"/>
      <c r="T133" s="4"/>
      <c r="U133" s="4"/>
      <c r="V133" s="4"/>
      <c r="W133" s="4"/>
      <c r="X133" s="4"/>
      <c r="Y133" s="4"/>
      <c r="Z133" s="4"/>
    </row>
    <row r="134" ht="15.75" customHeight="1">
      <c r="A134" s="1"/>
      <c r="B134" s="1"/>
      <c r="C134" s="1"/>
      <c r="D134" s="1"/>
      <c r="E134" s="1"/>
      <c r="F134" s="1"/>
      <c r="G134" s="1"/>
      <c r="H134" s="1"/>
      <c r="I134" s="1"/>
      <c r="J134" s="4"/>
      <c r="K134" s="4"/>
      <c r="L134" s="4"/>
      <c r="M134" s="4"/>
      <c r="N134" s="4"/>
      <c r="O134" s="4"/>
      <c r="P134" s="4"/>
      <c r="Q134" s="4"/>
      <c r="R134" s="4"/>
      <c r="S134" s="4"/>
      <c r="T134" s="4"/>
      <c r="U134" s="4"/>
      <c r="V134" s="4"/>
      <c r="W134" s="4"/>
      <c r="X134" s="4"/>
      <c r="Y134" s="4"/>
      <c r="Z134" s="4"/>
    </row>
    <row r="135" ht="15.75" customHeight="1">
      <c r="A135" s="1"/>
      <c r="B135" s="1"/>
      <c r="C135" s="1"/>
      <c r="D135" s="1"/>
      <c r="E135" s="1"/>
      <c r="F135" s="1"/>
      <c r="G135" s="1"/>
      <c r="H135" s="1"/>
      <c r="I135" s="1"/>
      <c r="J135" s="4"/>
      <c r="K135" s="4"/>
      <c r="L135" s="4"/>
      <c r="M135" s="4"/>
      <c r="N135" s="4"/>
      <c r="O135" s="4"/>
      <c r="P135" s="4"/>
      <c r="Q135" s="4"/>
      <c r="R135" s="4"/>
      <c r="S135" s="4"/>
      <c r="T135" s="4"/>
      <c r="U135" s="4"/>
      <c r="V135" s="4"/>
      <c r="W135" s="4"/>
      <c r="X135" s="4"/>
      <c r="Y135" s="4"/>
      <c r="Z135" s="4"/>
    </row>
    <row r="136" ht="15.75" customHeight="1">
      <c r="A136" s="1"/>
      <c r="B136" s="1"/>
      <c r="C136" s="1"/>
      <c r="D136" s="1"/>
      <c r="E136" s="1"/>
      <c r="F136" s="1"/>
      <c r="G136" s="1"/>
      <c r="H136" s="1"/>
      <c r="I136" s="1"/>
      <c r="J136" s="4"/>
      <c r="K136" s="4"/>
      <c r="L136" s="4"/>
      <c r="M136" s="4"/>
      <c r="N136" s="4"/>
      <c r="O136" s="4"/>
      <c r="P136" s="4"/>
      <c r="Q136" s="4"/>
      <c r="R136" s="4"/>
      <c r="S136" s="4"/>
      <c r="T136" s="4"/>
      <c r="U136" s="4"/>
      <c r="V136" s="4"/>
      <c r="W136" s="4"/>
      <c r="X136" s="4"/>
      <c r="Y136" s="4"/>
      <c r="Z136" s="4"/>
    </row>
    <row r="137" ht="15.75" customHeight="1">
      <c r="A137" s="1"/>
      <c r="B137" s="1"/>
      <c r="C137" s="1"/>
      <c r="D137" s="1"/>
      <c r="E137" s="1"/>
      <c r="F137" s="1"/>
      <c r="G137" s="1"/>
      <c r="H137" s="1"/>
      <c r="I137" s="1"/>
      <c r="J137" s="4"/>
      <c r="K137" s="4"/>
      <c r="L137" s="4"/>
      <c r="M137" s="4"/>
      <c r="N137" s="4"/>
      <c r="O137" s="4"/>
      <c r="P137" s="4"/>
      <c r="Q137" s="4"/>
      <c r="R137" s="4"/>
      <c r="S137" s="4"/>
      <c r="T137" s="4"/>
      <c r="U137" s="4"/>
      <c r="V137" s="4"/>
      <c r="W137" s="4"/>
      <c r="X137" s="4"/>
      <c r="Y137" s="4"/>
      <c r="Z137" s="4"/>
    </row>
    <row r="138" ht="15.75" customHeight="1">
      <c r="A138" s="1"/>
      <c r="B138" s="1"/>
      <c r="C138" s="1"/>
      <c r="D138" s="1"/>
      <c r="E138" s="1"/>
      <c r="F138" s="1"/>
      <c r="G138" s="1"/>
      <c r="H138" s="1"/>
      <c r="I138" s="1"/>
      <c r="J138" s="4"/>
      <c r="K138" s="4"/>
      <c r="L138" s="4"/>
      <c r="M138" s="4"/>
      <c r="N138" s="4"/>
      <c r="O138" s="4"/>
      <c r="P138" s="4"/>
      <c r="Q138" s="4"/>
      <c r="R138" s="4"/>
      <c r="S138" s="4"/>
      <c r="T138" s="4"/>
      <c r="U138" s="4"/>
      <c r="V138" s="4"/>
      <c r="W138" s="4"/>
      <c r="X138" s="4"/>
      <c r="Y138" s="4"/>
      <c r="Z138" s="4"/>
    </row>
    <row r="139" ht="15.75" customHeight="1">
      <c r="A139" s="1"/>
      <c r="B139" s="1"/>
      <c r="C139" s="1"/>
      <c r="D139" s="1"/>
      <c r="E139" s="1"/>
      <c r="F139" s="1"/>
      <c r="G139" s="1"/>
      <c r="H139" s="1"/>
      <c r="I139" s="1"/>
      <c r="J139" s="4"/>
      <c r="K139" s="4"/>
      <c r="L139" s="4"/>
      <c r="M139" s="4"/>
      <c r="N139" s="4"/>
      <c r="O139" s="4"/>
      <c r="P139" s="4"/>
      <c r="Q139" s="4"/>
      <c r="R139" s="4"/>
      <c r="S139" s="4"/>
      <c r="T139" s="4"/>
      <c r="U139" s="4"/>
      <c r="V139" s="4"/>
      <c r="W139" s="4"/>
      <c r="X139" s="4"/>
      <c r="Y139" s="4"/>
      <c r="Z139" s="4"/>
    </row>
    <row r="140" ht="15.75" customHeight="1">
      <c r="A140" s="1"/>
      <c r="B140" s="1"/>
      <c r="C140" s="1"/>
      <c r="D140" s="1"/>
      <c r="E140" s="1"/>
      <c r="F140" s="1"/>
      <c r="G140" s="1"/>
      <c r="H140" s="1"/>
      <c r="I140" s="1"/>
      <c r="J140" s="4"/>
      <c r="K140" s="4"/>
      <c r="L140" s="4"/>
      <c r="M140" s="4"/>
      <c r="N140" s="4"/>
      <c r="O140" s="4"/>
      <c r="P140" s="4"/>
      <c r="Q140" s="4"/>
      <c r="R140" s="4"/>
      <c r="S140" s="4"/>
      <c r="T140" s="4"/>
      <c r="U140" s="4"/>
      <c r="V140" s="4"/>
      <c r="W140" s="4"/>
      <c r="X140" s="4"/>
      <c r="Y140" s="4"/>
      <c r="Z140" s="4"/>
    </row>
    <row r="141" ht="15.75" customHeight="1">
      <c r="A141" s="1"/>
      <c r="B141" s="1"/>
      <c r="C141" s="1"/>
      <c r="D141" s="1"/>
      <c r="E141" s="1"/>
      <c r="F141" s="1"/>
      <c r="G141" s="1"/>
      <c r="H141" s="1"/>
      <c r="I141" s="1"/>
      <c r="J141" s="4"/>
      <c r="K141" s="4"/>
      <c r="L141" s="4"/>
      <c r="M141" s="4"/>
      <c r="N141" s="4"/>
      <c r="O141" s="4"/>
      <c r="P141" s="4"/>
      <c r="Q141" s="4"/>
      <c r="R141" s="4"/>
      <c r="S141" s="4"/>
      <c r="T141" s="4"/>
      <c r="U141" s="4"/>
      <c r="V141" s="4"/>
      <c r="W141" s="4"/>
      <c r="X141" s="4"/>
      <c r="Y141" s="4"/>
      <c r="Z141" s="4"/>
    </row>
    <row r="142" ht="15.75" customHeight="1">
      <c r="A142" s="1"/>
      <c r="B142" s="1"/>
      <c r="C142" s="1"/>
      <c r="D142" s="1"/>
      <c r="E142" s="1"/>
      <c r="F142" s="1"/>
      <c r="G142" s="1"/>
      <c r="H142" s="1"/>
      <c r="I142" s="1"/>
      <c r="J142" s="4"/>
      <c r="K142" s="4"/>
      <c r="L142" s="4"/>
      <c r="M142" s="4"/>
      <c r="N142" s="4"/>
      <c r="O142" s="4"/>
      <c r="P142" s="4"/>
      <c r="Q142" s="4"/>
      <c r="R142" s="4"/>
      <c r="S142" s="4"/>
      <c r="T142" s="4"/>
      <c r="U142" s="4"/>
      <c r="V142" s="4"/>
      <c r="W142" s="4"/>
      <c r="X142" s="4"/>
      <c r="Y142" s="4"/>
      <c r="Z142" s="4"/>
    </row>
    <row r="143" ht="15.75" customHeight="1">
      <c r="A143" s="1"/>
      <c r="B143" s="1"/>
      <c r="C143" s="1"/>
      <c r="D143" s="1"/>
      <c r="E143" s="1"/>
      <c r="F143" s="1"/>
      <c r="G143" s="1"/>
      <c r="H143" s="1"/>
      <c r="I143" s="1"/>
      <c r="J143" s="4"/>
      <c r="K143" s="4"/>
      <c r="L143" s="4"/>
      <c r="M143" s="4"/>
      <c r="N143" s="4"/>
      <c r="O143" s="4"/>
      <c r="P143" s="4"/>
      <c r="Q143" s="4"/>
      <c r="R143" s="4"/>
      <c r="S143" s="4"/>
      <c r="T143" s="4"/>
      <c r="U143" s="4"/>
      <c r="V143" s="4"/>
      <c r="W143" s="4"/>
      <c r="X143" s="4"/>
      <c r="Y143" s="4"/>
      <c r="Z143" s="4"/>
    </row>
    <row r="144" ht="15.75" customHeight="1">
      <c r="A144" s="1"/>
      <c r="B144" s="1"/>
      <c r="C144" s="1"/>
      <c r="D144" s="1"/>
      <c r="E144" s="1"/>
      <c r="F144" s="1"/>
      <c r="G144" s="1"/>
      <c r="H144" s="1"/>
      <c r="I144" s="1"/>
      <c r="J144" s="4"/>
      <c r="K144" s="4"/>
      <c r="L144" s="4"/>
      <c r="M144" s="4"/>
      <c r="N144" s="4"/>
      <c r="O144" s="4"/>
      <c r="P144" s="4"/>
      <c r="Q144" s="4"/>
      <c r="R144" s="4"/>
      <c r="S144" s="4"/>
      <c r="T144" s="4"/>
      <c r="U144" s="4"/>
      <c r="V144" s="4"/>
      <c r="W144" s="4"/>
      <c r="X144" s="4"/>
      <c r="Y144" s="4"/>
      <c r="Z144" s="4"/>
    </row>
    <row r="145" ht="15.75" customHeight="1">
      <c r="A145" s="1"/>
      <c r="B145" s="1"/>
      <c r="C145" s="1"/>
      <c r="D145" s="1"/>
      <c r="E145" s="1"/>
      <c r="F145" s="1"/>
      <c r="G145" s="1"/>
      <c r="H145" s="1"/>
      <c r="I145" s="1"/>
      <c r="J145" s="4"/>
      <c r="K145" s="4"/>
      <c r="L145" s="4"/>
      <c r="M145" s="4"/>
      <c r="N145" s="4"/>
      <c r="O145" s="4"/>
      <c r="P145" s="4"/>
      <c r="Q145" s="4"/>
      <c r="R145" s="4"/>
      <c r="S145" s="4"/>
      <c r="T145" s="4"/>
      <c r="U145" s="4"/>
      <c r="V145" s="4"/>
      <c r="W145" s="4"/>
      <c r="X145" s="4"/>
      <c r="Y145" s="4"/>
      <c r="Z145" s="4"/>
    </row>
    <row r="146" ht="15.75" customHeight="1">
      <c r="A146" s="1"/>
      <c r="B146" s="1"/>
      <c r="C146" s="1"/>
      <c r="D146" s="1"/>
      <c r="E146" s="1"/>
      <c r="F146" s="1"/>
      <c r="G146" s="1"/>
      <c r="H146" s="1"/>
      <c r="I146" s="1"/>
      <c r="J146" s="4"/>
      <c r="K146" s="4"/>
      <c r="L146" s="4"/>
      <c r="M146" s="4"/>
      <c r="N146" s="4"/>
      <c r="O146" s="4"/>
      <c r="P146" s="4"/>
      <c r="Q146" s="4"/>
      <c r="R146" s="4"/>
      <c r="S146" s="4"/>
      <c r="T146" s="4"/>
      <c r="U146" s="4"/>
      <c r="V146" s="4"/>
      <c r="W146" s="4"/>
      <c r="X146" s="4"/>
      <c r="Y146" s="4"/>
      <c r="Z146" s="4"/>
    </row>
    <row r="147" ht="15.75" customHeight="1">
      <c r="A147" s="1"/>
      <c r="B147" s="1"/>
      <c r="C147" s="1"/>
      <c r="D147" s="1"/>
      <c r="E147" s="1"/>
      <c r="F147" s="1"/>
      <c r="G147" s="1"/>
      <c r="H147" s="1"/>
      <c r="I147" s="1"/>
      <c r="J147" s="4"/>
      <c r="K147" s="4"/>
      <c r="L147" s="4"/>
      <c r="M147" s="4"/>
      <c r="N147" s="4"/>
      <c r="O147" s="4"/>
      <c r="P147" s="4"/>
      <c r="Q147" s="4"/>
      <c r="R147" s="4"/>
      <c r="S147" s="4"/>
      <c r="T147" s="4"/>
      <c r="U147" s="4"/>
      <c r="V147" s="4"/>
      <c r="W147" s="4"/>
      <c r="X147" s="4"/>
      <c r="Y147" s="4"/>
      <c r="Z147" s="4"/>
    </row>
    <row r="148" ht="15.75" customHeight="1">
      <c r="A148" s="1"/>
      <c r="B148" s="1"/>
      <c r="C148" s="1"/>
      <c r="D148" s="1"/>
      <c r="E148" s="1"/>
      <c r="F148" s="1"/>
      <c r="G148" s="1"/>
      <c r="H148" s="1"/>
      <c r="I148" s="1"/>
      <c r="J148" s="4"/>
      <c r="K148" s="4"/>
      <c r="L148" s="4"/>
      <c r="M148" s="4"/>
      <c r="N148" s="4"/>
      <c r="O148" s="4"/>
      <c r="P148" s="4"/>
      <c r="Q148" s="4"/>
      <c r="R148" s="4"/>
      <c r="S148" s="4"/>
      <c r="T148" s="4"/>
      <c r="U148" s="4"/>
      <c r="V148" s="4"/>
      <c r="W148" s="4"/>
      <c r="X148" s="4"/>
      <c r="Y148" s="4"/>
      <c r="Z148" s="4"/>
    </row>
    <row r="149" ht="15.75" customHeight="1">
      <c r="A149" s="1"/>
      <c r="B149" s="1"/>
      <c r="C149" s="1"/>
      <c r="D149" s="1"/>
      <c r="E149" s="1"/>
      <c r="F149" s="1"/>
      <c r="G149" s="1"/>
      <c r="H149" s="1"/>
      <c r="I149" s="1"/>
      <c r="J149" s="4"/>
      <c r="K149" s="4"/>
      <c r="L149" s="4"/>
      <c r="M149" s="4"/>
      <c r="N149" s="4"/>
      <c r="O149" s="4"/>
      <c r="P149" s="4"/>
      <c r="Q149" s="4"/>
      <c r="R149" s="4"/>
      <c r="S149" s="4"/>
      <c r="T149" s="4"/>
      <c r="U149" s="4"/>
      <c r="V149" s="4"/>
      <c r="W149" s="4"/>
      <c r="X149" s="4"/>
      <c r="Y149" s="4"/>
      <c r="Z149" s="4"/>
    </row>
    <row r="150" ht="15.75" customHeight="1">
      <c r="A150" s="1"/>
      <c r="B150" s="1"/>
      <c r="C150" s="1"/>
      <c r="D150" s="1"/>
      <c r="E150" s="1"/>
      <c r="F150" s="1"/>
      <c r="G150" s="1"/>
      <c r="H150" s="1"/>
      <c r="I150" s="1"/>
      <c r="J150" s="4"/>
      <c r="K150" s="4"/>
      <c r="L150" s="4"/>
      <c r="M150" s="4"/>
      <c r="N150" s="4"/>
      <c r="O150" s="4"/>
      <c r="P150" s="4"/>
      <c r="Q150" s="4"/>
      <c r="R150" s="4"/>
      <c r="S150" s="4"/>
      <c r="T150" s="4"/>
      <c r="U150" s="4"/>
      <c r="V150" s="4"/>
      <c r="W150" s="4"/>
      <c r="X150" s="4"/>
      <c r="Y150" s="4"/>
      <c r="Z150" s="4"/>
    </row>
    <row r="151" ht="15.75" customHeight="1">
      <c r="A151" s="1"/>
      <c r="B151" s="1"/>
      <c r="C151" s="1"/>
      <c r="D151" s="1"/>
      <c r="E151" s="1"/>
      <c r="F151" s="1"/>
      <c r="G151" s="1"/>
      <c r="H151" s="1"/>
      <c r="I151" s="1"/>
      <c r="J151" s="4"/>
      <c r="K151" s="4"/>
      <c r="L151" s="4"/>
      <c r="M151" s="4"/>
      <c r="N151" s="4"/>
      <c r="O151" s="4"/>
      <c r="P151" s="4"/>
      <c r="Q151" s="4"/>
      <c r="R151" s="4"/>
      <c r="S151" s="4"/>
      <c r="T151" s="4"/>
      <c r="U151" s="4"/>
      <c r="V151" s="4"/>
      <c r="W151" s="4"/>
      <c r="X151" s="4"/>
      <c r="Y151" s="4"/>
      <c r="Z151" s="4"/>
    </row>
    <row r="152" ht="15.75" customHeight="1">
      <c r="A152" s="1"/>
      <c r="B152" s="1"/>
      <c r="C152" s="1"/>
      <c r="D152" s="1"/>
      <c r="E152" s="1"/>
      <c r="F152" s="1"/>
      <c r="G152" s="1"/>
      <c r="H152" s="1"/>
      <c r="I152" s="1"/>
      <c r="J152" s="4"/>
      <c r="K152" s="4"/>
      <c r="L152" s="4"/>
      <c r="M152" s="4"/>
      <c r="N152" s="4"/>
      <c r="O152" s="4"/>
      <c r="P152" s="4"/>
      <c r="Q152" s="4"/>
      <c r="R152" s="4"/>
      <c r="S152" s="4"/>
      <c r="T152" s="4"/>
      <c r="U152" s="4"/>
      <c r="V152" s="4"/>
      <c r="W152" s="4"/>
      <c r="X152" s="4"/>
      <c r="Y152" s="4"/>
      <c r="Z152" s="4"/>
    </row>
    <row r="153" ht="15.75" customHeight="1">
      <c r="A153" s="1"/>
      <c r="B153" s="1"/>
      <c r="C153" s="1"/>
      <c r="D153" s="1"/>
      <c r="E153" s="1"/>
      <c r="F153" s="1"/>
      <c r="G153" s="1"/>
      <c r="H153" s="1"/>
      <c r="I153" s="1"/>
      <c r="J153" s="4"/>
      <c r="K153" s="4"/>
      <c r="L153" s="4"/>
      <c r="M153" s="4"/>
      <c r="N153" s="4"/>
      <c r="O153" s="4"/>
      <c r="P153" s="4"/>
      <c r="Q153" s="4"/>
      <c r="R153" s="4"/>
      <c r="S153" s="4"/>
      <c r="T153" s="4"/>
      <c r="U153" s="4"/>
      <c r="V153" s="4"/>
      <c r="W153" s="4"/>
      <c r="X153" s="4"/>
      <c r="Y153" s="4"/>
      <c r="Z153" s="4"/>
    </row>
    <row r="154" ht="15.75" customHeight="1">
      <c r="A154" s="1"/>
      <c r="B154" s="1"/>
      <c r="C154" s="1"/>
      <c r="D154" s="1"/>
      <c r="E154" s="1"/>
      <c r="F154" s="1"/>
      <c r="G154" s="1"/>
      <c r="H154" s="1"/>
      <c r="I154" s="1"/>
      <c r="J154" s="4"/>
      <c r="K154" s="4"/>
      <c r="L154" s="4"/>
      <c r="M154" s="4"/>
      <c r="N154" s="4"/>
      <c r="O154" s="4"/>
      <c r="P154" s="4"/>
      <c r="Q154" s="4"/>
      <c r="R154" s="4"/>
      <c r="S154" s="4"/>
      <c r="T154" s="4"/>
      <c r="U154" s="4"/>
      <c r="V154" s="4"/>
      <c r="W154" s="4"/>
      <c r="X154" s="4"/>
      <c r="Y154" s="4"/>
      <c r="Z154" s="4"/>
    </row>
    <row r="155" ht="15.75" customHeight="1">
      <c r="A155" s="1"/>
      <c r="B155" s="1"/>
      <c r="C155" s="1"/>
      <c r="D155" s="1"/>
      <c r="E155" s="1"/>
      <c r="F155" s="1"/>
      <c r="G155" s="1"/>
      <c r="H155" s="1"/>
      <c r="I155" s="1"/>
      <c r="J155" s="4"/>
      <c r="K155" s="4"/>
      <c r="L155" s="4"/>
      <c r="M155" s="4"/>
      <c r="N155" s="4"/>
      <c r="O155" s="4"/>
      <c r="P155" s="4"/>
      <c r="Q155" s="4"/>
      <c r="R155" s="4"/>
      <c r="S155" s="4"/>
      <c r="T155" s="4"/>
      <c r="U155" s="4"/>
      <c r="V155" s="4"/>
      <c r="W155" s="4"/>
      <c r="X155" s="4"/>
      <c r="Y155" s="4"/>
      <c r="Z155" s="4"/>
    </row>
    <row r="156" ht="15.75" customHeight="1">
      <c r="A156" s="1"/>
      <c r="B156" s="1"/>
      <c r="C156" s="1"/>
      <c r="D156" s="1"/>
      <c r="E156" s="1"/>
      <c r="F156" s="1"/>
      <c r="G156" s="1"/>
      <c r="H156" s="1"/>
      <c r="I156" s="1"/>
      <c r="J156" s="4"/>
      <c r="K156" s="4"/>
      <c r="L156" s="4"/>
      <c r="M156" s="4"/>
      <c r="N156" s="4"/>
      <c r="O156" s="4"/>
      <c r="P156" s="4"/>
      <c r="Q156" s="4"/>
      <c r="R156" s="4"/>
      <c r="S156" s="4"/>
      <c r="T156" s="4"/>
      <c r="U156" s="4"/>
      <c r="V156" s="4"/>
      <c r="W156" s="4"/>
      <c r="X156" s="4"/>
      <c r="Y156" s="4"/>
      <c r="Z156" s="4"/>
    </row>
    <row r="157" ht="15.75" customHeight="1">
      <c r="A157" s="1"/>
      <c r="B157" s="1"/>
      <c r="C157" s="1"/>
      <c r="D157" s="1"/>
      <c r="E157" s="1"/>
      <c r="F157" s="1"/>
      <c r="G157" s="1"/>
      <c r="H157" s="1"/>
      <c r="I157" s="1"/>
      <c r="J157" s="4"/>
      <c r="K157" s="4"/>
      <c r="L157" s="4"/>
      <c r="M157" s="4"/>
      <c r="N157" s="4"/>
      <c r="O157" s="4"/>
      <c r="P157" s="4"/>
      <c r="Q157" s="4"/>
      <c r="R157" s="4"/>
      <c r="S157" s="4"/>
      <c r="T157" s="4"/>
      <c r="U157" s="4"/>
      <c r="V157" s="4"/>
      <c r="W157" s="4"/>
      <c r="X157" s="4"/>
      <c r="Y157" s="4"/>
      <c r="Z157" s="4"/>
    </row>
    <row r="158" ht="15.75" customHeight="1">
      <c r="A158" s="1"/>
      <c r="B158" s="1"/>
      <c r="C158" s="1"/>
      <c r="D158" s="1"/>
      <c r="E158" s="1"/>
      <c r="F158" s="1"/>
      <c r="G158" s="1"/>
      <c r="H158" s="1"/>
      <c r="I158" s="1"/>
      <c r="J158" s="4"/>
      <c r="K158" s="4"/>
      <c r="L158" s="4"/>
      <c r="M158" s="4"/>
      <c r="N158" s="4"/>
      <c r="O158" s="4"/>
      <c r="P158" s="4"/>
      <c r="Q158" s="4"/>
      <c r="R158" s="4"/>
      <c r="S158" s="4"/>
      <c r="T158" s="4"/>
      <c r="U158" s="4"/>
      <c r="V158" s="4"/>
      <c r="W158" s="4"/>
      <c r="X158" s="4"/>
      <c r="Y158" s="4"/>
      <c r="Z158" s="4"/>
    </row>
    <row r="159" ht="15.75" customHeight="1">
      <c r="A159" s="1"/>
      <c r="B159" s="1"/>
      <c r="C159" s="1"/>
      <c r="D159" s="1"/>
      <c r="E159" s="1"/>
      <c r="F159" s="1"/>
      <c r="G159" s="1"/>
      <c r="H159" s="1"/>
      <c r="I159" s="1"/>
      <c r="J159" s="4"/>
      <c r="K159" s="4"/>
      <c r="L159" s="4"/>
      <c r="M159" s="4"/>
      <c r="N159" s="4"/>
      <c r="O159" s="4"/>
      <c r="P159" s="4"/>
      <c r="Q159" s="4"/>
      <c r="R159" s="4"/>
      <c r="S159" s="4"/>
      <c r="T159" s="4"/>
      <c r="U159" s="4"/>
      <c r="V159" s="4"/>
      <c r="W159" s="4"/>
      <c r="X159" s="4"/>
      <c r="Y159" s="4"/>
      <c r="Z159" s="4"/>
    </row>
    <row r="160" ht="15.75" customHeight="1">
      <c r="A160" s="1"/>
      <c r="B160" s="1"/>
      <c r="C160" s="1"/>
      <c r="D160" s="1"/>
      <c r="E160" s="1"/>
      <c r="F160" s="1"/>
      <c r="G160" s="1"/>
      <c r="H160" s="1"/>
      <c r="I160" s="1"/>
      <c r="J160" s="4"/>
      <c r="K160" s="4"/>
      <c r="L160" s="4"/>
      <c r="M160" s="4"/>
      <c r="N160" s="4"/>
      <c r="O160" s="4"/>
      <c r="P160" s="4"/>
      <c r="Q160" s="4"/>
      <c r="R160" s="4"/>
      <c r="S160" s="4"/>
      <c r="T160" s="4"/>
      <c r="U160" s="4"/>
      <c r="V160" s="4"/>
      <c r="W160" s="4"/>
      <c r="X160" s="4"/>
      <c r="Y160" s="4"/>
      <c r="Z160" s="4"/>
    </row>
    <row r="161" ht="15.75" customHeight="1">
      <c r="A161" s="1"/>
      <c r="B161" s="1"/>
      <c r="C161" s="1"/>
      <c r="D161" s="1"/>
      <c r="E161" s="1"/>
      <c r="F161" s="1"/>
      <c r="G161" s="1"/>
      <c r="H161" s="1"/>
      <c r="I161" s="1"/>
      <c r="J161" s="4"/>
      <c r="K161" s="4"/>
      <c r="L161" s="4"/>
      <c r="M161" s="4"/>
      <c r="N161" s="4"/>
      <c r="O161" s="4"/>
      <c r="P161" s="4"/>
      <c r="Q161" s="4"/>
      <c r="R161" s="4"/>
      <c r="S161" s="4"/>
      <c r="T161" s="4"/>
      <c r="U161" s="4"/>
      <c r="V161" s="4"/>
      <c r="W161" s="4"/>
      <c r="X161" s="4"/>
      <c r="Y161" s="4"/>
      <c r="Z161" s="4"/>
    </row>
    <row r="162" ht="15.75" customHeight="1">
      <c r="A162" s="1"/>
      <c r="B162" s="1"/>
      <c r="C162" s="1"/>
      <c r="D162" s="1"/>
      <c r="E162" s="1"/>
      <c r="F162" s="1"/>
      <c r="G162" s="1"/>
      <c r="H162" s="1"/>
      <c r="I162" s="1"/>
      <c r="J162" s="4"/>
      <c r="K162" s="4"/>
      <c r="L162" s="4"/>
      <c r="M162" s="4"/>
      <c r="N162" s="4"/>
      <c r="O162" s="4"/>
      <c r="P162" s="4"/>
      <c r="Q162" s="4"/>
      <c r="R162" s="4"/>
      <c r="S162" s="4"/>
      <c r="T162" s="4"/>
      <c r="U162" s="4"/>
      <c r="V162" s="4"/>
      <c r="W162" s="4"/>
      <c r="X162" s="4"/>
      <c r="Y162" s="4"/>
      <c r="Z162" s="4"/>
    </row>
    <row r="163" ht="15.75" customHeight="1">
      <c r="A163" s="1"/>
      <c r="B163" s="1"/>
      <c r="C163" s="1"/>
      <c r="D163" s="1"/>
      <c r="E163" s="1"/>
      <c r="F163" s="1"/>
      <c r="G163" s="1"/>
      <c r="H163" s="1"/>
      <c r="I163" s="1"/>
      <c r="J163" s="4"/>
      <c r="K163" s="4"/>
      <c r="L163" s="4"/>
      <c r="M163" s="4"/>
      <c r="N163" s="4"/>
      <c r="O163" s="4"/>
      <c r="P163" s="4"/>
      <c r="Q163" s="4"/>
      <c r="R163" s="4"/>
      <c r="S163" s="4"/>
      <c r="T163" s="4"/>
      <c r="U163" s="4"/>
      <c r="V163" s="4"/>
      <c r="W163" s="4"/>
      <c r="X163" s="4"/>
      <c r="Y163" s="4"/>
      <c r="Z163" s="4"/>
    </row>
    <row r="164" ht="15.75" customHeight="1">
      <c r="A164" s="1"/>
      <c r="B164" s="1"/>
      <c r="C164" s="1"/>
      <c r="D164" s="1"/>
      <c r="E164" s="1"/>
      <c r="F164" s="1"/>
      <c r="G164" s="1"/>
      <c r="H164" s="1"/>
      <c r="I164" s="1"/>
      <c r="J164" s="4"/>
      <c r="K164" s="4"/>
      <c r="L164" s="4"/>
      <c r="M164" s="4"/>
      <c r="N164" s="4"/>
      <c r="O164" s="4"/>
      <c r="P164" s="4"/>
      <c r="Q164" s="4"/>
      <c r="R164" s="4"/>
      <c r="S164" s="4"/>
      <c r="T164" s="4"/>
      <c r="U164" s="4"/>
      <c r="V164" s="4"/>
      <c r="W164" s="4"/>
      <c r="X164" s="4"/>
      <c r="Y164" s="4"/>
      <c r="Z164" s="4"/>
    </row>
    <row r="165" ht="15.75" customHeight="1">
      <c r="A165" s="1"/>
      <c r="B165" s="1"/>
      <c r="C165" s="1"/>
      <c r="D165" s="1"/>
      <c r="E165" s="1"/>
      <c r="F165" s="1"/>
      <c r="G165" s="1"/>
      <c r="H165" s="1"/>
      <c r="I165" s="1"/>
      <c r="J165" s="4"/>
      <c r="K165" s="4"/>
      <c r="L165" s="4"/>
      <c r="M165" s="4"/>
      <c r="N165" s="4"/>
      <c r="O165" s="4"/>
      <c r="P165" s="4"/>
      <c r="Q165" s="4"/>
      <c r="R165" s="4"/>
      <c r="S165" s="4"/>
      <c r="T165" s="4"/>
      <c r="U165" s="4"/>
      <c r="V165" s="4"/>
      <c r="W165" s="4"/>
      <c r="X165" s="4"/>
      <c r="Y165" s="4"/>
      <c r="Z165" s="4"/>
    </row>
    <row r="166" ht="15.75" customHeight="1">
      <c r="A166" s="1"/>
      <c r="B166" s="1"/>
      <c r="C166" s="1"/>
      <c r="D166" s="1"/>
      <c r="E166" s="1"/>
      <c r="F166" s="1"/>
      <c r="G166" s="1"/>
      <c r="H166" s="1"/>
      <c r="I166" s="1"/>
      <c r="J166" s="4"/>
      <c r="K166" s="4"/>
      <c r="L166" s="4"/>
      <c r="M166" s="4"/>
      <c r="N166" s="4"/>
      <c r="O166" s="4"/>
      <c r="P166" s="4"/>
      <c r="Q166" s="4"/>
      <c r="R166" s="4"/>
      <c r="S166" s="4"/>
      <c r="T166" s="4"/>
      <c r="U166" s="4"/>
      <c r="V166" s="4"/>
      <c r="W166" s="4"/>
      <c r="X166" s="4"/>
      <c r="Y166" s="4"/>
      <c r="Z166" s="4"/>
    </row>
    <row r="167" ht="15.75" customHeight="1">
      <c r="A167" s="1"/>
      <c r="B167" s="1"/>
      <c r="C167" s="1"/>
      <c r="D167" s="1"/>
      <c r="E167" s="1"/>
      <c r="F167" s="1"/>
      <c r="G167" s="1"/>
      <c r="H167" s="1"/>
      <c r="I167" s="1"/>
      <c r="J167" s="4"/>
      <c r="K167" s="4"/>
      <c r="L167" s="4"/>
      <c r="M167" s="4"/>
      <c r="N167" s="4"/>
      <c r="O167" s="4"/>
      <c r="P167" s="4"/>
      <c r="Q167" s="4"/>
      <c r="R167" s="4"/>
      <c r="S167" s="4"/>
      <c r="T167" s="4"/>
      <c r="U167" s="4"/>
      <c r="V167" s="4"/>
      <c r="W167" s="4"/>
      <c r="X167" s="4"/>
      <c r="Y167" s="4"/>
      <c r="Z167" s="4"/>
    </row>
    <row r="168" ht="15.75" customHeight="1">
      <c r="A168" s="1"/>
      <c r="B168" s="1"/>
      <c r="C168" s="1"/>
      <c r="D168" s="1"/>
      <c r="E168" s="1"/>
      <c r="F168" s="1"/>
      <c r="G168" s="1"/>
      <c r="H168" s="1"/>
      <c r="I168" s="1"/>
      <c r="J168" s="4"/>
      <c r="K168" s="4"/>
      <c r="L168" s="4"/>
      <c r="M168" s="4"/>
      <c r="N168" s="4"/>
      <c r="O168" s="4"/>
      <c r="P168" s="4"/>
      <c r="Q168" s="4"/>
      <c r="R168" s="4"/>
      <c r="S168" s="4"/>
      <c r="T168" s="4"/>
      <c r="U168" s="4"/>
      <c r="V168" s="4"/>
      <c r="W168" s="4"/>
      <c r="X168" s="4"/>
      <c r="Y168" s="4"/>
      <c r="Z168" s="4"/>
    </row>
    <row r="169" ht="15.75" customHeight="1">
      <c r="A169" s="1"/>
      <c r="B169" s="1"/>
      <c r="C169" s="1"/>
      <c r="D169" s="1"/>
      <c r="E169" s="1"/>
      <c r="F169" s="1"/>
      <c r="G169" s="1"/>
      <c r="H169" s="1"/>
      <c r="I169" s="1"/>
      <c r="J169" s="4"/>
      <c r="K169" s="4"/>
      <c r="L169" s="4"/>
      <c r="M169" s="4"/>
      <c r="N169" s="4"/>
      <c r="O169" s="4"/>
      <c r="P169" s="4"/>
      <c r="Q169" s="4"/>
      <c r="R169" s="4"/>
      <c r="S169" s="4"/>
      <c r="T169" s="4"/>
      <c r="U169" s="4"/>
      <c r="V169" s="4"/>
      <c r="W169" s="4"/>
      <c r="X169" s="4"/>
      <c r="Y169" s="4"/>
      <c r="Z169" s="4"/>
    </row>
    <row r="170" ht="15.75" customHeight="1">
      <c r="A170" s="1"/>
      <c r="B170" s="1"/>
      <c r="C170" s="1"/>
      <c r="D170" s="1"/>
      <c r="E170" s="1"/>
      <c r="F170" s="1"/>
      <c r="G170" s="1"/>
      <c r="H170" s="1"/>
      <c r="I170" s="1"/>
      <c r="J170" s="4"/>
      <c r="K170" s="4"/>
      <c r="L170" s="4"/>
      <c r="M170" s="4"/>
      <c r="N170" s="4"/>
      <c r="O170" s="4"/>
      <c r="P170" s="4"/>
      <c r="Q170" s="4"/>
      <c r="R170" s="4"/>
      <c r="S170" s="4"/>
      <c r="T170" s="4"/>
      <c r="U170" s="4"/>
      <c r="V170" s="4"/>
      <c r="W170" s="4"/>
      <c r="X170" s="4"/>
      <c r="Y170" s="4"/>
      <c r="Z170" s="4"/>
    </row>
    <row r="171" ht="15.75" customHeight="1">
      <c r="A171" s="1"/>
      <c r="B171" s="1"/>
      <c r="C171" s="1"/>
      <c r="D171" s="1"/>
      <c r="E171" s="1"/>
      <c r="F171" s="1"/>
      <c r="G171" s="1"/>
      <c r="H171" s="1"/>
      <c r="I171" s="1"/>
      <c r="J171" s="4"/>
      <c r="K171" s="4"/>
      <c r="L171" s="4"/>
      <c r="M171" s="4"/>
      <c r="N171" s="4"/>
      <c r="O171" s="4"/>
      <c r="P171" s="4"/>
      <c r="Q171" s="4"/>
      <c r="R171" s="4"/>
      <c r="S171" s="4"/>
      <c r="T171" s="4"/>
      <c r="U171" s="4"/>
      <c r="V171" s="4"/>
      <c r="W171" s="4"/>
      <c r="X171" s="4"/>
      <c r="Y171" s="4"/>
      <c r="Z171" s="4"/>
    </row>
    <row r="172" ht="15.75" customHeight="1">
      <c r="A172" s="1"/>
      <c r="B172" s="1"/>
      <c r="C172" s="1"/>
      <c r="D172" s="1"/>
      <c r="E172" s="1"/>
      <c r="F172" s="1"/>
      <c r="G172" s="1"/>
      <c r="H172" s="1"/>
      <c r="I172" s="1"/>
      <c r="J172" s="4"/>
      <c r="K172" s="4"/>
      <c r="L172" s="4"/>
      <c r="M172" s="4"/>
      <c r="N172" s="4"/>
      <c r="O172" s="4"/>
      <c r="P172" s="4"/>
      <c r="Q172" s="4"/>
      <c r="R172" s="4"/>
      <c r="S172" s="4"/>
      <c r="T172" s="4"/>
      <c r="U172" s="4"/>
      <c r="V172" s="4"/>
      <c r="W172" s="4"/>
      <c r="X172" s="4"/>
      <c r="Y172" s="4"/>
      <c r="Z172" s="4"/>
    </row>
    <row r="173" ht="15.75" customHeight="1">
      <c r="A173" s="1"/>
      <c r="B173" s="1"/>
      <c r="C173" s="1"/>
      <c r="D173" s="1"/>
      <c r="E173" s="1"/>
      <c r="F173" s="1"/>
      <c r="G173" s="1"/>
      <c r="H173" s="1"/>
      <c r="I173" s="1"/>
      <c r="J173" s="4"/>
      <c r="K173" s="4"/>
      <c r="L173" s="4"/>
      <c r="M173" s="4"/>
      <c r="N173" s="4"/>
      <c r="O173" s="4"/>
      <c r="P173" s="4"/>
      <c r="Q173" s="4"/>
      <c r="R173" s="4"/>
      <c r="S173" s="4"/>
      <c r="T173" s="4"/>
      <c r="U173" s="4"/>
      <c r="V173" s="4"/>
      <c r="W173" s="4"/>
      <c r="X173" s="4"/>
      <c r="Y173" s="4"/>
      <c r="Z173" s="4"/>
    </row>
    <row r="174" ht="15.75" customHeight="1">
      <c r="A174" s="1"/>
      <c r="B174" s="1"/>
      <c r="C174" s="1"/>
      <c r="D174" s="1"/>
      <c r="E174" s="1"/>
      <c r="F174" s="1"/>
      <c r="G174" s="1"/>
      <c r="H174" s="1"/>
      <c r="I174" s="1"/>
      <c r="J174" s="4"/>
      <c r="K174" s="4"/>
      <c r="L174" s="4"/>
      <c r="M174" s="4"/>
      <c r="N174" s="4"/>
      <c r="O174" s="4"/>
      <c r="P174" s="4"/>
      <c r="Q174" s="4"/>
      <c r="R174" s="4"/>
      <c r="S174" s="4"/>
      <c r="T174" s="4"/>
      <c r="U174" s="4"/>
      <c r="V174" s="4"/>
      <c r="W174" s="4"/>
      <c r="X174" s="4"/>
      <c r="Y174" s="4"/>
      <c r="Z174" s="4"/>
    </row>
    <row r="175" ht="15.75" customHeight="1">
      <c r="A175" s="1"/>
      <c r="B175" s="1"/>
      <c r="C175" s="1"/>
      <c r="D175" s="1"/>
      <c r="E175" s="1"/>
      <c r="F175" s="1"/>
      <c r="G175" s="1"/>
      <c r="H175" s="1"/>
      <c r="I175" s="1"/>
      <c r="J175" s="4"/>
      <c r="K175" s="4"/>
      <c r="L175" s="4"/>
      <c r="M175" s="4"/>
      <c r="N175" s="4"/>
      <c r="O175" s="4"/>
      <c r="P175" s="4"/>
      <c r="Q175" s="4"/>
      <c r="R175" s="4"/>
      <c r="S175" s="4"/>
      <c r="T175" s="4"/>
      <c r="U175" s="4"/>
      <c r="V175" s="4"/>
      <c r="W175" s="4"/>
      <c r="X175" s="4"/>
      <c r="Y175" s="4"/>
      <c r="Z175" s="4"/>
    </row>
    <row r="176" ht="15.75" customHeight="1">
      <c r="A176" s="1"/>
      <c r="B176" s="1"/>
      <c r="C176" s="1"/>
      <c r="D176" s="1"/>
      <c r="E176" s="1"/>
      <c r="F176" s="1"/>
      <c r="G176" s="1"/>
      <c r="H176" s="1"/>
      <c r="I176" s="1"/>
      <c r="J176" s="4"/>
      <c r="K176" s="4"/>
      <c r="L176" s="4"/>
      <c r="M176" s="4"/>
      <c r="N176" s="4"/>
      <c r="O176" s="4"/>
      <c r="P176" s="4"/>
      <c r="Q176" s="4"/>
      <c r="R176" s="4"/>
      <c r="S176" s="4"/>
      <c r="T176" s="4"/>
      <c r="U176" s="4"/>
      <c r="V176" s="4"/>
      <c r="W176" s="4"/>
      <c r="X176" s="4"/>
      <c r="Y176" s="4"/>
      <c r="Z176" s="4"/>
    </row>
    <row r="177" ht="15.75" customHeight="1">
      <c r="A177" s="1"/>
      <c r="B177" s="1"/>
      <c r="C177" s="1"/>
      <c r="D177" s="1"/>
      <c r="E177" s="1"/>
      <c r="F177" s="1"/>
      <c r="G177" s="1"/>
      <c r="H177" s="1"/>
      <c r="I177" s="1"/>
      <c r="J177" s="4"/>
      <c r="K177" s="4"/>
      <c r="L177" s="4"/>
      <c r="M177" s="4"/>
      <c r="N177" s="4"/>
      <c r="O177" s="4"/>
      <c r="P177" s="4"/>
      <c r="Q177" s="4"/>
      <c r="R177" s="4"/>
      <c r="S177" s="4"/>
      <c r="T177" s="4"/>
      <c r="U177" s="4"/>
      <c r="V177" s="4"/>
      <c r="W177" s="4"/>
      <c r="X177" s="4"/>
      <c r="Y177" s="4"/>
      <c r="Z177" s="4"/>
    </row>
    <row r="178" ht="15.75" customHeight="1">
      <c r="A178" s="1"/>
      <c r="B178" s="1"/>
      <c r="C178" s="1"/>
      <c r="D178" s="1"/>
      <c r="E178" s="1"/>
      <c r="F178" s="1"/>
      <c r="G178" s="1"/>
      <c r="H178" s="1"/>
      <c r="I178" s="1"/>
      <c r="J178" s="4"/>
      <c r="K178" s="4"/>
      <c r="L178" s="4"/>
      <c r="M178" s="4"/>
      <c r="N178" s="4"/>
      <c r="O178" s="4"/>
      <c r="P178" s="4"/>
      <c r="Q178" s="4"/>
      <c r="R178" s="4"/>
      <c r="S178" s="4"/>
      <c r="T178" s="4"/>
      <c r="U178" s="4"/>
      <c r="V178" s="4"/>
      <c r="W178" s="4"/>
      <c r="X178" s="4"/>
      <c r="Y178" s="4"/>
      <c r="Z178" s="4"/>
    </row>
    <row r="179" ht="15.75" customHeight="1">
      <c r="A179" s="1"/>
      <c r="B179" s="1"/>
      <c r="C179" s="1"/>
      <c r="D179" s="1"/>
      <c r="E179" s="1"/>
      <c r="F179" s="1"/>
      <c r="G179" s="1"/>
      <c r="H179" s="1"/>
      <c r="I179" s="1"/>
      <c r="J179" s="4"/>
      <c r="K179" s="4"/>
      <c r="L179" s="4"/>
      <c r="M179" s="4"/>
      <c r="N179" s="4"/>
      <c r="O179" s="4"/>
      <c r="P179" s="4"/>
      <c r="Q179" s="4"/>
      <c r="R179" s="4"/>
      <c r="S179" s="4"/>
      <c r="T179" s="4"/>
      <c r="U179" s="4"/>
      <c r="V179" s="4"/>
      <c r="W179" s="4"/>
      <c r="X179" s="4"/>
      <c r="Y179" s="4"/>
      <c r="Z179" s="4"/>
    </row>
    <row r="180" ht="15.75" customHeight="1">
      <c r="A180" s="1"/>
      <c r="B180" s="1"/>
      <c r="C180" s="1"/>
      <c r="D180" s="1"/>
      <c r="E180" s="1"/>
      <c r="F180" s="1"/>
      <c r="G180" s="1"/>
      <c r="H180" s="1"/>
      <c r="I180" s="1"/>
      <c r="J180" s="4"/>
      <c r="K180" s="4"/>
      <c r="L180" s="4"/>
      <c r="M180" s="4"/>
      <c r="N180" s="4"/>
      <c r="O180" s="4"/>
      <c r="P180" s="4"/>
      <c r="Q180" s="4"/>
      <c r="R180" s="4"/>
      <c r="S180" s="4"/>
      <c r="T180" s="4"/>
      <c r="U180" s="4"/>
      <c r="V180" s="4"/>
      <c r="W180" s="4"/>
      <c r="X180" s="4"/>
      <c r="Y180" s="4"/>
      <c r="Z180" s="4"/>
    </row>
    <row r="181" ht="15.75" customHeight="1">
      <c r="A181" s="1"/>
      <c r="B181" s="1"/>
      <c r="C181" s="1"/>
      <c r="D181" s="1"/>
      <c r="E181" s="1"/>
      <c r="F181" s="1"/>
      <c r="G181" s="1"/>
      <c r="H181" s="1"/>
      <c r="I181" s="1"/>
      <c r="J181" s="4"/>
      <c r="K181" s="4"/>
      <c r="L181" s="4"/>
      <c r="M181" s="4"/>
      <c r="N181" s="4"/>
      <c r="O181" s="4"/>
      <c r="P181" s="4"/>
      <c r="Q181" s="4"/>
      <c r="R181" s="4"/>
      <c r="S181" s="4"/>
      <c r="T181" s="4"/>
      <c r="U181" s="4"/>
      <c r="V181" s="4"/>
      <c r="W181" s="4"/>
      <c r="X181" s="4"/>
      <c r="Y181" s="4"/>
      <c r="Z181" s="4"/>
    </row>
    <row r="182" ht="15.75" customHeight="1">
      <c r="A182" s="1"/>
      <c r="B182" s="1"/>
      <c r="C182" s="1"/>
      <c r="D182" s="1"/>
      <c r="E182" s="1"/>
      <c r="F182" s="1"/>
      <c r="G182" s="1"/>
      <c r="H182" s="1"/>
      <c r="I182" s="1"/>
      <c r="J182" s="4"/>
      <c r="K182" s="4"/>
      <c r="L182" s="4"/>
      <c r="M182" s="4"/>
      <c r="N182" s="4"/>
      <c r="O182" s="4"/>
      <c r="P182" s="4"/>
      <c r="Q182" s="4"/>
      <c r="R182" s="4"/>
      <c r="S182" s="4"/>
      <c r="T182" s="4"/>
      <c r="U182" s="4"/>
      <c r="V182" s="4"/>
      <c r="W182" s="4"/>
      <c r="X182" s="4"/>
      <c r="Y182" s="4"/>
      <c r="Z182" s="4"/>
    </row>
    <row r="183" ht="15.75" customHeight="1">
      <c r="A183" s="1"/>
      <c r="B183" s="1"/>
      <c r="C183" s="1"/>
      <c r="D183" s="1"/>
      <c r="E183" s="1"/>
      <c r="F183" s="1"/>
      <c r="G183" s="1"/>
      <c r="H183" s="1"/>
      <c r="I183" s="1"/>
      <c r="J183" s="4"/>
      <c r="K183" s="4"/>
      <c r="L183" s="4"/>
      <c r="M183" s="4"/>
      <c r="N183" s="4"/>
      <c r="O183" s="4"/>
      <c r="P183" s="4"/>
      <c r="Q183" s="4"/>
      <c r="R183" s="4"/>
      <c r="S183" s="4"/>
      <c r="T183" s="4"/>
      <c r="U183" s="4"/>
      <c r="V183" s="4"/>
      <c r="W183" s="4"/>
      <c r="X183" s="4"/>
      <c r="Y183" s="4"/>
      <c r="Z183" s="4"/>
    </row>
    <row r="184" ht="15.75" customHeight="1">
      <c r="A184" s="1"/>
      <c r="B184" s="1"/>
      <c r="C184" s="1"/>
      <c r="D184" s="1"/>
      <c r="E184" s="1"/>
      <c r="F184" s="1"/>
      <c r="G184" s="1"/>
      <c r="H184" s="1"/>
      <c r="I184" s="1"/>
      <c r="J184" s="4"/>
      <c r="K184" s="4"/>
      <c r="L184" s="4"/>
      <c r="M184" s="4"/>
      <c r="N184" s="4"/>
      <c r="O184" s="4"/>
      <c r="P184" s="4"/>
      <c r="Q184" s="4"/>
      <c r="R184" s="4"/>
      <c r="S184" s="4"/>
      <c r="T184" s="4"/>
      <c r="U184" s="4"/>
      <c r="V184" s="4"/>
      <c r="W184" s="4"/>
      <c r="X184" s="4"/>
      <c r="Y184" s="4"/>
      <c r="Z184" s="4"/>
    </row>
    <row r="185" ht="15.75" customHeight="1">
      <c r="A185" s="1"/>
      <c r="B185" s="1"/>
      <c r="C185" s="1"/>
      <c r="D185" s="1"/>
      <c r="E185" s="1"/>
      <c r="F185" s="1"/>
      <c r="G185" s="1"/>
      <c r="H185" s="1"/>
      <c r="I185" s="1"/>
      <c r="J185" s="4"/>
      <c r="K185" s="4"/>
      <c r="L185" s="4"/>
      <c r="M185" s="4"/>
      <c r="N185" s="4"/>
      <c r="O185" s="4"/>
      <c r="P185" s="4"/>
      <c r="Q185" s="4"/>
      <c r="R185" s="4"/>
      <c r="S185" s="4"/>
      <c r="T185" s="4"/>
      <c r="U185" s="4"/>
      <c r="V185" s="4"/>
      <c r="W185" s="4"/>
      <c r="X185" s="4"/>
      <c r="Y185" s="4"/>
      <c r="Z185" s="4"/>
    </row>
    <row r="186" ht="15.75" customHeight="1">
      <c r="A186" s="1"/>
      <c r="B186" s="1"/>
      <c r="C186" s="1"/>
      <c r="D186" s="1"/>
      <c r="E186" s="1"/>
      <c r="F186" s="1"/>
      <c r="G186" s="1"/>
      <c r="H186" s="1"/>
      <c r="I186" s="1"/>
      <c r="J186" s="4"/>
      <c r="K186" s="4"/>
      <c r="L186" s="4"/>
      <c r="M186" s="4"/>
      <c r="N186" s="4"/>
      <c r="O186" s="4"/>
      <c r="P186" s="4"/>
      <c r="Q186" s="4"/>
      <c r="R186" s="4"/>
      <c r="S186" s="4"/>
      <c r="T186" s="4"/>
      <c r="U186" s="4"/>
      <c r="V186" s="4"/>
      <c r="W186" s="4"/>
      <c r="X186" s="4"/>
      <c r="Y186" s="4"/>
      <c r="Z186" s="4"/>
    </row>
    <row r="187" ht="15.75" customHeight="1">
      <c r="A187" s="1"/>
      <c r="B187" s="1"/>
      <c r="C187" s="1"/>
      <c r="D187" s="1"/>
      <c r="E187" s="1"/>
      <c r="F187" s="1"/>
      <c r="G187" s="1"/>
      <c r="H187" s="1"/>
      <c r="I187" s="1"/>
      <c r="J187" s="4"/>
      <c r="K187" s="4"/>
      <c r="L187" s="4"/>
      <c r="M187" s="4"/>
      <c r="N187" s="4"/>
      <c r="O187" s="4"/>
      <c r="P187" s="4"/>
      <c r="Q187" s="4"/>
      <c r="R187" s="4"/>
      <c r="S187" s="4"/>
      <c r="T187" s="4"/>
      <c r="U187" s="4"/>
      <c r="V187" s="4"/>
      <c r="W187" s="4"/>
      <c r="X187" s="4"/>
      <c r="Y187" s="4"/>
      <c r="Z187" s="4"/>
    </row>
    <row r="188" ht="15.75" customHeight="1">
      <c r="A188" s="1"/>
      <c r="B188" s="1"/>
      <c r="C188" s="1"/>
      <c r="D188" s="1"/>
      <c r="E188" s="1"/>
      <c r="F188" s="1"/>
      <c r="G188" s="1"/>
      <c r="H188" s="1"/>
      <c r="I188" s="1"/>
      <c r="J188" s="4"/>
      <c r="K188" s="4"/>
      <c r="L188" s="4"/>
      <c r="M188" s="4"/>
      <c r="N188" s="4"/>
      <c r="O188" s="4"/>
      <c r="P188" s="4"/>
      <c r="Q188" s="4"/>
      <c r="R188" s="4"/>
      <c r="S188" s="4"/>
      <c r="T188" s="4"/>
      <c r="U188" s="4"/>
      <c r="V188" s="4"/>
      <c r="W188" s="4"/>
      <c r="X188" s="4"/>
      <c r="Y188" s="4"/>
      <c r="Z188" s="4"/>
    </row>
    <row r="189" ht="15.75" customHeight="1">
      <c r="A189" s="1"/>
      <c r="B189" s="1"/>
      <c r="C189" s="1"/>
      <c r="D189" s="1"/>
      <c r="E189" s="1"/>
      <c r="F189" s="1"/>
      <c r="G189" s="1"/>
      <c r="H189" s="1"/>
      <c r="I189" s="1"/>
      <c r="J189" s="4"/>
      <c r="K189" s="4"/>
      <c r="L189" s="4"/>
      <c r="M189" s="4"/>
      <c r="N189" s="4"/>
      <c r="O189" s="4"/>
      <c r="P189" s="4"/>
      <c r="Q189" s="4"/>
      <c r="R189" s="4"/>
      <c r="S189" s="4"/>
      <c r="T189" s="4"/>
      <c r="U189" s="4"/>
      <c r="V189" s="4"/>
      <c r="W189" s="4"/>
      <c r="X189" s="4"/>
      <c r="Y189" s="4"/>
      <c r="Z189" s="4"/>
    </row>
    <row r="190" ht="15.75" customHeight="1">
      <c r="A190" s="1"/>
      <c r="B190" s="1"/>
      <c r="C190" s="1"/>
      <c r="D190" s="1"/>
      <c r="E190" s="1"/>
      <c r="F190" s="1"/>
      <c r="G190" s="1"/>
      <c r="H190" s="1"/>
      <c r="I190" s="1"/>
      <c r="J190" s="4"/>
      <c r="K190" s="4"/>
      <c r="L190" s="4"/>
      <c r="M190" s="4"/>
      <c r="N190" s="4"/>
      <c r="O190" s="4"/>
      <c r="P190" s="4"/>
      <c r="Q190" s="4"/>
      <c r="R190" s="4"/>
      <c r="S190" s="4"/>
      <c r="T190" s="4"/>
      <c r="U190" s="4"/>
      <c r="V190" s="4"/>
      <c r="W190" s="4"/>
      <c r="X190" s="4"/>
      <c r="Y190" s="4"/>
      <c r="Z190" s="4"/>
    </row>
    <row r="191" ht="15.75" customHeight="1">
      <c r="A191" s="1"/>
      <c r="B191" s="1"/>
      <c r="C191" s="1"/>
      <c r="D191" s="1"/>
      <c r="E191" s="1"/>
      <c r="F191" s="1"/>
      <c r="G191" s="1"/>
      <c r="H191" s="1"/>
      <c r="I191" s="1"/>
      <c r="J191" s="4"/>
      <c r="K191" s="4"/>
      <c r="L191" s="4"/>
      <c r="M191" s="4"/>
      <c r="N191" s="4"/>
      <c r="O191" s="4"/>
      <c r="P191" s="4"/>
      <c r="Q191" s="4"/>
      <c r="R191" s="4"/>
      <c r="S191" s="4"/>
      <c r="T191" s="4"/>
      <c r="U191" s="4"/>
      <c r="V191" s="4"/>
      <c r="W191" s="4"/>
      <c r="X191" s="4"/>
      <c r="Y191" s="4"/>
      <c r="Z191" s="4"/>
    </row>
    <row r="192" ht="15.75" customHeight="1">
      <c r="A192" s="1"/>
      <c r="B192" s="1"/>
      <c r="C192" s="1"/>
      <c r="D192" s="1"/>
      <c r="E192" s="1"/>
      <c r="F192" s="1"/>
      <c r="G192" s="1"/>
      <c r="H192" s="1"/>
      <c r="I192" s="1"/>
      <c r="J192" s="4"/>
      <c r="K192" s="4"/>
      <c r="L192" s="4"/>
      <c r="M192" s="4"/>
      <c r="N192" s="4"/>
      <c r="O192" s="4"/>
      <c r="P192" s="4"/>
      <c r="Q192" s="4"/>
      <c r="R192" s="4"/>
      <c r="S192" s="4"/>
      <c r="T192" s="4"/>
      <c r="U192" s="4"/>
      <c r="V192" s="4"/>
      <c r="W192" s="4"/>
      <c r="X192" s="4"/>
      <c r="Y192" s="4"/>
      <c r="Z192" s="4"/>
    </row>
    <row r="193" ht="15.75" customHeight="1">
      <c r="A193" s="1"/>
      <c r="B193" s="1"/>
      <c r="C193" s="1"/>
      <c r="D193" s="1"/>
      <c r="E193" s="1"/>
      <c r="F193" s="1"/>
      <c r="G193" s="1"/>
      <c r="H193" s="1"/>
      <c r="I193" s="1"/>
      <c r="J193" s="4"/>
      <c r="K193" s="4"/>
      <c r="L193" s="4"/>
      <c r="M193" s="4"/>
      <c r="N193" s="4"/>
      <c r="O193" s="4"/>
      <c r="P193" s="4"/>
      <c r="Q193" s="4"/>
      <c r="R193" s="4"/>
      <c r="S193" s="4"/>
      <c r="T193" s="4"/>
      <c r="U193" s="4"/>
      <c r="V193" s="4"/>
      <c r="W193" s="4"/>
      <c r="X193" s="4"/>
      <c r="Y193" s="4"/>
      <c r="Z193" s="4"/>
    </row>
    <row r="194" ht="15.75" customHeight="1">
      <c r="A194" s="1"/>
      <c r="B194" s="1"/>
      <c r="C194" s="1"/>
      <c r="D194" s="1"/>
      <c r="E194" s="1"/>
      <c r="F194" s="1"/>
      <c r="G194" s="1"/>
      <c r="H194" s="1"/>
      <c r="I194" s="1"/>
      <c r="J194" s="4"/>
      <c r="K194" s="4"/>
      <c r="L194" s="4"/>
      <c r="M194" s="4"/>
      <c r="N194" s="4"/>
      <c r="O194" s="4"/>
      <c r="P194" s="4"/>
      <c r="Q194" s="4"/>
      <c r="R194" s="4"/>
      <c r="S194" s="4"/>
      <c r="T194" s="4"/>
      <c r="U194" s="4"/>
      <c r="V194" s="4"/>
      <c r="W194" s="4"/>
      <c r="X194" s="4"/>
      <c r="Y194" s="4"/>
      <c r="Z194" s="4"/>
    </row>
    <row r="195" ht="15.75" customHeight="1">
      <c r="A195" s="1"/>
      <c r="B195" s="1"/>
      <c r="C195" s="1"/>
      <c r="D195" s="1"/>
      <c r="E195" s="1"/>
      <c r="F195" s="1"/>
      <c r="G195" s="1"/>
      <c r="H195" s="1"/>
      <c r="I195" s="1"/>
      <c r="J195" s="4"/>
      <c r="K195" s="4"/>
      <c r="L195" s="4"/>
      <c r="M195" s="4"/>
      <c r="N195" s="4"/>
      <c r="O195" s="4"/>
      <c r="P195" s="4"/>
      <c r="Q195" s="4"/>
      <c r="R195" s="4"/>
      <c r="S195" s="4"/>
      <c r="T195" s="4"/>
      <c r="U195" s="4"/>
      <c r="V195" s="4"/>
      <c r="W195" s="4"/>
      <c r="X195" s="4"/>
      <c r="Y195" s="4"/>
      <c r="Z195" s="4"/>
    </row>
    <row r="196" ht="15.75" customHeight="1">
      <c r="A196" s="1"/>
      <c r="B196" s="1"/>
      <c r="C196" s="1"/>
      <c r="D196" s="1"/>
      <c r="E196" s="1"/>
      <c r="F196" s="1"/>
      <c r="G196" s="1"/>
      <c r="H196" s="1"/>
      <c r="I196" s="1"/>
      <c r="J196" s="4"/>
      <c r="K196" s="4"/>
      <c r="L196" s="4"/>
      <c r="M196" s="4"/>
      <c r="N196" s="4"/>
      <c r="O196" s="4"/>
      <c r="P196" s="4"/>
      <c r="Q196" s="4"/>
      <c r="R196" s="4"/>
      <c r="S196" s="4"/>
      <c r="T196" s="4"/>
      <c r="U196" s="4"/>
      <c r="V196" s="4"/>
      <c r="W196" s="4"/>
      <c r="X196" s="4"/>
      <c r="Y196" s="4"/>
      <c r="Z196" s="4"/>
    </row>
    <row r="197" ht="15.75" customHeight="1">
      <c r="A197" s="1"/>
      <c r="B197" s="1"/>
      <c r="C197" s="1"/>
      <c r="D197" s="1"/>
      <c r="E197" s="1"/>
      <c r="F197" s="1"/>
      <c r="G197" s="1"/>
      <c r="H197" s="1"/>
      <c r="I197" s="1"/>
      <c r="J197" s="4"/>
      <c r="K197" s="4"/>
      <c r="L197" s="4"/>
      <c r="M197" s="4"/>
      <c r="N197" s="4"/>
      <c r="O197" s="4"/>
      <c r="P197" s="4"/>
      <c r="Q197" s="4"/>
      <c r="R197" s="4"/>
      <c r="S197" s="4"/>
      <c r="T197" s="4"/>
      <c r="U197" s="4"/>
      <c r="V197" s="4"/>
      <c r="W197" s="4"/>
      <c r="X197" s="4"/>
      <c r="Y197" s="4"/>
      <c r="Z197" s="4"/>
    </row>
    <row r="198" ht="15.75" customHeight="1">
      <c r="A198" s="1"/>
      <c r="B198" s="1"/>
      <c r="C198" s="1"/>
      <c r="D198" s="1"/>
      <c r="E198" s="1"/>
      <c r="F198" s="1"/>
      <c r="G198" s="1"/>
      <c r="H198" s="1"/>
      <c r="I198" s="1"/>
      <c r="J198" s="4"/>
      <c r="K198" s="4"/>
      <c r="L198" s="4"/>
      <c r="M198" s="4"/>
      <c r="N198" s="4"/>
      <c r="O198" s="4"/>
      <c r="P198" s="4"/>
      <c r="Q198" s="4"/>
      <c r="R198" s="4"/>
      <c r="S198" s="4"/>
      <c r="T198" s="4"/>
      <c r="U198" s="4"/>
      <c r="V198" s="4"/>
      <c r="W198" s="4"/>
      <c r="X198" s="4"/>
      <c r="Y198" s="4"/>
      <c r="Z198" s="4"/>
    </row>
    <row r="199" ht="15.75" customHeight="1">
      <c r="A199" s="1"/>
      <c r="B199" s="1"/>
      <c r="C199" s="1"/>
      <c r="D199" s="1"/>
      <c r="E199" s="1"/>
      <c r="F199" s="1"/>
      <c r="G199" s="1"/>
      <c r="H199" s="1"/>
      <c r="I199" s="1"/>
      <c r="J199" s="4"/>
      <c r="K199" s="4"/>
      <c r="L199" s="4"/>
      <c r="M199" s="4"/>
      <c r="N199" s="4"/>
      <c r="O199" s="4"/>
      <c r="P199" s="4"/>
      <c r="Q199" s="4"/>
      <c r="R199" s="4"/>
      <c r="S199" s="4"/>
      <c r="T199" s="4"/>
      <c r="U199" s="4"/>
      <c r="V199" s="4"/>
      <c r="W199" s="4"/>
      <c r="X199" s="4"/>
      <c r="Y199" s="4"/>
      <c r="Z199" s="4"/>
    </row>
    <row r="200" ht="15.75" customHeight="1">
      <c r="A200" s="1"/>
      <c r="B200" s="1"/>
      <c r="C200" s="1"/>
      <c r="D200" s="1"/>
      <c r="E200" s="1"/>
      <c r="F200" s="1"/>
      <c r="G200" s="1"/>
      <c r="H200" s="1"/>
      <c r="I200" s="1"/>
      <c r="J200" s="4"/>
      <c r="K200" s="4"/>
      <c r="L200" s="4"/>
      <c r="M200" s="4"/>
      <c r="N200" s="4"/>
      <c r="O200" s="4"/>
      <c r="P200" s="4"/>
      <c r="Q200" s="4"/>
      <c r="R200" s="4"/>
      <c r="S200" s="4"/>
      <c r="T200" s="4"/>
      <c r="U200" s="4"/>
      <c r="V200" s="4"/>
      <c r="W200" s="4"/>
      <c r="X200" s="4"/>
      <c r="Y200" s="4"/>
      <c r="Z200" s="4"/>
    </row>
    <row r="201" ht="15.75" customHeight="1">
      <c r="A201" s="1"/>
      <c r="B201" s="1"/>
      <c r="C201" s="1"/>
      <c r="D201" s="1"/>
      <c r="E201" s="1"/>
      <c r="F201" s="1"/>
      <c r="G201" s="1"/>
      <c r="H201" s="1"/>
      <c r="I201" s="1"/>
      <c r="J201" s="4"/>
      <c r="K201" s="4"/>
      <c r="L201" s="4"/>
      <c r="M201" s="4"/>
      <c r="N201" s="4"/>
      <c r="O201" s="4"/>
      <c r="P201" s="4"/>
      <c r="Q201" s="4"/>
      <c r="R201" s="4"/>
      <c r="S201" s="4"/>
      <c r="T201" s="4"/>
      <c r="U201" s="4"/>
      <c r="V201" s="4"/>
      <c r="W201" s="4"/>
      <c r="X201" s="4"/>
      <c r="Y201" s="4"/>
      <c r="Z201" s="4"/>
    </row>
    <row r="202" ht="15.75" customHeight="1">
      <c r="A202" s="1"/>
      <c r="B202" s="1"/>
      <c r="C202" s="1"/>
      <c r="D202" s="1"/>
      <c r="E202" s="1"/>
      <c r="F202" s="1"/>
      <c r="G202" s="1"/>
      <c r="H202" s="1"/>
      <c r="I202" s="1"/>
      <c r="J202" s="4"/>
      <c r="K202" s="4"/>
      <c r="L202" s="4"/>
      <c r="M202" s="4"/>
      <c r="N202" s="4"/>
      <c r="O202" s="4"/>
      <c r="P202" s="4"/>
      <c r="Q202" s="4"/>
      <c r="R202" s="4"/>
      <c r="S202" s="4"/>
      <c r="T202" s="4"/>
      <c r="U202" s="4"/>
      <c r="V202" s="4"/>
      <c r="W202" s="4"/>
      <c r="X202" s="4"/>
      <c r="Y202" s="4"/>
      <c r="Z202" s="4"/>
    </row>
    <row r="203" ht="15.75" customHeight="1">
      <c r="A203" s="1"/>
      <c r="B203" s="1"/>
      <c r="C203" s="1"/>
      <c r="D203" s="1"/>
      <c r="E203" s="1"/>
      <c r="F203" s="1"/>
      <c r="G203" s="1"/>
      <c r="H203" s="1"/>
      <c r="I203" s="1"/>
      <c r="J203" s="4"/>
      <c r="K203" s="4"/>
      <c r="L203" s="4"/>
      <c r="M203" s="4"/>
      <c r="N203" s="4"/>
      <c r="O203" s="4"/>
      <c r="P203" s="4"/>
      <c r="Q203" s="4"/>
      <c r="R203" s="4"/>
      <c r="S203" s="4"/>
      <c r="T203" s="4"/>
      <c r="U203" s="4"/>
      <c r="V203" s="4"/>
      <c r="W203" s="4"/>
      <c r="X203" s="4"/>
      <c r="Y203" s="4"/>
      <c r="Z203" s="4"/>
    </row>
    <row r="204" ht="15.75" customHeight="1">
      <c r="A204" s="1"/>
      <c r="B204" s="1"/>
      <c r="C204" s="1"/>
      <c r="D204" s="1"/>
      <c r="E204" s="1"/>
      <c r="F204" s="1"/>
      <c r="G204" s="1"/>
      <c r="H204" s="1"/>
      <c r="I204" s="1"/>
      <c r="J204" s="4"/>
      <c r="K204" s="4"/>
      <c r="L204" s="4"/>
      <c r="M204" s="4"/>
      <c r="N204" s="4"/>
      <c r="O204" s="4"/>
      <c r="P204" s="4"/>
      <c r="Q204" s="4"/>
      <c r="R204" s="4"/>
      <c r="S204" s="4"/>
      <c r="T204" s="4"/>
      <c r="U204" s="4"/>
      <c r="V204" s="4"/>
      <c r="W204" s="4"/>
      <c r="X204" s="4"/>
      <c r="Y204" s="4"/>
      <c r="Z204" s="4"/>
    </row>
    <row r="205" ht="15.75" customHeight="1">
      <c r="A205" s="1"/>
      <c r="B205" s="1"/>
      <c r="C205" s="1"/>
      <c r="D205" s="1"/>
      <c r="E205" s="1"/>
      <c r="F205" s="1"/>
      <c r="G205" s="1"/>
      <c r="H205" s="1"/>
      <c r="I205" s="1"/>
      <c r="J205" s="4"/>
      <c r="K205" s="4"/>
      <c r="L205" s="4"/>
      <c r="M205" s="4"/>
      <c r="N205" s="4"/>
      <c r="O205" s="4"/>
      <c r="P205" s="4"/>
      <c r="Q205" s="4"/>
      <c r="R205" s="4"/>
      <c r="S205" s="4"/>
      <c r="T205" s="4"/>
      <c r="U205" s="4"/>
      <c r="V205" s="4"/>
      <c r="W205" s="4"/>
      <c r="X205" s="4"/>
      <c r="Y205" s="4"/>
      <c r="Z205" s="4"/>
    </row>
    <row r="206" ht="15.75" customHeight="1">
      <c r="A206" s="1"/>
      <c r="B206" s="1"/>
      <c r="C206" s="1"/>
      <c r="D206" s="1"/>
      <c r="E206" s="1"/>
      <c r="F206" s="1"/>
      <c r="G206" s="1"/>
      <c r="H206" s="1"/>
      <c r="I206" s="1"/>
      <c r="J206" s="4"/>
      <c r="K206" s="4"/>
      <c r="L206" s="4"/>
      <c r="M206" s="4"/>
      <c r="N206" s="4"/>
      <c r="O206" s="4"/>
      <c r="P206" s="4"/>
      <c r="Q206" s="4"/>
      <c r="R206" s="4"/>
      <c r="S206" s="4"/>
      <c r="T206" s="4"/>
      <c r="U206" s="4"/>
      <c r="V206" s="4"/>
      <c r="W206" s="4"/>
      <c r="X206" s="4"/>
      <c r="Y206" s="4"/>
      <c r="Z206" s="4"/>
    </row>
    <row r="207" ht="15.75" customHeight="1">
      <c r="A207" s="1"/>
      <c r="B207" s="1"/>
      <c r="C207" s="1"/>
      <c r="D207" s="1"/>
      <c r="E207" s="1"/>
      <c r="F207" s="1"/>
      <c r="G207" s="1"/>
      <c r="H207" s="1"/>
      <c r="I207" s="1"/>
      <c r="J207" s="4"/>
      <c r="K207" s="4"/>
      <c r="L207" s="4"/>
      <c r="M207" s="4"/>
      <c r="N207" s="4"/>
      <c r="O207" s="4"/>
      <c r="P207" s="4"/>
      <c r="Q207" s="4"/>
      <c r="R207" s="4"/>
      <c r="S207" s="4"/>
      <c r="T207" s="4"/>
      <c r="U207" s="4"/>
      <c r="V207" s="4"/>
      <c r="W207" s="4"/>
      <c r="X207" s="4"/>
      <c r="Y207" s="4"/>
      <c r="Z207" s="4"/>
    </row>
    <row r="208" ht="15.75" customHeight="1">
      <c r="A208" s="1"/>
      <c r="B208" s="1"/>
      <c r="C208" s="1"/>
      <c r="D208" s="1"/>
      <c r="E208" s="1"/>
      <c r="F208" s="1"/>
      <c r="G208" s="1"/>
      <c r="H208" s="1"/>
      <c r="I208" s="1"/>
      <c r="J208" s="4"/>
      <c r="K208" s="4"/>
      <c r="L208" s="4"/>
      <c r="M208" s="4"/>
      <c r="N208" s="4"/>
      <c r="O208" s="4"/>
      <c r="P208" s="4"/>
      <c r="Q208" s="4"/>
      <c r="R208" s="4"/>
      <c r="S208" s="4"/>
      <c r="T208" s="4"/>
      <c r="U208" s="4"/>
      <c r="V208" s="4"/>
      <c r="W208" s="4"/>
      <c r="X208" s="4"/>
      <c r="Y208" s="4"/>
      <c r="Z208" s="4"/>
    </row>
    <row r="209" ht="15.75" customHeight="1">
      <c r="A209" s="1"/>
      <c r="B209" s="1"/>
      <c r="C209" s="1"/>
      <c r="D209" s="1"/>
      <c r="E209" s="1"/>
      <c r="F209" s="1"/>
      <c r="G209" s="1"/>
      <c r="H209" s="1"/>
      <c r="I209" s="1"/>
      <c r="J209" s="4"/>
      <c r="K209" s="4"/>
      <c r="L209" s="4"/>
      <c r="M209" s="4"/>
      <c r="N209" s="4"/>
      <c r="O209" s="4"/>
      <c r="P209" s="4"/>
      <c r="Q209" s="4"/>
      <c r="R209" s="4"/>
      <c r="S209" s="4"/>
      <c r="T209" s="4"/>
      <c r="U209" s="4"/>
      <c r="V209" s="4"/>
      <c r="W209" s="4"/>
      <c r="X209" s="4"/>
      <c r="Y209" s="4"/>
      <c r="Z209" s="4"/>
    </row>
    <row r="210" ht="15.75" customHeight="1">
      <c r="A210" s="1"/>
      <c r="B210" s="1"/>
      <c r="C210" s="1"/>
      <c r="D210" s="1"/>
      <c r="E210" s="1"/>
      <c r="F210" s="1"/>
      <c r="G210" s="1"/>
      <c r="H210" s="1"/>
      <c r="I210" s="1"/>
      <c r="J210" s="4"/>
      <c r="K210" s="4"/>
      <c r="L210" s="4"/>
      <c r="M210" s="4"/>
      <c r="N210" s="4"/>
      <c r="O210" s="4"/>
      <c r="P210" s="4"/>
      <c r="Q210" s="4"/>
      <c r="R210" s="4"/>
      <c r="S210" s="4"/>
      <c r="T210" s="4"/>
      <c r="U210" s="4"/>
      <c r="V210" s="4"/>
      <c r="W210" s="4"/>
      <c r="X210" s="4"/>
      <c r="Y210" s="4"/>
      <c r="Z210" s="4"/>
    </row>
    <row r="211" ht="15.75" customHeight="1">
      <c r="A211" s="1"/>
      <c r="B211" s="1"/>
      <c r="C211" s="1"/>
      <c r="D211" s="1"/>
      <c r="E211" s="1"/>
      <c r="F211" s="1"/>
      <c r="G211" s="1"/>
      <c r="H211" s="1"/>
      <c r="I211" s="1"/>
      <c r="J211" s="4"/>
      <c r="K211" s="4"/>
      <c r="L211" s="4"/>
      <c r="M211" s="4"/>
      <c r="N211" s="4"/>
      <c r="O211" s="4"/>
      <c r="P211" s="4"/>
      <c r="Q211" s="4"/>
      <c r="R211" s="4"/>
      <c r="S211" s="4"/>
      <c r="T211" s="4"/>
      <c r="U211" s="4"/>
      <c r="V211" s="4"/>
      <c r="W211" s="4"/>
      <c r="X211" s="4"/>
      <c r="Y211" s="4"/>
      <c r="Z211" s="4"/>
    </row>
    <row r="212" ht="15.75" customHeight="1">
      <c r="A212" s="1"/>
      <c r="B212" s="1"/>
      <c r="C212" s="1"/>
      <c r="D212" s="1"/>
      <c r="E212" s="1"/>
      <c r="F212" s="1"/>
      <c r="G212" s="1"/>
      <c r="H212" s="1"/>
      <c r="I212" s="1"/>
      <c r="J212" s="4"/>
      <c r="K212" s="4"/>
      <c r="L212" s="4"/>
      <c r="M212" s="4"/>
      <c r="N212" s="4"/>
      <c r="O212" s="4"/>
      <c r="P212" s="4"/>
      <c r="Q212" s="4"/>
      <c r="R212" s="4"/>
      <c r="S212" s="4"/>
      <c r="T212" s="4"/>
      <c r="U212" s="4"/>
      <c r="V212" s="4"/>
      <c r="W212" s="4"/>
      <c r="X212" s="4"/>
      <c r="Y212" s="4"/>
      <c r="Z212" s="4"/>
    </row>
    <row r="213" ht="15.75" customHeight="1">
      <c r="A213" s="1"/>
      <c r="B213" s="1"/>
      <c r="C213" s="1"/>
      <c r="D213" s="1"/>
      <c r="E213" s="1"/>
      <c r="F213" s="1"/>
      <c r="G213" s="1"/>
      <c r="H213" s="1"/>
      <c r="I213" s="1"/>
      <c r="J213" s="4"/>
      <c r="K213" s="4"/>
      <c r="L213" s="4"/>
      <c r="M213" s="4"/>
      <c r="N213" s="4"/>
      <c r="O213" s="4"/>
      <c r="P213" s="4"/>
      <c r="Q213" s="4"/>
      <c r="R213" s="4"/>
      <c r="S213" s="4"/>
      <c r="T213" s="4"/>
      <c r="U213" s="4"/>
      <c r="V213" s="4"/>
      <c r="W213" s="4"/>
      <c r="X213" s="4"/>
      <c r="Y213" s="4"/>
      <c r="Z213" s="4"/>
    </row>
    <row r="214" ht="15.75" customHeight="1">
      <c r="A214" s="1"/>
      <c r="B214" s="1"/>
      <c r="C214" s="1"/>
      <c r="D214" s="1"/>
      <c r="E214" s="1"/>
      <c r="F214" s="1"/>
      <c r="G214" s="1"/>
      <c r="H214" s="1"/>
      <c r="I214" s="1"/>
      <c r="J214" s="4"/>
      <c r="K214" s="4"/>
      <c r="L214" s="4"/>
      <c r="M214" s="4"/>
      <c r="N214" s="4"/>
      <c r="O214" s="4"/>
      <c r="P214" s="4"/>
      <c r="Q214" s="4"/>
      <c r="R214" s="4"/>
      <c r="S214" s="4"/>
      <c r="T214" s="4"/>
      <c r="U214" s="4"/>
      <c r="V214" s="4"/>
      <c r="W214" s="4"/>
      <c r="X214" s="4"/>
      <c r="Y214" s="4"/>
      <c r="Z214" s="4"/>
    </row>
    <row r="215" ht="15.75" customHeight="1">
      <c r="A215" s="1"/>
      <c r="B215" s="1"/>
      <c r="C215" s="1"/>
      <c r="D215" s="1"/>
      <c r="E215" s="1"/>
      <c r="F215" s="1"/>
      <c r="G215" s="1"/>
      <c r="H215" s="1"/>
      <c r="I215" s="1"/>
      <c r="J215" s="4"/>
      <c r="K215" s="4"/>
      <c r="L215" s="4"/>
      <c r="M215" s="4"/>
      <c r="N215" s="4"/>
      <c r="O215" s="4"/>
      <c r="P215" s="4"/>
      <c r="Q215" s="4"/>
      <c r="R215" s="4"/>
      <c r="S215" s="4"/>
      <c r="T215" s="4"/>
      <c r="U215" s="4"/>
      <c r="V215" s="4"/>
      <c r="W215" s="4"/>
      <c r="X215" s="4"/>
      <c r="Y215" s="4"/>
      <c r="Z215" s="4"/>
    </row>
    <row r="216" ht="15.75" customHeight="1">
      <c r="A216" s="1"/>
      <c r="B216" s="1"/>
      <c r="C216" s="1"/>
      <c r="D216" s="1"/>
      <c r="E216" s="1"/>
      <c r="F216" s="1"/>
      <c r="G216" s="1"/>
      <c r="H216" s="1"/>
      <c r="I216" s="1"/>
      <c r="J216" s="4"/>
      <c r="K216" s="4"/>
      <c r="L216" s="4"/>
      <c r="M216" s="4"/>
      <c r="N216" s="4"/>
      <c r="O216" s="4"/>
      <c r="P216" s="4"/>
      <c r="Q216" s="4"/>
      <c r="R216" s="4"/>
      <c r="S216" s="4"/>
      <c r="T216" s="4"/>
      <c r="U216" s="4"/>
      <c r="V216" s="4"/>
      <c r="W216" s="4"/>
      <c r="X216" s="4"/>
      <c r="Y216" s="4"/>
      <c r="Z216" s="4"/>
    </row>
    <row r="217" ht="15.75" customHeight="1">
      <c r="A217" s="1"/>
      <c r="B217" s="1"/>
      <c r="C217" s="1"/>
      <c r="D217" s="1"/>
      <c r="E217" s="1"/>
      <c r="F217" s="1"/>
      <c r="G217" s="1"/>
      <c r="H217" s="1"/>
      <c r="I217" s="1"/>
      <c r="J217" s="4"/>
      <c r="K217" s="4"/>
      <c r="L217" s="4"/>
      <c r="M217" s="4"/>
      <c r="N217" s="4"/>
      <c r="O217" s="4"/>
      <c r="P217" s="4"/>
      <c r="Q217" s="4"/>
      <c r="R217" s="4"/>
      <c r="S217" s="4"/>
      <c r="T217" s="4"/>
      <c r="U217" s="4"/>
      <c r="V217" s="4"/>
      <c r="W217" s="4"/>
      <c r="X217" s="4"/>
      <c r="Y217" s="4"/>
      <c r="Z217" s="4"/>
    </row>
    <row r="218" ht="15.75" customHeight="1">
      <c r="A218" s="1"/>
      <c r="B218" s="1"/>
      <c r="C218" s="1"/>
      <c r="D218" s="1"/>
      <c r="E218" s="1"/>
      <c r="F218" s="1"/>
      <c r="G218" s="1"/>
      <c r="H218" s="1"/>
      <c r="I218" s="1"/>
      <c r="J218" s="4"/>
      <c r="K218" s="4"/>
      <c r="L218" s="4"/>
      <c r="M218" s="4"/>
      <c r="N218" s="4"/>
      <c r="O218" s="4"/>
      <c r="P218" s="4"/>
      <c r="Q218" s="4"/>
      <c r="R218" s="4"/>
      <c r="S218" s="4"/>
      <c r="T218" s="4"/>
      <c r="U218" s="4"/>
      <c r="V218" s="4"/>
      <c r="W218" s="4"/>
      <c r="X218" s="4"/>
      <c r="Y218" s="4"/>
      <c r="Z218" s="4"/>
    </row>
    <row r="219" ht="15.75" customHeight="1">
      <c r="A219" s="1"/>
      <c r="B219" s="1"/>
      <c r="C219" s="1"/>
      <c r="D219" s="1"/>
      <c r="E219" s="1"/>
      <c r="F219" s="1"/>
      <c r="G219" s="1"/>
      <c r="H219" s="1"/>
      <c r="I219" s="1"/>
      <c r="J219" s="4"/>
      <c r="K219" s="4"/>
      <c r="L219" s="4"/>
      <c r="M219" s="4"/>
      <c r="N219" s="4"/>
      <c r="O219" s="4"/>
      <c r="P219" s="4"/>
      <c r="Q219" s="4"/>
      <c r="R219" s="4"/>
      <c r="S219" s="4"/>
      <c r="T219" s="4"/>
      <c r="U219" s="4"/>
      <c r="V219" s="4"/>
      <c r="W219" s="4"/>
      <c r="X219" s="4"/>
      <c r="Y219" s="4"/>
      <c r="Z219" s="4"/>
    </row>
    <row r="220" ht="15.75" customHeight="1">
      <c r="A220" s="1"/>
      <c r="B220" s="1"/>
      <c r="C220" s="1"/>
      <c r="D220" s="1"/>
      <c r="E220" s="1"/>
      <c r="F220" s="1"/>
      <c r="G220" s="1"/>
      <c r="H220" s="1"/>
      <c r="I220" s="1"/>
      <c r="J220" s="4"/>
      <c r="K220" s="4"/>
      <c r="L220" s="4"/>
      <c r="M220" s="4"/>
      <c r="N220" s="4"/>
      <c r="O220" s="4"/>
      <c r="P220" s="4"/>
      <c r="Q220" s="4"/>
      <c r="R220" s="4"/>
      <c r="S220" s="4"/>
      <c r="T220" s="4"/>
      <c r="U220" s="4"/>
      <c r="V220" s="4"/>
      <c r="W220" s="4"/>
      <c r="X220" s="4"/>
      <c r="Y220" s="4"/>
      <c r="Z220" s="4"/>
    </row>
    <row r="221" ht="15.75" customHeight="1">
      <c r="A221" s="1"/>
      <c r="B221" s="1"/>
      <c r="C221" s="1"/>
      <c r="D221" s="1"/>
      <c r="E221" s="1"/>
      <c r="F221" s="1"/>
      <c r="G221" s="1"/>
      <c r="H221" s="1"/>
      <c r="I221" s="1"/>
      <c r="J221" s="4"/>
      <c r="K221" s="4"/>
      <c r="L221" s="4"/>
      <c r="M221" s="4"/>
      <c r="N221" s="4"/>
      <c r="O221" s="4"/>
      <c r="P221" s="4"/>
      <c r="Q221" s="4"/>
      <c r="R221" s="4"/>
      <c r="S221" s="4"/>
      <c r="T221" s="4"/>
      <c r="U221" s="4"/>
      <c r="V221" s="4"/>
      <c r="W221" s="4"/>
      <c r="X221" s="4"/>
      <c r="Y221" s="4"/>
      <c r="Z221" s="4"/>
    </row>
    <row r="222" ht="15.75" customHeight="1">
      <c r="A222" s="1"/>
      <c r="B222" s="1"/>
      <c r="C222" s="1"/>
      <c r="D222" s="1"/>
      <c r="E222" s="1"/>
      <c r="F222" s="1"/>
      <c r="G222" s="1"/>
      <c r="H222" s="1"/>
      <c r="I222" s="1"/>
      <c r="J222" s="4"/>
      <c r="K222" s="4"/>
      <c r="L222" s="4"/>
      <c r="M222" s="4"/>
      <c r="N222" s="4"/>
      <c r="O222" s="4"/>
      <c r="P222" s="4"/>
      <c r="Q222" s="4"/>
      <c r="R222" s="4"/>
      <c r="S222" s="4"/>
      <c r="T222" s="4"/>
      <c r="U222" s="4"/>
      <c r="V222" s="4"/>
      <c r="W222" s="4"/>
      <c r="X222" s="4"/>
      <c r="Y222" s="4"/>
      <c r="Z222" s="4"/>
    </row>
    <row r="223" ht="15.75" customHeight="1">
      <c r="A223" s="1"/>
      <c r="B223" s="1"/>
      <c r="C223" s="1"/>
      <c r="D223" s="1"/>
      <c r="E223" s="1"/>
      <c r="F223" s="1"/>
      <c r="G223" s="1"/>
      <c r="H223" s="1"/>
      <c r="I223" s="1"/>
      <c r="J223" s="4"/>
      <c r="K223" s="4"/>
      <c r="L223" s="4"/>
      <c r="M223" s="4"/>
      <c r="N223" s="4"/>
      <c r="O223" s="4"/>
      <c r="P223" s="4"/>
      <c r="Q223" s="4"/>
      <c r="R223" s="4"/>
      <c r="S223" s="4"/>
      <c r="T223" s="4"/>
      <c r="U223" s="4"/>
      <c r="V223" s="4"/>
      <c r="W223" s="4"/>
      <c r="X223" s="4"/>
      <c r="Y223" s="4"/>
      <c r="Z223" s="4"/>
    </row>
    <row r="224" ht="15.75" customHeight="1">
      <c r="A224" s="1"/>
      <c r="B224" s="1"/>
      <c r="C224" s="1"/>
      <c r="D224" s="1"/>
      <c r="E224" s="1"/>
      <c r="F224" s="1"/>
      <c r="G224" s="1"/>
      <c r="H224" s="1"/>
      <c r="I224" s="1"/>
      <c r="J224" s="4"/>
      <c r="K224" s="4"/>
      <c r="L224" s="4"/>
      <c r="M224" s="4"/>
      <c r="N224" s="4"/>
      <c r="O224" s="4"/>
      <c r="P224" s="4"/>
      <c r="Q224" s="4"/>
      <c r="R224" s="4"/>
      <c r="S224" s="4"/>
      <c r="T224" s="4"/>
      <c r="U224" s="4"/>
      <c r="V224" s="4"/>
      <c r="W224" s="4"/>
      <c r="X224" s="4"/>
      <c r="Y224" s="4"/>
      <c r="Z224" s="4"/>
    </row>
    <row r="225" ht="15.75" customHeight="1">
      <c r="A225" s="1"/>
      <c r="B225" s="1"/>
      <c r="C225" s="1"/>
      <c r="D225" s="1"/>
      <c r="E225" s="1"/>
      <c r="F225" s="1"/>
      <c r="G225" s="1"/>
      <c r="H225" s="1"/>
      <c r="I225" s="1"/>
      <c r="J225" s="4"/>
      <c r="K225" s="4"/>
      <c r="L225" s="4"/>
      <c r="M225" s="4"/>
      <c r="N225" s="4"/>
      <c r="O225" s="4"/>
      <c r="P225" s="4"/>
      <c r="Q225" s="4"/>
      <c r="R225" s="4"/>
      <c r="S225" s="4"/>
      <c r="T225" s="4"/>
      <c r="U225" s="4"/>
      <c r="V225" s="4"/>
      <c r="W225" s="4"/>
      <c r="X225" s="4"/>
      <c r="Y225" s="4"/>
      <c r="Z225" s="4"/>
    </row>
    <row r="226" ht="15.75" customHeight="1">
      <c r="A226" s="1"/>
      <c r="B226" s="1"/>
      <c r="C226" s="1"/>
      <c r="D226" s="1"/>
      <c r="E226" s="1"/>
      <c r="F226" s="1"/>
      <c r="G226" s="1"/>
      <c r="H226" s="1"/>
      <c r="I226" s="1"/>
      <c r="J226" s="4"/>
      <c r="K226" s="4"/>
      <c r="L226" s="4"/>
      <c r="M226" s="4"/>
      <c r="N226" s="4"/>
      <c r="O226" s="4"/>
      <c r="P226" s="4"/>
      <c r="Q226" s="4"/>
      <c r="R226" s="4"/>
      <c r="S226" s="4"/>
      <c r="T226" s="4"/>
      <c r="U226" s="4"/>
      <c r="V226" s="4"/>
      <c r="W226" s="4"/>
      <c r="X226" s="4"/>
      <c r="Y226" s="4"/>
      <c r="Z226" s="4"/>
    </row>
    <row r="227" ht="15.75" customHeight="1">
      <c r="A227" s="1"/>
      <c r="B227" s="1"/>
      <c r="C227" s="1"/>
      <c r="D227" s="1"/>
      <c r="E227" s="1"/>
      <c r="F227" s="1"/>
      <c r="G227" s="1"/>
      <c r="H227" s="1"/>
      <c r="I227" s="1"/>
      <c r="J227" s="4"/>
      <c r="K227" s="4"/>
      <c r="L227" s="4"/>
      <c r="M227" s="4"/>
      <c r="N227" s="4"/>
      <c r="O227" s="4"/>
      <c r="P227" s="4"/>
      <c r="Q227" s="4"/>
      <c r="R227" s="4"/>
      <c r="S227" s="4"/>
      <c r="T227" s="4"/>
      <c r="U227" s="4"/>
      <c r="V227" s="4"/>
      <c r="W227" s="4"/>
      <c r="X227" s="4"/>
      <c r="Y227" s="4"/>
      <c r="Z227" s="4"/>
    </row>
    <row r="228" ht="15.75" customHeight="1">
      <c r="A228" s="1"/>
      <c r="B228" s="1"/>
      <c r="C228" s="1"/>
      <c r="D228" s="1"/>
      <c r="E228" s="1"/>
      <c r="F228" s="1"/>
      <c r="G228" s="1"/>
      <c r="H228" s="1"/>
      <c r="I228" s="1"/>
      <c r="J228" s="4"/>
      <c r="K228" s="4"/>
      <c r="L228" s="4"/>
      <c r="M228" s="4"/>
      <c r="N228" s="4"/>
      <c r="O228" s="4"/>
      <c r="P228" s="4"/>
      <c r="Q228" s="4"/>
      <c r="R228" s="4"/>
      <c r="S228" s="4"/>
      <c r="T228" s="4"/>
      <c r="U228" s="4"/>
      <c r="V228" s="4"/>
      <c r="W228" s="4"/>
      <c r="X228" s="4"/>
      <c r="Y228" s="4"/>
      <c r="Z228" s="4"/>
    </row>
    <row r="229" ht="15.75" customHeight="1">
      <c r="A229" s="1"/>
      <c r="B229" s="1"/>
      <c r="C229" s="1"/>
      <c r="D229" s="1"/>
      <c r="E229" s="1"/>
      <c r="F229" s="1"/>
      <c r="G229" s="1"/>
      <c r="H229" s="1"/>
      <c r="I229" s="1"/>
      <c r="J229" s="4"/>
      <c r="K229" s="4"/>
      <c r="L229" s="4"/>
      <c r="M229" s="4"/>
      <c r="N229" s="4"/>
      <c r="O229" s="4"/>
      <c r="P229" s="4"/>
      <c r="Q229" s="4"/>
      <c r="R229" s="4"/>
      <c r="S229" s="4"/>
      <c r="T229" s="4"/>
      <c r="U229" s="4"/>
      <c r="V229" s="4"/>
      <c r="W229" s="4"/>
      <c r="X229" s="4"/>
      <c r="Y229" s="4"/>
      <c r="Z229" s="4"/>
    </row>
    <row r="230" ht="15.75" customHeight="1">
      <c r="A230" s="1"/>
      <c r="B230" s="1"/>
      <c r="C230" s="1"/>
      <c r="D230" s="1"/>
      <c r="E230" s="1"/>
      <c r="F230" s="1"/>
      <c r="G230" s="1"/>
      <c r="H230" s="1"/>
      <c r="I230" s="1"/>
      <c r="J230" s="4"/>
      <c r="K230" s="4"/>
      <c r="L230" s="4"/>
      <c r="M230" s="4"/>
      <c r="N230" s="4"/>
      <c r="O230" s="4"/>
      <c r="P230" s="4"/>
      <c r="Q230" s="4"/>
      <c r="R230" s="4"/>
      <c r="S230" s="4"/>
      <c r="T230" s="4"/>
      <c r="U230" s="4"/>
      <c r="V230" s="4"/>
      <c r="W230" s="4"/>
      <c r="X230" s="4"/>
      <c r="Y230" s="4"/>
      <c r="Z230" s="4"/>
    </row>
    <row r="231" ht="15.75" customHeight="1">
      <c r="A231" s="1"/>
      <c r="B231" s="1"/>
      <c r="C231" s="1"/>
      <c r="D231" s="1"/>
      <c r="E231" s="1"/>
      <c r="F231" s="1"/>
      <c r="G231" s="1"/>
      <c r="H231" s="1"/>
      <c r="I231" s="1"/>
      <c r="J231" s="4"/>
      <c r="K231" s="4"/>
      <c r="L231" s="4"/>
      <c r="M231" s="4"/>
      <c r="N231" s="4"/>
      <c r="O231" s="4"/>
      <c r="P231" s="4"/>
      <c r="Q231" s="4"/>
      <c r="R231" s="4"/>
      <c r="S231" s="4"/>
      <c r="T231" s="4"/>
      <c r="U231" s="4"/>
      <c r="V231" s="4"/>
      <c r="W231" s="4"/>
      <c r="X231" s="4"/>
      <c r="Y231" s="4"/>
      <c r="Z231" s="4"/>
    </row>
    <row r="232" ht="15.75" customHeight="1">
      <c r="A232" s="1"/>
      <c r="B232" s="1"/>
      <c r="C232" s="1"/>
      <c r="D232" s="1"/>
      <c r="E232" s="1"/>
      <c r="F232" s="1"/>
      <c r="G232" s="1"/>
      <c r="H232" s="1"/>
      <c r="I232" s="1"/>
      <c r="J232" s="4"/>
      <c r="K232" s="4"/>
      <c r="L232" s="4"/>
      <c r="M232" s="4"/>
      <c r="N232" s="4"/>
      <c r="O232" s="4"/>
      <c r="P232" s="4"/>
      <c r="Q232" s="4"/>
      <c r="R232" s="4"/>
      <c r="S232" s="4"/>
      <c r="T232" s="4"/>
      <c r="U232" s="4"/>
      <c r="V232" s="4"/>
      <c r="W232" s="4"/>
      <c r="X232" s="4"/>
      <c r="Y232" s="4"/>
      <c r="Z232" s="4"/>
    </row>
    <row r="233" ht="15.75" customHeight="1">
      <c r="A233" s="1"/>
      <c r="B233" s="1"/>
      <c r="C233" s="1"/>
      <c r="D233" s="1"/>
      <c r="E233" s="1"/>
      <c r="F233" s="1"/>
      <c r="G233" s="1"/>
      <c r="H233" s="1"/>
      <c r="I233" s="1"/>
      <c r="J233" s="4"/>
      <c r="K233" s="4"/>
      <c r="L233" s="4"/>
      <c r="M233" s="4"/>
      <c r="N233" s="4"/>
      <c r="O233" s="4"/>
      <c r="P233" s="4"/>
      <c r="Q233" s="4"/>
      <c r="R233" s="4"/>
      <c r="S233" s="4"/>
      <c r="T233" s="4"/>
      <c r="U233" s="4"/>
      <c r="V233" s="4"/>
      <c r="W233" s="4"/>
      <c r="X233" s="4"/>
      <c r="Y233" s="4"/>
      <c r="Z233" s="4"/>
    </row>
    <row r="234" ht="15.75" customHeight="1">
      <c r="A234" s="1"/>
      <c r="B234" s="1"/>
      <c r="C234" s="1"/>
      <c r="D234" s="1"/>
      <c r="E234" s="1"/>
      <c r="F234" s="1"/>
      <c r="G234" s="1"/>
      <c r="H234" s="1"/>
      <c r="I234" s="1"/>
      <c r="J234" s="4"/>
      <c r="K234" s="4"/>
      <c r="L234" s="4"/>
      <c r="M234" s="4"/>
      <c r="N234" s="4"/>
      <c r="O234" s="4"/>
      <c r="P234" s="4"/>
      <c r="Q234" s="4"/>
      <c r="R234" s="4"/>
      <c r="S234" s="4"/>
      <c r="T234" s="4"/>
      <c r="U234" s="4"/>
      <c r="V234" s="4"/>
      <c r="W234" s="4"/>
      <c r="X234" s="4"/>
      <c r="Y234" s="4"/>
      <c r="Z234" s="4"/>
    </row>
    <row r="235" ht="15.75" customHeight="1">
      <c r="A235" s="1"/>
      <c r="B235" s="1"/>
      <c r="C235" s="1"/>
      <c r="D235" s="1"/>
      <c r="E235" s="1"/>
      <c r="F235" s="1"/>
      <c r="G235" s="1"/>
      <c r="H235" s="1"/>
      <c r="I235" s="1"/>
      <c r="J235" s="4"/>
      <c r="K235" s="4"/>
      <c r="L235" s="4"/>
      <c r="M235" s="4"/>
      <c r="N235" s="4"/>
      <c r="O235" s="4"/>
      <c r="P235" s="4"/>
      <c r="Q235" s="4"/>
      <c r="R235" s="4"/>
      <c r="S235" s="4"/>
      <c r="T235" s="4"/>
      <c r="U235" s="4"/>
      <c r="V235" s="4"/>
      <c r="W235" s="4"/>
      <c r="X235" s="4"/>
      <c r="Y235" s="4"/>
      <c r="Z235" s="4"/>
    </row>
    <row r="236" ht="15.75" customHeight="1">
      <c r="A236" s="1"/>
      <c r="B236" s="1"/>
      <c r="C236" s="1"/>
      <c r="D236" s="1"/>
      <c r="E236" s="1"/>
      <c r="F236" s="1"/>
      <c r="G236" s="1"/>
      <c r="H236" s="1"/>
      <c r="I236" s="1"/>
      <c r="J236" s="4"/>
      <c r="K236" s="4"/>
      <c r="L236" s="4"/>
      <c r="M236" s="4"/>
      <c r="N236" s="4"/>
      <c r="O236" s="4"/>
      <c r="P236" s="4"/>
      <c r="Q236" s="4"/>
      <c r="R236" s="4"/>
      <c r="S236" s="4"/>
      <c r="T236" s="4"/>
      <c r="U236" s="4"/>
      <c r="V236" s="4"/>
      <c r="W236" s="4"/>
      <c r="X236" s="4"/>
      <c r="Y236" s="4"/>
      <c r="Z236" s="4"/>
    </row>
    <row r="237" ht="15.75" customHeight="1">
      <c r="A237" s="1"/>
      <c r="B237" s="1"/>
      <c r="C237" s="1"/>
      <c r="D237" s="1"/>
      <c r="E237" s="1"/>
      <c r="F237" s="1"/>
      <c r="G237" s="1"/>
      <c r="H237" s="1"/>
      <c r="I237" s="1"/>
      <c r="J237" s="4"/>
      <c r="K237" s="4"/>
      <c r="L237" s="4"/>
      <c r="M237" s="4"/>
      <c r="N237" s="4"/>
      <c r="O237" s="4"/>
      <c r="P237" s="4"/>
      <c r="Q237" s="4"/>
      <c r="R237" s="4"/>
      <c r="S237" s="4"/>
      <c r="T237" s="4"/>
      <c r="U237" s="4"/>
      <c r="V237" s="4"/>
      <c r="W237" s="4"/>
      <c r="X237" s="4"/>
      <c r="Y237" s="4"/>
      <c r="Z237" s="4"/>
    </row>
    <row r="238" ht="15.75" customHeight="1">
      <c r="A238" s="1"/>
      <c r="B238" s="1"/>
      <c r="C238" s="1"/>
      <c r="D238" s="1"/>
      <c r="E238" s="1"/>
      <c r="F238" s="1"/>
      <c r="G238" s="1"/>
      <c r="H238" s="1"/>
      <c r="I238" s="1"/>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1">
    <mergeCell ref="A1:F1"/>
    <mergeCell ref="A2:F2"/>
    <mergeCell ref="A4:F4"/>
    <mergeCell ref="A5:F5"/>
    <mergeCell ref="A13:F13"/>
    <mergeCell ref="A22:F22"/>
    <mergeCell ref="A23:F23"/>
    <mergeCell ref="A77:I77"/>
    <mergeCell ref="A91:I91"/>
    <mergeCell ref="A92:I92"/>
    <mergeCell ref="A100:I100"/>
    <mergeCell ref="A101:I101"/>
    <mergeCell ref="A110:I110"/>
    <mergeCell ref="A111:I111"/>
    <mergeCell ref="A32:F32"/>
    <mergeCell ref="A36:F36"/>
    <mergeCell ref="A40:I40"/>
    <mergeCell ref="A41:I41"/>
    <mergeCell ref="A64:I64"/>
    <mergeCell ref="A65:I65"/>
    <mergeCell ref="A76:I76"/>
  </mergeCells>
  <dataValidations>
    <dataValidation type="list" allowBlank="1" showErrorMessage="1" sqref="C82:C83">
      <formula1>"Yes,No,N/A"</formula1>
    </dataValidation>
    <dataValidation type="list" allowBlank="1" showErrorMessage="1" sqref="C52:C62">
      <formula1>"Staffed and Capable,Staffed with Gap,Partially Staffed,Unstaffed"</formula1>
    </dataValidation>
    <dataValidation type="list" allowBlank="1" showErrorMessage="1" sqref="C67:C69 C79:C81 C84">
      <formula1>"Yes,No"</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38.0"/>
    <col customWidth="1" min="3" max="3" width="28.0"/>
    <col customWidth="1" min="4" max="5" width="25.0"/>
    <col customWidth="1" min="6" max="6" width="18.0"/>
    <col customWidth="1" min="7" max="7" width="20.0"/>
    <col customWidth="1" min="8" max="8" width="16.0"/>
    <col customWidth="1" min="9" max="9" width="14.0"/>
  </cols>
  <sheetData>
    <row r="1" ht="24.0" customHeight="1">
      <c r="A1" s="39" t="s">
        <v>413</v>
      </c>
      <c r="H1" s="41"/>
      <c r="I1" s="41"/>
      <c r="J1" s="41"/>
      <c r="K1" s="41"/>
      <c r="L1" s="41"/>
      <c r="M1" s="41"/>
      <c r="N1" s="41"/>
      <c r="O1" s="4"/>
      <c r="P1" s="4"/>
      <c r="Q1" s="4"/>
      <c r="R1" s="4"/>
      <c r="S1" s="4"/>
      <c r="T1" s="4"/>
      <c r="U1" s="4"/>
      <c r="V1" s="4"/>
      <c r="W1" s="4"/>
      <c r="X1" s="4"/>
      <c r="Y1" s="4"/>
      <c r="Z1" s="4"/>
    </row>
    <row r="2" ht="15.0" customHeight="1">
      <c r="A2" s="54" t="s">
        <v>420</v>
      </c>
      <c r="H2" s="41"/>
      <c r="I2" s="41"/>
      <c r="J2" s="41"/>
      <c r="K2" s="41"/>
      <c r="L2" s="41"/>
      <c r="M2" s="41"/>
      <c r="N2" s="41"/>
      <c r="O2" s="4"/>
      <c r="P2" s="4"/>
      <c r="Q2" s="4"/>
      <c r="R2" s="4"/>
      <c r="S2" s="4"/>
      <c r="T2" s="4"/>
      <c r="U2" s="4"/>
      <c r="V2" s="4"/>
      <c r="W2" s="4"/>
      <c r="X2" s="4"/>
      <c r="Y2" s="4"/>
      <c r="Z2" s="4"/>
    </row>
    <row r="3" ht="15.0" customHeight="1">
      <c r="A3" s="2"/>
      <c r="B3" s="2"/>
      <c r="C3" s="2"/>
      <c r="D3" s="2"/>
      <c r="E3" s="2"/>
      <c r="F3" s="2"/>
      <c r="G3" s="2"/>
      <c r="H3" s="41"/>
      <c r="I3" s="41"/>
      <c r="J3" s="41"/>
      <c r="K3" s="41"/>
      <c r="L3" s="41"/>
      <c r="M3" s="41"/>
      <c r="N3" s="41"/>
      <c r="O3" s="4"/>
      <c r="P3" s="4"/>
      <c r="Q3" s="4"/>
      <c r="R3" s="4"/>
      <c r="S3" s="4"/>
      <c r="T3" s="4"/>
      <c r="U3" s="4"/>
      <c r="V3" s="4"/>
      <c r="W3" s="4"/>
      <c r="X3" s="4"/>
      <c r="Y3" s="4"/>
      <c r="Z3" s="4"/>
    </row>
    <row r="4" ht="24.0" customHeight="1">
      <c r="A4" s="9"/>
      <c r="B4" s="46" t="s">
        <v>213</v>
      </c>
      <c r="C4" s="46" t="s">
        <v>424</v>
      </c>
      <c r="D4" s="46" t="s">
        <v>428</v>
      </c>
      <c r="E4" s="46" t="s">
        <v>430</v>
      </c>
      <c r="F4" s="46" t="s">
        <v>431</v>
      </c>
      <c r="G4" s="46" t="s">
        <v>432</v>
      </c>
      <c r="H4" s="47" t="s">
        <v>433</v>
      </c>
      <c r="I4" s="48" t="s">
        <v>434</v>
      </c>
      <c r="J4" s="41"/>
      <c r="K4" s="41"/>
      <c r="L4" s="41"/>
      <c r="M4" s="41"/>
      <c r="N4" s="41"/>
      <c r="O4" s="4"/>
      <c r="P4" s="4"/>
      <c r="Q4" s="4"/>
      <c r="R4" s="4"/>
      <c r="S4" s="4"/>
      <c r="T4" s="4"/>
      <c r="U4" s="4"/>
      <c r="V4" s="4"/>
      <c r="W4" s="4"/>
      <c r="X4" s="4"/>
      <c r="Y4" s="4"/>
      <c r="Z4" s="4"/>
    </row>
    <row r="5" ht="15.0" customHeight="1">
      <c r="A5" s="2"/>
      <c r="B5" s="91" t="s">
        <v>218</v>
      </c>
      <c r="C5" s="92" t="str">
        <f>IF(ISNUMBER('G — Risk Score Trend'!C12),IF('G — Risk Score Trend'!C12&gt;=5,5,IF('G — Risk Score Trend'!C12&gt;=4,4,IF('G — Risk Score Trend'!C12&gt;=3,3,IF('G — Risk Score Trend'!C12&gt;=2,2,1)))),"")</f>
        <v/>
      </c>
      <c r="D5" s="92"/>
      <c r="E5" s="92"/>
      <c r="F5" s="93" t="str">
        <f t="shared" ref="F5:F8" si="1">IF(AND(ISNUMBER(C5),ISNUMBER(D5),ISNUMBER(E5)),C5*0.4+D5*0.4+E5*0.2,"")</f>
        <v/>
      </c>
      <c r="G5" s="94" t="str">
        <f t="shared" ref="G5:G8" si="2">IF(OR(C5=1,D5=1,E5=1),1,IF(ISNUMBER(F5),INT(F5),""))</f>
        <v/>
      </c>
      <c r="H5" s="95" t="s">
        <v>429</v>
      </c>
      <c r="I5" s="95" t="s">
        <v>429</v>
      </c>
      <c r="J5" s="41"/>
      <c r="K5" s="41"/>
      <c r="L5" s="41"/>
      <c r="M5" s="41"/>
      <c r="N5" s="41"/>
      <c r="O5" s="4"/>
      <c r="P5" s="4"/>
      <c r="Q5" s="4"/>
      <c r="R5" s="4"/>
      <c r="S5" s="4"/>
      <c r="T5" s="4"/>
      <c r="U5" s="4"/>
      <c r="V5" s="4"/>
      <c r="W5" s="4"/>
      <c r="X5" s="4"/>
      <c r="Y5" s="4"/>
      <c r="Z5" s="4"/>
    </row>
    <row r="6" ht="24.0" customHeight="1">
      <c r="A6" s="2"/>
      <c r="B6" s="97" t="s">
        <v>222</v>
      </c>
      <c r="C6" s="98" t="str">
        <f>IF((COUNTIF('C — Behavioral Risk'!F21,"PASS")+COUNTIF('C — Behavioral Risk'!F21,"BREACH")+COUNTIF('C — Behavioral Risk'!F21,"N/A")+COUNTIF('C — Behavioral Risk'!F29,"PASS")+COUNTIF('C — Behavioral Risk'!F29,"BREACH")+COUNTIF('C — Behavioral Risk'!F29,"N/A"))&lt;2,"",IF(H6=0,"",1+4*(I6/H6)))</f>
        <v/>
      </c>
      <c r="D6" s="98"/>
      <c r="E6" s="98"/>
      <c r="F6" s="99" t="str">
        <f t="shared" si="1"/>
        <v/>
      </c>
      <c r="G6" s="100" t="str">
        <f t="shared" si="2"/>
        <v/>
      </c>
      <c r="H6" s="95">
        <f>COUNTIF('C — Behavioral Risk'!F21,"PASS")+COUNTIF('C — Behavioral Risk'!F21,"BREACH")+COUNTIF('C — Behavioral Risk'!F29,"PASS")+COUNTIF('C — Behavioral Risk'!F29,"BREACH")</f>
        <v>0</v>
      </c>
      <c r="I6" s="95">
        <f>COUNTIF('C — Behavioral Risk'!F21,"PASS")+COUNTIF('C — Behavioral Risk'!F29,"PASS")</f>
        <v>0</v>
      </c>
      <c r="J6" s="41"/>
      <c r="K6" s="41"/>
      <c r="L6" s="41"/>
      <c r="M6" s="41"/>
      <c r="N6" s="41"/>
      <c r="O6" s="4"/>
      <c r="P6" s="4"/>
      <c r="Q6" s="4"/>
      <c r="R6" s="4"/>
      <c r="S6" s="4"/>
      <c r="T6" s="4"/>
      <c r="U6" s="4"/>
      <c r="V6" s="4"/>
      <c r="W6" s="4"/>
      <c r="X6" s="4"/>
      <c r="Y6" s="4"/>
      <c r="Z6" s="4"/>
    </row>
    <row r="7" ht="15.0" customHeight="1">
      <c r="A7" s="2"/>
      <c r="B7" s="91" t="s">
        <v>227</v>
      </c>
      <c r="C7" s="92" t="str">
        <f>IF((COUNTIF('D — Incidents &amp; SLOs'!F17:F26,"PASS")+COUNTIF('D — Incidents &amp; SLOs'!F17:F26,"BREACH")+COUNTIF('D — Incidents &amp; SLOs'!F17:F26,"N/A")+COUNTIF('F — Exercise Results'!E25,"PASS")+COUNTIF('F — Exercise Results'!E25,"BREACH")+COUNTIF('F — Exercise Results'!E25,"N/A"))&lt;11,"",IF(H7=0,"",1+4*(I7/H7)))</f>
        <v/>
      </c>
      <c r="D7" s="92"/>
      <c r="E7" s="92"/>
      <c r="F7" s="93" t="str">
        <f t="shared" si="1"/>
        <v/>
      </c>
      <c r="G7" s="94" t="str">
        <f t="shared" si="2"/>
        <v/>
      </c>
      <c r="H7" s="95">
        <f>COUNTIF('D — Incidents &amp; SLOs'!F17:F26,"PASS")+COUNTIF('D — Incidents &amp; SLOs'!F17:F26,"BREACH")+COUNTIF('F — Exercise Results'!E25,"PASS")+COUNTIF('F — Exercise Results'!E25,"BREACH")</f>
        <v>1</v>
      </c>
      <c r="I7" s="95">
        <f>COUNTIF('D — Incidents &amp; SLOs'!F17:F26,"PASS")+COUNTIF('F — Exercise Results'!E25,"PASS")</f>
        <v>0</v>
      </c>
      <c r="J7" s="41"/>
      <c r="K7" s="41"/>
      <c r="L7" s="41"/>
      <c r="M7" s="41"/>
      <c r="N7" s="41"/>
      <c r="O7" s="4"/>
      <c r="P7" s="4"/>
      <c r="Q7" s="4"/>
      <c r="R7" s="4"/>
      <c r="S7" s="4"/>
      <c r="T7" s="4"/>
      <c r="U7" s="4"/>
      <c r="V7" s="4"/>
      <c r="W7" s="4"/>
      <c r="X7" s="4"/>
      <c r="Y7" s="4"/>
      <c r="Z7" s="4"/>
    </row>
    <row r="8" ht="24.0" customHeight="1">
      <c r="A8" s="2"/>
      <c r="B8" s="97" t="s">
        <v>12</v>
      </c>
      <c r="C8" s="98" t="str">
        <f>IF((COUNTIF('I — Supply Chain'!G23:G28,"PASS")+COUNTIF('I — Supply Chain'!G23:G28,"BREACH")+COUNTIF('I — Supply Chain'!G23:G28,"N/A"))&lt;6,"",IF(H8=0,"",1+4*(I8/H8)))</f>
        <v/>
      </c>
      <c r="D8" s="98"/>
      <c r="E8" s="98"/>
      <c r="F8" s="99" t="str">
        <f t="shared" si="1"/>
        <v/>
      </c>
      <c r="G8" s="100" t="str">
        <f t="shared" si="2"/>
        <v/>
      </c>
      <c r="H8" s="95">
        <f>COUNTIF('I — Supply Chain'!G23:G28,"PASS")+COUNTIF('I — Supply Chain'!G23:G28,"BREACH")</f>
        <v>0</v>
      </c>
      <c r="I8" s="95">
        <f>COUNTIF('I — Supply Chain'!G23:G28,"PASS")</f>
        <v>0</v>
      </c>
      <c r="J8" s="41"/>
      <c r="K8" s="41"/>
      <c r="L8" s="41"/>
      <c r="M8" s="41"/>
      <c r="N8" s="41"/>
      <c r="O8" s="4"/>
      <c r="P8" s="4"/>
      <c r="Q8" s="4"/>
      <c r="R8" s="4"/>
      <c r="S8" s="4"/>
      <c r="T8" s="4"/>
      <c r="U8" s="4"/>
      <c r="V8" s="4"/>
      <c r="W8" s="4"/>
      <c r="X8" s="4"/>
      <c r="Y8" s="4"/>
      <c r="Z8" s="4"/>
    </row>
    <row r="9" ht="15.0" customHeight="1">
      <c r="A9" s="2"/>
      <c r="B9" s="2"/>
      <c r="C9" s="2"/>
      <c r="D9" s="2"/>
      <c r="E9" s="2"/>
      <c r="F9" s="2"/>
      <c r="G9" s="2"/>
      <c r="H9" s="41"/>
      <c r="I9" s="41"/>
      <c r="J9" s="41"/>
      <c r="K9" s="41"/>
      <c r="L9" s="41"/>
      <c r="M9" s="41"/>
      <c r="N9" s="41"/>
      <c r="O9" s="4"/>
      <c r="P9" s="4"/>
      <c r="Q9" s="4"/>
      <c r="R9" s="4"/>
      <c r="S9" s="4"/>
      <c r="T9" s="4"/>
      <c r="U9" s="4"/>
      <c r="V9" s="4"/>
      <c r="W9" s="4"/>
      <c r="X9" s="4"/>
      <c r="Y9" s="4"/>
      <c r="Z9" s="4"/>
    </row>
    <row r="10" ht="15.0" customHeight="1">
      <c r="A10" s="2"/>
      <c r="B10" s="2"/>
      <c r="C10" s="2"/>
      <c r="D10" s="2"/>
      <c r="E10" s="2"/>
      <c r="F10" s="2"/>
      <c r="G10" s="2"/>
      <c r="H10" s="41"/>
      <c r="I10" s="41"/>
      <c r="J10" s="41"/>
      <c r="K10" s="41"/>
      <c r="L10" s="41"/>
      <c r="M10" s="41"/>
      <c r="N10" s="41"/>
      <c r="O10" s="4"/>
      <c r="P10" s="4"/>
      <c r="Q10" s="4"/>
      <c r="R10" s="4"/>
      <c r="S10" s="4"/>
      <c r="T10" s="4"/>
      <c r="U10" s="4"/>
      <c r="V10" s="4"/>
      <c r="W10" s="4"/>
      <c r="X10" s="4"/>
      <c r="Y10" s="4"/>
      <c r="Z10" s="4"/>
    </row>
    <row r="11" ht="15.0" customHeight="1">
      <c r="A11" s="86" t="s">
        <v>479</v>
      </c>
      <c r="H11" s="41"/>
      <c r="I11" s="41"/>
      <c r="J11" s="41"/>
      <c r="K11" s="41"/>
      <c r="L11" s="41"/>
      <c r="M11" s="41"/>
      <c r="N11" s="41"/>
      <c r="O11" s="4"/>
      <c r="P11" s="4"/>
      <c r="Q11" s="4"/>
      <c r="R11" s="4"/>
      <c r="S11" s="4"/>
      <c r="T11" s="4"/>
      <c r="U11" s="4"/>
      <c r="V11" s="4"/>
      <c r="W11" s="4"/>
      <c r="X11" s="4"/>
      <c r="Y11" s="4"/>
      <c r="Z11" s="4"/>
    </row>
    <row r="12" ht="24.0" customHeight="1">
      <c r="A12" s="9"/>
      <c r="B12" s="104" t="s">
        <v>480</v>
      </c>
      <c r="C12" s="104" t="s">
        <v>481</v>
      </c>
      <c r="D12" s="64"/>
      <c r="E12" s="64"/>
      <c r="F12" s="64"/>
      <c r="G12" s="65"/>
      <c r="H12" s="41"/>
      <c r="I12" s="41"/>
      <c r="J12" s="41"/>
      <c r="K12" s="41"/>
      <c r="L12" s="41"/>
      <c r="M12" s="41"/>
      <c r="N12" s="41"/>
      <c r="O12" s="4"/>
      <c r="P12" s="4"/>
      <c r="Q12" s="4"/>
      <c r="R12" s="4"/>
      <c r="S12" s="4"/>
      <c r="T12" s="4"/>
      <c r="U12" s="4"/>
      <c r="V12" s="4"/>
      <c r="W12" s="4"/>
      <c r="X12" s="4"/>
      <c r="Y12" s="4"/>
      <c r="Z12" s="4"/>
    </row>
    <row r="13" ht="15.0" customHeight="1">
      <c r="A13" s="2"/>
      <c r="B13" s="32" t="s">
        <v>483</v>
      </c>
      <c r="C13" s="31" t="s">
        <v>484</v>
      </c>
      <c r="D13" s="28"/>
      <c r="E13" s="28"/>
      <c r="F13" s="28"/>
      <c r="G13" s="66"/>
      <c r="H13" s="41"/>
      <c r="I13" s="41"/>
      <c r="J13" s="41"/>
      <c r="K13" s="41"/>
      <c r="L13" s="41"/>
      <c r="M13" s="41"/>
      <c r="N13" s="41"/>
      <c r="O13" s="4"/>
      <c r="P13" s="4"/>
      <c r="Q13" s="4"/>
      <c r="R13" s="4"/>
      <c r="S13" s="4"/>
      <c r="T13" s="4"/>
      <c r="U13" s="4"/>
      <c r="V13" s="4"/>
      <c r="W13" s="4"/>
      <c r="X13" s="4"/>
      <c r="Y13" s="4"/>
      <c r="Z13" s="4"/>
    </row>
    <row r="14" ht="15.0" customHeight="1">
      <c r="A14" s="2"/>
      <c r="B14" s="35" t="s">
        <v>487</v>
      </c>
      <c r="C14" s="34" t="s">
        <v>488</v>
      </c>
      <c r="D14" s="28"/>
      <c r="E14" s="28"/>
      <c r="F14" s="28"/>
      <c r="G14" s="66"/>
      <c r="H14" s="41"/>
      <c r="I14" s="41"/>
      <c r="J14" s="41"/>
      <c r="K14" s="41"/>
      <c r="L14" s="41"/>
      <c r="M14" s="41"/>
      <c r="N14" s="41"/>
      <c r="O14" s="4"/>
      <c r="P14" s="4"/>
      <c r="Q14" s="4"/>
      <c r="R14" s="4"/>
      <c r="S14" s="4"/>
      <c r="T14" s="4"/>
      <c r="U14" s="4"/>
      <c r="V14" s="4"/>
      <c r="W14" s="4"/>
      <c r="X14" s="4"/>
      <c r="Y14" s="4"/>
      <c r="Z14" s="4"/>
    </row>
    <row r="15" ht="24.0" customHeight="1">
      <c r="A15" s="2"/>
      <c r="B15" s="32" t="s">
        <v>429</v>
      </c>
      <c r="C15" s="31" t="s">
        <v>489</v>
      </c>
      <c r="D15" s="28"/>
      <c r="E15" s="28"/>
      <c r="F15" s="28"/>
      <c r="G15" s="66"/>
      <c r="H15" s="41"/>
      <c r="I15" s="41"/>
      <c r="J15" s="41"/>
      <c r="K15" s="41"/>
      <c r="L15" s="41"/>
      <c r="M15" s="41"/>
      <c r="N15" s="41"/>
      <c r="O15" s="4"/>
      <c r="P15" s="4"/>
      <c r="Q15" s="4"/>
      <c r="R15" s="4"/>
      <c r="S15" s="4"/>
      <c r="T15" s="4"/>
      <c r="U15" s="4"/>
      <c r="V15" s="4"/>
      <c r="W15" s="4"/>
      <c r="X15" s="4"/>
      <c r="Y15" s="4"/>
      <c r="Z15" s="4"/>
    </row>
    <row r="16" ht="36.0" customHeight="1">
      <c r="A16" s="2"/>
      <c r="B16" s="35" t="s">
        <v>492</v>
      </c>
      <c r="C16" s="34" t="s">
        <v>493</v>
      </c>
      <c r="D16" s="28"/>
      <c r="E16" s="28"/>
      <c r="F16" s="28"/>
      <c r="G16" s="66"/>
      <c r="H16" s="41"/>
      <c r="I16" s="41"/>
      <c r="J16" s="41"/>
      <c r="K16" s="41"/>
      <c r="L16" s="41"/>
      <c r="M16" s="41"/>
      <c r="N16" s="41"/>
      <c r="O16" s="4"/>
      <c r="P16" s="4"/>
      <c r="Q16" s="4"/>
      <c r="R16" s="4"/>
      <c r="S16" s="4"/>
      <c r="T16" s="4"/>
      <c r="U16" s="4"/>
      <c r="V16" s="4"/>
      <c r="W16" s="4"/>
      <c r="X16" s="4"/>
      <c r="Y16" s="4"/>
      <c r="Z16" s="4"/>
    </row>
    <row r="17" ht="24.0" customHeight="1">
      <c r="A17" s="2"/>
      <c r="B17" s="32" t="s">
        <v>494</v>
      </c>
      <c r="C17" s="31" t="s">
        <v>495</v>
      </c>
      <c r="D17" s="71"/>
      <c r="E17" s="71"/>
      <c r="F17" s="71"/>
      <c r="G17" s="72"/>
      <c r="H17" s="41"/>
      <c r="I17" s="41"/>
      <c r="J17" s="41"/>
      <c r="K17" s="41"/>
      <c r="L17" s="41"/>
      <c r="M17" s="41"/>
      <c r="N17" s="41"/>
      <c r="O17" s="4"/>
      <c r="P17" s="4"/>
      <c r="Q17" s="4"/>
      <c r="R17" s="4"/>
      <c r="S17" s="4"/>
      <c r="T17" s="4"/>
      <c r="U17" s="4"/>
      <c r="V17" s="4"/>
      <c r="W17" s="4"/>
      <c r="X17" s="4"/>
      <c r="Y17" s="4"/>
      <c r="Z17" s="4"/>
    </row>
    <row r="18" ht="26.25" customHeight="1">
      <c r="A18" s="80" t="s">
        <v>498</v>
      </c>
      <c r="H18" s="41"/>
      <c r="I18" s="41"/>
      <c r="J18" s="41"/>
      <c r="K18" s="41"/>
      <c r="L18" s="41"/>
      <c r="M18" s="41"/>
      <c r="N18" s="41"/>
      <c r="O18" s="4"/>
      <c r="P18" s="4"/>
      <c r="Q18" s="4"/>
      <c r="R18" s="4"/>
      <c r="S18" s="4"/>
      <c r="T18" s="4"/>
      <c r="U18" s="4"/>
      <c r="V18" s="4"/>
      <c r="W18" s="4"/>
      <c r="X18" s="4"/>
      <c r="Y18" s="4"/>
      <c r="Z18" s="4"/>
    </row>
    <row r="19" ht="15.0" customHeight="1">
      <c r="A19" s="2"/>
      <c r="B19" s="2"/>
      <c r="C19" s="2"/>
      <c r="D19" s="2"/>
      <c r="E19" s="2"/>
      <c r="F19" s="2"/>
      <c r="G19" s="2"/>
      <c r="H19" s="41"/>
      <c r="I19" s="41"/>
      <c r="J19" s="41"/>
      <c r="K19" s="41"/>
      <c r="L19" s="41"/>
      <c r="M19" s="41"/>
      <c r="N19" s="41"/>
      <c r="O19" s="4"/>
      <c r="P19" s="4"/>
      <c r="Q19" s="4"/>
      <c r="R19" s="4"/>
      <c r="S19" s="4"/>
      <c r="T19" s="4"/>
      <c r="U19" s="4"/>
      <c r="V19" s="4"/>
      <c r="W19" s="4"/>
      <c r="X19" s="4"/>
      <c r="Y19" s="4"/>
      <c r="Z19" s="4"/>
    </row>
    <row r="20" ht="15.0" customHeight="1">
      <c r="A20" s="106" t="s">
        <v>503</v>
      </c>
      <c r="H20" s="41"/>
      <c r="I20" s="41"/>
      <c r="J20" s="41"/>
      <c r="K20" s="41"/>
      <c r="L20" s="41"/>
      <c r="M20" s="41"/>
      <c r="N20" s="41"/>
      <c r="O20" s="4"/>
      <c r="P20" s="4"/>
      <c r="Q20" s="4"/>
      <c r="R20" s="4"/>
      <c r="S20" s="4"/>
      <c r="T20" s="4"/>
      <c r="U20" s="4"/>
      <c r="V20" s="4"/>
      <c r="W20" s="4"/>
      <c r="X20" s="4"/>
      <c r="Y20" s="4"/>
      <c r="Z20" s="4"/>
    </row>
    <row r="21" ht="15.0" customHeight="1">
      <c r="A21" s="9"/>
      <c r="B21" s="9" t="s">
        <v>253</v>
      </c>
      <c r="C21" s="9" t="s">
        <v>505</v>
      </c>
      <c r="D21" s="2"/>
      <c r="E21" s="2"/>
      <c r="F21" s="2"/>
      <c r="G21" s="2"/>
      <c r="H21" s="41"/>
      <c r="I21" s="41"/>
      <c r="J21" s="41"/>
      <c r="K21" s="41"/>
      <c r="L21" s="41"/>
      <c r="M21" s="41"/>
      <c r="N21" s="41"/>
      <c r="O21" s="4"/>
      <c r="P21" s="4"/>
      <c r="Q21" s="4"/>
      <c r="R21" s="4"/>
      <c r="S21" s="4"/>
      <c r="T21" s="4"/>
      <c r="U21" s="4"/>
      <c r="V21" s="4"/>
      <c r="W21" s="4"/>
      <c r="X21" s="4"/>
      <c r="Y21" s="4"/>
      <c r="Z21" s="4"/>
    </row>
    <row r="22" ht="15.0" customHeight="1">
      <c r="A22" s="2"/>
      <c r="B22" s="107" t="s">
        <v>151</v>
      </c>
      <c r="C22" s="108" t="s">
        <v>507</v>
      </c>
      <c r="D22" s="2"/>
      <c r="E22" s="2"/>
      <c r="F22" s="2"/>
      <c r="G22" s="2"/>
      <c r="H22" s="41"/>
      <c r="I22" s="41"/>
      <c r="J22" s="41"/>
      <c r="K22" s="41"/>
      <c r="L22" s="41"/>
      <c r="M22" s="41"/>
      <c r="N22" s="41"/>
      <c r="O22" s="4"/>
      <c r="P22" s="4"/>
      <c r="Q22" s="4"/>
      <c r="R22" s="4"/>
      <c r="S22" s="4"/>
      <c r="T22" s="4"/>
      <c r="U22" s="4"/>
      <c r="V22" s="4"/>
      <c r="W22" s="4"/>
      <c r="X22" s="4"/>
      <c r="Y22" s="4"/>
      <c r="Z22" s="4"/>
    </row>
    <row r="23" ht="15.0" customHeight="1">
      <c r="A23" s="2"/>
      <c r="B23" s="109" t="s">
        <v>149</v>
      </c>
      <c r="C23" s="110" t="s">
        <v>514</v>
      </c>
      <c r="D23" s="2"/>
      <c r="E23" s="2"/>
      <c r="F23" s="2"/>
      <c r="G23" s="2"/>
      <c r="H23" s="41"/>
      <c r="I23" s="41"/>
      <c r="J23" s="41"/>
      <c r="K23" s="41"/>
      <c r="L23" s="41"/>
      <c r="M23" s="41"/>
      <c r="N23" s="41"/>
      <c r="O23" s="4"/>
      <c r="P23" s="4"/>
      <c r="Q23" s="4"/>
      <c r="R23" s="4"/>
      <c r="S23" s="4"/>
      <c r="T23" s="4"/>
      <c r="U23" s="4"/>
      <c r="V23" s="4"/>
      <c r="W23" s="4"/>
      <c r="X23" s="4"/>
      <c r="Y23" s="4"/>
      <c r="Z23" s="4"/>
    </row>
    <row r="24" ht="15.0" customHeight="1">
      <c r="A24" s="2"/>
      <c r="B24" s="107" t="s">
        <v>147</v>
      </c>
      <c r="C24" s="108" t="s">
        <v>517</v>
      </c>
      <c r="D24" s="2"/>
      <c r="E24" s="2"/>
      <c r="F24" s="2"/>
      <c r="G24" s="2"/>
      <c r="H24" s="41"/>
      <c r="I24" s="41"/>
      <c r="J24" s="41"/>
      <c r="K24" s="41"/>
      <c r="L24" s="41"/>
      <c r="M24" s="41"/>
      <c r="N24" s="41"/>
      <c r="O24" s="4"/>
      <c r="P24" s="4"/>
      <c r="Q24" s="4"/>
      <c r="R24" s="4"/>
      <c r="S24" s="4"/>
      <c r="T24" s="4"/>
      <c r="U24" s="4"/>
      <c r="V24" s="4"/>
      <c r="W24" s="4"/>
      <c r="X24" s="4"/>
      <c r="Y24" s="4"/>
      <c r="Z24" s="4"/>
    </row>
    <row r="25" ht="15.0" customHeight="1">
      <c r="A25" s="2"/>
      <c r="B25" s="109" t="s">
        <v>145</v>
      </c>
      <c r="C25" s="110" t="s">
        <v>520</v>
      </c>
      <c r="D25" s="2"/>
      <c r="E25" s="2"/>
      <c r="F25" s="2"/>
      <c r="G25" s="2"/>
      <c r="H25" s="41"/>
      <c r="I25" s="41"/>
      <c r="J25" s="41"/>
      <c r="K25" s="41"/>
      <c r="L25" s="41"/>
      <c r="M25" s="41"/>
      <c r="N25" s="41"/>
      <c r="O25" s="4"/>
      <c r="P25" s="4"/>
      <c r="Q25" s="4"/>
      <c r="R25" s="4"/>
      <c r="S25" s="4"/>
      <c r="T25" s="4"/>
      <c r="U25" s="4"/>
      <c r="V25" s="4"/>
      <c r="W25" s="4"/>
      <c r="X25" s="4"/>
      <c r="Y25" s="4"/>
      <c r="Z25" s="4"/>
    </row>
    <row r="26" ht="84.0" customHeight="1">
      <c r="A26" s="2"/>
      <c r="B26" s="107" t="s">
        <v>143</v>
      </c>
      <c r="C26" s="108" t="s">
        <v>524</v>
      </c>
      <c r="D26" s="2"/>
      <c r="E26" s="2"/>
      <c r="F26" s="2"/>
      <c r="G26" s="2"/>
      <c r="H26" s="41"/>
      <c r="I26" s="41"/>
      <c r="J26" s="41"/>
      <c r="K26" s="41"/>
      <c r="L26" s="41"/>
      <c r="M26" s="41"/>
      <c r="N26" s="41"/>
      <c r="O26" s="4"/>
      <c r="P26" s="4"/>
      <c r="Q26" s="4"/>
      <c r="R26" s="4"/>
      <c r="S26" s="4"/>
      <c r="T26" s="4"/>
      <c r="U26" s="4"/>
      <c r="V26" s="4"/>
      <c r="W26" s="4"/>
      <c r="X26" s="4"/>
      <c r="Y26" s="4"/>
      <c r="Z26" s="4"/>
    </row>
    <row r="27" ht="15.0" customHeight="1">
      <c r="A27" s="2"/>
      <c r="B27" s="2"/>
      <c r="C27" s="2"/>
      <c r="D27" s="2"/>
      <c r="E27" s="2"/>
      <c r="F27" s="2"/>
      <c r="G27" s="2"/>
      <c r="H27" s="41"/>
      <c r="I27" s="41"/>
      <c r="J27" s="41"/>
      <c r="K27" s="41"/>
      <c r="L27" s="41"/>
      <c r="M27" s="41"/>
      <c r="N27" s="41"/>
      <c r="O27" s="4"/>
      <c r="P27" s="4"/>
      <c r="Q27" s="4"/>
      <c r="R27" s="4"/>
      <c r="S27" s="4"/>
      <c r="T27" s="4"/>
      <c r="U27" s="4"/>
      <c r="V27" s="4"/>
      <c r="W27" s="4"/>
      <c r="X27" s="4"/>
      <c r="Y27" s="4"/>
      <c r="Z27" s="4"/>
    </row>
    <row r="28" ht="15.0" customHeight="1">
      <c r="A28" s="2"/>
      <c r="B28" s="2"/>
      <c r="C28" s="2"/>
      <c r="D28" s="2"/>
      <c r="E28" s="2"/>
      <c r="F28" s="2"/>
      <c r="G28" s="2"/>
      <c r="H28" s="41"/>
      <c r="I28" s="41"/>
      <c r="J28" s="41"/>
      <c r="K28" s="41"/>
      <c r="L28" s="41"/>
      <c r="M28" s="41"/>
      <c r="N28" s="41"/>
      <c r="O28" s="4"/>
      <c r="P28" s="4"/>
      <c r="Q28" s="4"/>
      <c r="R28" s="4"/>
      <c r="S28" s="4"/>
      <c r="T28" s="4"/>
      <c r="U28" s="4"/>
      <c r="V28" s="4"/>
      <c r="W28" s="4"/>
      <c r="X28" s="4"/>
      <c r="Y28" s="4"/>
      <c r="Z28" s="4"/>
    </row>
    <row r="29" ht="15.0" customHeight="1">
      <c r="A29" s="86" t="s">
        <v>530</v>
      </c>
      <c r="H29" s="41"/>
      <c r="I29" s="41"/>
      <c r="J29" s="41"/>
      <c r="K29" s="41"/>
      <c r="L29" s="41"/>
      <c r="M29" s="41"/>
      <c r="N29" s="41"/>
      <c r="O29" s="4"/>
      <c r="P29" s="4"/>
      <c r="Q29" s="4"/>
      <c r="R29" s="4"/>
      <c r="S29" s="4"/>
      <c r="T29" s="4"/>
      <c r="U29" s="4"/>
      <c r="V29" s="4"/>
      <c r="W29" s="4"/>
      <c r="X29" s="4"/>
      <c r="Y29" s="4"/>
      <c r="Z29" s="4"/>
    </row>
    <row r="30" ht="15.0" customHeight="1">
      <c r="A30" s="9"/>
      <c r="B30" s="46" t="s">
        <v>253</v>
      </c>
      <c r="C30" s="46" t="s">
        <v>505</v>
      </c>
      <c r="D30" s="2"/>
      <c r="E30" s="2"/>
      <c r="F30" s="2"/>
      <c r="G30" s="2"/>
      <c r="H30" s="41"/>
      <c r="I30" s="41"/>
      <c r="J30" s="41"/>
      <c r="K30" s="41"/>
      <c r="L30" s="41"/>
      <c r="M30" s="41"/>
      <c r="N30" s="41"/>
      <c r="O30" s="4"/>
      <c r="P30" s="4"/>
      <c r="Q30" s="4"/>
      <c r="R30" s="4"/>
      <c r="S30" s="4"/>
      <c r="T30" s="4"/>
      <c r="U30" s="4"/>
      <c r="V30" s="4"/>
      <c r="W30" s="4"/>
      <c r="X30" s="4"/>
      <c r="Y30" s="4"/>
      <c r="Z30" s="4"/>
    </row>
    <row r="31" ht="24.0" customHeight="1">
      <c r="A31" s="2"/>
      <c r="B31" s="32" t="s">
        <v>151</v>
      </c>
      <c r="C31" s="111" t="s">
        <v>537</v>
      </c>
      <c r="D31" s="2"/>
      <c r="E31" s="2"/>
      <c r="F31" s="2"/>
      <c r="G31" s="2"/>
      <c r="H31" s="41"/>
      <c r="I31" s="41"/>
      <c r="J31" s="41"/>
      <c r="K31" s="41"/>
      <c r="L31" s="41"/>
      <c r="M31" s="41"/>
      <c r="N31" s="41"/>
      <c r="O31" s="4"/>
      <c r="P31" s="4"/>
      <c r="Q31" s="4"/>
      <c r="R31" s="4"/>
      <c r="S31" s="4"/>
      <c r="T31" s="4"/>
      <c r="U31" s="4"/>
      <c r="V31" s="4"/>
      <c r="W31" s="4"/>
      <c r="X31" s="4"/>
      <c r="Y31" s="4"/>
      <c r="Z31" s="4"/>
    </row>
    <row r="32" ht="36.0" customHeight="1">
      <c r="A32" s="2"/>
      <c r="B32" s="35" t="s">
        <v>149</v>
      </c>
      <c r="C32" s="112" t="s">
        <v>538</v>
      </c>
      <c r="D32" s="2"/>
      <c r="E32" s="2"/>
      <c r="F32" s="2"/>
      <c r="G32" s="2"/>
      <c r="H32" s="41"/>
      <c r="I32" s="41"/>
      <c r="J32" s="41"/>
      <c r="K32" s="41"/>
      <c r="L32" s="41"/>
      <c r="M32" s="41"/>
      <c r="N32" s="41"/>
      <c r="O32" s="4"/>
      <c r="P32" s="4"/>
      <c r="Q32" s="4"/>
      <c r="R32" s="4"/>
      <c r="S32" s="4"/>
      <c r="T32" s="4"/>
      <c r="U32" s="4"/>
      <c r="V32" s="4"/>
      <c r="W32" s="4"/>
      <c r="X32" s="4"/>
      <c r="Y32" s="4"/>
      <c r="Z32" s="4"/>
    </row>
    <row r="33" ht="24.0" customHeight="1">
      <c r="A33" s="2"/>
      <c r="B33" s="32" t="s">
        <v>147</v>
      </c>
      <c r="C33" s="111" t="s">
        <v>539</v>
      </c>
      <c r="D33" s="2"/>
      <c r="E33" s="2"/>
      <c r="F33" s="2"/>
      <c r="G33" s="2"/>
      <c r="H33" s="41"/>
      <c r="I33" s="41"/>
      <c r="J33" s="41"/>
      <c r="K33" s="41"/>
      <c r="L33" s="41"/>
      <c r="M33" s="41"/>
      <c r="N33" s="41"/>
      <c r="O33" s="4"/>
      <c r="P33" s="4"/>
      <c r="Q33" s="4"/>
      <c r="R33" s="4"/>
      <c r="S33" s="4"/>
      <c r="T33" s="4"/>
      <c r="U33" s="4"/>
      <c r="V33" s="4"/>
      <c r="W33" s="4"/>
      <c r="X33" s="4"/>
      <c r="Y33" s="4"/>
      <c r="Z33" s="4"/>
    </row>
    <row r="34" ht="48.0" customHeight="1">
      <c r="A34" s="2"/>
      <c r="B34" s="35" t="s">
        <v>145</v>
      </c>
      <c r="C34" s="112" t="s">
        <v>540</v>
      </c>
      <c r="D34" s="2"/>
      <c r="E34" s="2"/>
      <c r="F34" s="2"/>
      <c r="G34" s="2"/>
      <c r="H34" s="41"/>
      <c r="I34" s="41"/>
      <c r="J34" s="41"/>
      <c r="K34" s="41"/>
      <c r="L34" s="41"/>
      <c r="M34" s="41"/>
      <c r="N34" s="41"/>
      <c r="O34" s="4"/>
      <c r="P34" s="4"/>
      <c r="Q34" s="4"/>
      <c r="R34" s="4"/>
      <c r="S34" s="4"/>
      <c r="T34" s="4"/>
      <c r="U34" s="4"/>
      <c r="V34" s="4"/>
      <c r="W34" s="4"/>
      <c r="X34" s="4"/>
      <c r="Y34" s="4"/>
      <c r="Z34" s="4"/>
    </row>
    <row r="35" ht="48.0" customHeight="1">
      <c r="A35" s="2"/>
      <c r="B35" s="113" t="s">
        <v>143</v>
      </c>
      <c r="C35" s="114" t="s">
        <v>541</v>
      </c>
      <c r="D35" s="2"/>
      <c r="E35" s="2"/>
      <c r="F35" s="2"/>
      <c r="G35" s="2"/>
      <c r="H35" s="41"/>
      <c r="I35" s="41"/>
      <c r="J35" s="41"/>
      <c r="K35" s="41"/>
      <c r="L35" s="41"/>
      <c r="M35" s="41"/>
      <c r="N35" s="41"/>
      <c r="O35" s="4"/>
      <c r="P35" s="4"/>
      <c r="Q35" s="4"/>
      <c r="R35" s="4"/>
      <c r="S35" s="4"/>
      <c r="T35" s="4"/>
      <c r="U35" s="4"/>
      <c r="V35" s="4"/>
      <c r="W35" s="4"/>
      <c r="X35" s="4"/>
      <c r="Y35" s="4"/>
      <c r="Z35" s="4"/>
    </row>
    <row r="36" ht="26.25" customHeight="1">
      <c r="A36" s="80" t="s">
        <v>542</v>
      </c>
      <c r="H36" s="41"/>
      <c r="I36" s="41"/>
      <c r="J36" s="41"/>
      <c r="K36" s="41"/>
      <c r="L36" s="41"/>
      <c r="M36" s="41"/>
      <c r="N36" s="41"/>
      <c r="O36" s="4"/>
      <c r="P36" s="4"/>
      <c r="Q36" s="4"/>
      <c r="R36" s="4"/>
      <c r="S36" s="4"/>
      <c r="T36" s="4"/>
      <c r="U36" s="4"/>
      <c r="V36" s="4"/>
      <c r="W36" s="4"/>
      <c r="X36" s="4"/>
      <c r="Y36" s="4"/>
      <c r="Z36" s="4"/>
    </row>
    <row r="37" ht="15.75" customHeight="1">
      <c r="A37" s="2"/>
      <c r="B37" s="2"/>
      <c r="C37" s="2"/>
      <c r="D37" s="2"/>
      <c r="E37" s="2"/>
      <c r="F37" s="2"/>
      <c r="G37" s="2"/>
      <c r="H37" s="41"/>
      <c r="I37" s="41"/>
      <c r="J37" s="41"/>
      <c r="K37" s="41"/>
      <c r="L37" s="41"/>
      <c r="M37" s="41"/>
      <c r="N37" s="41"/>
      <c r="O37" s="4"/>
      <c r="P37" s="4"/>
      <c r="Q37" s="4"/>
      <c r="R37" s="4"/>
      <c r="S37" s="4"/>
      <c r="T37" s="4"/>
      <c r="U37" s="4"/>
      <c r="V37" s="4"/>
      <c r="W37" s="4"/>
      <c r="X37" s="4"/>
      <c r="Y37" s="4"/>
      <c r="Z37" s="4"/>
    </row>
    <row r="38" ht="15.75" customHeight="1">
      <c r="A38" s="29" t="s">
        <v>543</v>
      </c>
      <c r="B38" s="29"/>
      <c r="C38" s="29"/>
      <c r="D38" s="29"/>
      <c r="E38" s="29"/>
      <c r="F38" s="29"/>
      <c r="G38" s="29"/>
      <c r="H38" s="29"/>
      <c r="I38" s="41"/>
      <c r="J38" s="41"/>
      <c r="K38" s="41"/>
      <c r="L38" s="41"/>
      <c r="M38" s="41"/>
      <c r="N38" s="41"/>
      <c r="O38" s="4"/>
      <c r="P38" s="4"/>
      <c r="Q38" s="4"/>
      <c r="R38" s="4"/>
      <c r="S38" s="4"/>
      <c r="T38" s="4"/>
      <c r="U38" s="4"/>
      <c r="V38" s="4"/>
      <c r="W38" s="4"/>
      <c r="X38" s="4"/>
      <c r="Y38" s="4"/>
      <c r="Z38" s="4"/>
    </row>
    <row r="39" ht="15.75" customHeight="1">
      <c r="A39" s="29" t="s">
        <v>544</v>
      </c>
      <c r="B39" s="29"/>
      <c r="C39" s="29"/>
      <c r="D39" s="29"/>
      <c r="E39" s="29"/>
      <c r="F39" s="29"/>
      <c r="G39" s="29"/>
      <c r="H39" s="29"/>
      <c r="I39" s="41"/>
      <c r="J39" s="41"/>
      <c r="K39" s="41"/>
      <c r="L39" s="41"/>
      <c r="M39" s="41"/>
      <c r="N39" s="41"/>
      <c r="O39" s="4"/>
      <c r="P39" s="4"/>
      <c r="Q39" s="4"/>
      <c r="R39" s="4"/>
      <c r="S39" s="4"/>
      <c r="T39" s="4"/>
      <c r="U39" s="4"/>
      <c r="V39" s="4"/>
      <c r="W39" s="4"/>
      <c r="X39" s="4"/>
      <c r="Y39" s="4"/>
      <c r="Z39" s="4"/>
    </row>
    <row r="40" ht="15.75" customHeight="1">
      <c r="A40" s="2"/>
      <c r="B40" s="2"/>
      <c r="C40" s="2"/>
      <c r="D40" s="2"/>
      <c r="E40" s="2"/>
      <c r="F40" s="2"/>
      <c r="G40" s="2"/>
      <c r="H40" s="41"/>
      <c r="I40" s="41"/>
      <c r="J40" s="41"/>
      <c r="K40" s="41"/>
      <c r="L40" s="41"/>
      <c r="M40" s="41"/>
      <c r="N40" s="41"/>
      <c r="O40" s="4"/>
      <c r="P40" s="4"/>
      <c r="Q40" s="4"/>
      <c r="R40" s="4"/>
      <c r="S40" s="4"/>
      <c r="T40" s="4"/>
      <c r="U40" s="4"/>
      <c r="V40" s="4"/>
      <c r="W40" s="4"/>
      <c r="X40" s="4"/>
      <c r="Y40" s="4"/>
      <c r="Z40" s="4"/>
    </row>
    <row r="41" ht="15.75" customHeight="1">
      <c r="A41" s="2"/>
      <c r="B41" s="2"/>
      <c r="C41" s="2"/>
      <c r="D41" s="2"/>
      <c r="E41" s="2"/>
      <c r="F41" s="2"/>
      <c r="G41" s="2"/>
      <c r="H41" s="41"/>
      <c r="I41" s="41"/>
      <c r="J41" s="41"/>
      <c r="K41" s="41"/>
      <c r="L41" s="41"/>
      <c r="M41" s="41"/>
      <c r="N41" s="41"/>
      <c r="O41" s="4"/>
      <c r="P41" s="4"/>
      <c r="Q41" s="4"/>
      <c r="R41" s="4"/>
      <c r="S41" s="4"/>
      <c r="T41" s="4"/>
      <c r="U41" s="4"/>
      <c r="V41" s="4"/>
      <c r="W41" s="4"/>
      <c r="X41" s="4"/>
      <c r="Y41" s="4"/>
      <c r="Z41" s="4"/>
    </row>
    <row r="42" ht="15.75" customHeight="1">
      <c r="A42" s="2"/>
      <c r="B42" s="2"/>
      <c r="C42" s="2"/>
      <c r="D42" s="2"/>
      <c r="E42" s="2"/>
      <c r="F42" s="2"/>
      <c r="G42" s="2"/>
      <c r="H42" s="41"/>
      <c r="I42" s="41"/>
      <c r="J42" s="41"/>
      <c r="K42" s="41"/>
      <c r="L42" s="41"/>
      <c r="M42" s="41"/>
      <c r="N42" s="41"/>
      <c r="O42" s="4"/>
      <c r="P42" s="4"/>
      <c r="Q42" s="4"/>
      <c r="R42" s="4"/>
      <c r="S42" s="4"/>
      <c r="T42" s="4"/>
      <c r="U42" s="4"/>
      <c r="V42" s="4"/>
      <c r="W42" s="4"/>
      <c r="X42" s="4"/>
      <c r="Y42" s="4"/>
      <c r="Z42" s="4"/>
    </row>
    <row r="43" ht="15.75" customHeight="1">
      <c r="A43" s="2"/>
      <c r="B43" s="2"/>
      <c r="C43" s="2"/>
      <c r="D43" s="2"/>
      <c r="E43" s="2"/>
      <c r="F43" s="2"/>
      <c r="G43" s="2"/>
      <c r="H43" s="41"/>
      <c r="I43" s="41"/>
      <c r="J43" s="41"/>
      <c r="K43" s="41"/>
      <c r="L43" s="41"/>
      <c r="M43" s="41"/>
      <c r="N43" s="41"/>
      <c r="O43" s="4"/>
      <c r="P43" s="4"/>
      <c r="Q43" s="4"/>
      <c r="R43" s="4"/>
      <c r="S43" s="4"/>
      <c r="T43" s="4"/>
      <c r="U43" s="4"/>
      <c r="V43" s="4"/>
      <c r="W43" s="4"/>
      <c r="X43" s="4"/>
      <c r="Y43" s="4"/>
      <c r="Z43" s="4"/>
    </row>
    <row r="44" ht="15.75" customHeight="1">
      <c r="A44" s="2"/>
      <c r="B44" s="2"/>
      <c r="C44" s="2"/>
      <c r="D44" s="2"/>
      <c r="E44" s="2"/>
      <c r="F44" s="2"/>
      <c r="G44" s="2"/>
      <c r="H44" s="41"/>
      <c r="I44" s="41"/>
      <c r="J44" s="41"/>
      <c r="K44" s="41"/>
      <c r="L44" s="41"/>
      <c r="M44" s="41"/>
      <c r="N44" s="41"/>
      <c r="O44" s="4"/>
      <c r="P44" s="4"/>
      <c r="Q44" s="4"/>
      <c r="R44" s="4"/>
      <c r="S44" s="4"/>
      <c r="T44" s="4"/>
      <c r="U44" s="4"/>
      <c r="V44" s="4"/>
      <c r="W44" s="4"/>
      <c r="X44" s="4"/>
      <c r="Y44" s="4"/>
      <c r="Z44" s="4"/>
    </row>
    <row r="45" ht="15.75" customHeight="1">
      <c r="A45" s="2"/>
      <c r="B45" s="2"/>
      <c r="C45" s="2"/>
      <c r="D45" s="2"/>
      <c r="E45" s="2"/>
      <c r="F45" s="2"/>
      <c r="G45" s="2"/>
      <c r="H45" s="41"/>
      <c r="I45" s="41"/>
      <c r="J45" s="41"/>
      <c r="K45" s="41"/>
      <c r="L45" s="41"/>
      <c r="M45" s="41"/>
      <c r="N45" s="41"/>
      <c r="O45" s="4"/>
      <c r="P45" s="4"/>
      <c r="Q45" s="4"/>
      <c r="R45" s="4"/>
      <c r="S45" s="4"/>
      <c r="T45" s="4"/>
      <c r="U45" s="4"/>
      <c r="V45" s="4"/>
      <c r="W45" s="4"/>
      <c r="X45" s="4"/>
      <c r="Y45" s="4"/>
      <c r="Z45" s="4"/>
    </row>
    <row r="46" ht="15.75" customHeight="1">
      <c r="A46" s="2"/>
      <c r="B46" s="2"/>
      <c r="C46" s="2"/>
      <c r="D46" s="2"/>
      <c r="E46" s="2"/>
      <c r="F46" s="2"/>
      <c r="G46" s="2"/>
      <c r="H46" s="41"/>
      <c r="I46" s="41"/>
      <c r="J46" s="41"/>
      <c r="K46" s="41"/>
      <c r="L46" s="41"/>
      <c r="M46" s="41"/>
      <c r="N46" s="41"/>
      <c r="O46" s="4"/>
      <c r="P46" s="4"/>
      <c r="Q46" s="4"/>
      <c r="R46" s="4"/>
      <c r="S46" s="4"/>
      <c r="T46" s="4"/>
      <c r="U46" s="4"/>
      <c r="V46" s="4"/>
      <c r="W46" s="4"/>
      <c r="X46" s="4"/>
      <c r="Y46" s="4"/>
      <c r="Z46" s="4"/>
    </row>
    <row r="47" ht="15.75" customHeight="1">
      <c r="A47" s="2"/>
      <c r="B47" s="2"/>
      <c r="C47" s="2"/>
      <c r="D47" s="2"/>
      <c r="E47" s="2"/>
      <c r="F47" s="2"/>
      <c r="G47" s="2"/>
      <c r="H47" s="41"/>
      <c r="I47" s="41"/>
      <c r="J47" s="41"/>
      <c r="K47" s="41"/>
      <c r="L47" s="41"/>
      <c r="M47" s="41"/>
      <c r="N47" s="41"/>
      <c r="O47" s="4"/>
      <c r="P47" s="4"/>
      <c r="Q47" s="4"/>
      <c r="R47" s="4"/>
      <c r="S47" s="4"/>
      <c r="T47" s="4"/>
      <c r="U47" s="4"/>
      <c r="V47" s="4"/>
      <c r="W47" s="4"/>
      <c r="X47" s="4"/>
      <c r="Y47" s="4"/>
      <c r="Z47" s="4"/>
    </row>
    <row r="48" ht="15.75" customHeight="1">
      <c r="A48" s="2"/>
      <c r="B48" s="2"/>
      <c r="C48" s="2"/>
      <c r="D48" s="2"/>
      <c r="E48" s="2"/>
      <c r="F48" s="2"/>
      <c r="G48" s="2"/>
      <c r="H48" s="41"/>
      <c r="I48" s="41"/>
      <c r="J48" s="41"/>
      <c r="K48" s="41"/>
      <c r="L48" s="41"/>
      <c r="M48" s="41"/>
      <c r="N48" s="41"/>
      <c r="O48" s="4"/>
      <c r="P48" s="4"/>
      <c r="Q48" s="4"/>
      <c r="R48" s="4"/>
      <c r="S48" s="4"/>
      <c r="T48" s="4"/>
      <c r="U48" s="4"/>
      <c r="V48" s="4"/>
      <c r="W48" s="4"/>
      <c r="X48" s="4"/>
      <c r="Y48" s="4"/>
      <c r="Z48" s="4"/>
    </row>
    <row r="49" ht="15.75" customHeight="1">
      <c r="A49" s="2"/>
      <c r="B49" s="2"/>
      <c r="C49" s="2"/>
      <c r="D49" s="2"/>
      <c r="E49" s="2"/>
      <c r="F49" s="2"/>
      <c r="G49" s="2"/>
      <c r="H49" s="41"/>
      <c r="I49" s="41"/>
      <c r="J49" s="41"/>
      <c r="K49" s="41"/>
      <c r="L49" s="41"/>
      <c r="M49" s="41"/>
      <c r="N49" s="41"/>
      <c r="O49" s="4"/>
      <c r="P49" s="4"/>
      <c r="Q49" s="4"/>
      <c r="R49" s="4"/>
      <c r="S49" s="4"/>
      <c r="T49" s="4"/>
      <c r="U49" s="4"/>
      <c r="V49" s="4"/>
      <c r="W49" s="4"/>
      <c r="X49" s="4"/>
      <c r="Y49" s="4"/>
      <c r="Z49" s="4"/>
    </row>
    <row r="50" ht="15.75" customHeight="1">
      <c r="A50" s="2"/>
      <c r="B50" s="2"/>
      <c r="C50" s="2"/>
      <c r="D50" s="2"/>
      <c r="E50" s="2"/>
      <c r="F50" s="2"/>
      <c r="G50" s="2"/>
      <c r="H50" s="41"/>
      <c r="I50" s="41"/>
      <c r="J50" s="41"/>
      <c r="K50" s="41"/>
      <c r="L50" s="41"/>
      <c r="M50" s="41"/>
      <c r="N50" s="41"/>
      <c r="O50" s="4"/>
      <c r="P50" s="4"/>
      <c r="Q50" s="4"/>
      <c r="R50" s="4"/>
      <c r="S50" s="4"/>
      <c r="T50" s="4"/>
      <c r="U50" s="4"/>
      <c r="V50" s="4"/>
      <c r="W50" s="4"/>
      <c r="X50" s="4"/>
      <c r="Y50" s="4"/>
      <c r="Z50" s="4"/>
    </row>
    <row r="51" ht="15.75" customHeight="1">
      <c r="A51" s="2"/>
      <c r="B51" s="2"/>
      <c r="C51" s="2"/>
      <c r="D51" s="2"/>
      <c r="E51" s="2"/>
      <c r="F51" s="2"/>
      <c r="G51" s="2"/>
      <c r="H51" s="41"/>
      <c r="I51" s="41"/>
      <c r="J51" s="41"/>
      <c r="K51" s="41"/>
      <c r="L51" s="41"/>
      <c r="M51" s="41"/>
      <c r="N51" s="41"/>
      <c r="O51" s="4"/>
      <c r="P51" s="4"/>
      <c r="Q51" s="4"/>
      <c r="R51" s="4"/>
      <c r="S51" s="4"/>
      <c r="T51" s="4"/>
      <c r="U51" s="4"/>
      <c r="V51" s="4"/>
      <c r="W51" s="4"/>
      <c r="X51" s="4"/>
      <c r="Y51" s="4"/>
      <c r="Z51" s="4"/>
    </row>
    <row r="52" ht="15.75" customHeight="1">
      <c r="A52" s="2"/>
      <c r="B52" s="2"/>
      <c r="C52" s="2"/>
      <c r="D52" s="2"/>
      <c r="E52" s="2"/>
      <c r="F52" s="2"/>
      <c r="G52" s="2"/>
      <c r="H52" s="41"/>
      <c r="I52" s="41"/>
      <c r="J52" s="41"/>
      <c r="K52" s="41"/>
      <c r="L52" s="41"/>
      <c r="M52" s="41"/>
      <c r="N52" s="41"/>
      <c r="O52" s="4"/>
      <c r="P52" s="4"/>
      <c r="Q52" s="4"/>
      <c r="R52" s="4"/>
      <c r="S52" s="4"/>
      <c r="T52" s="4"/>
      <c r="U52" s="4"/>
      <c r="V52" s="4"/>
      <c r="W52" s="4"/>
      <c r="X52" s="4"/>
      <c r="Y52" s="4"/>
      <c r="Z52" s="4"/>
    </row>
    <row r="53" ht="15.75" customHeight="1">
      <c r="A53" s="2"/>
      <c r="B53" s="2"/>
      <c r="C53" s="2"/>
      <c r="D53" s="2"/>
      <c r="E53" s="2"/>
      <c r="F53" s="2"/>
      <c r="G53" s="2"/>
      <c r="H53" s="41"/>
      <c r="I53" s="41"/>
      <c r="J53" s="41"/>
      <c r="K53" s="41"/>
      <c r="L53" s="41"/>
      <c r="M53" s="41"/>
      <c r="N53" s="41"/>
      <c r="O53" s="4"/>
      <c r="P53" s="4"/>
      <c r="Q53" s="4"/>
      <c r="R53" s="4"/>
      <c r="S53" s="4"/>
      <c r="T53" s="4"/>
      <c r="U53" s="4"/>
      <c r="V53" s="4"/>
      <c r="W53" s="4"/>
      <c r="X53" s="4"/>
      <c r="Y53" s="4"/>
      <c r="Z53" s="4"/>
    </row>
    <row r="54" ht="15.75" customHeight="1">
      <c r="A54" s="2"/>
      <c r="B54" s="2"/>
      <c r="C54" s="2"/>
      <c r="D54" s="2"/>
      <c r="E54" s="2"/>
      <c r="F54" s="2"/>
      <c r="G54" s="2"/>
      <c r="H54" s="41"/>
      <c r="I54" s="41"/>
      <c r="J54" s="41"/>
      <c r="K54" s="41"/>
      <c r="L54" s="41"/>
      <c r="M54" s="41"/>
      <c r="N54" s="41"/>
      <c r="O54" s="4"/>
      <c r="P54" s="4"/>
      <c r="Q54" s="4"/>
      <c r="R54" s="4"/>
      <c r="S54" s="4"/>
      <c r="T54" s="4"/>
      <c r="U54" s="4"/>
      <c r="V54" s="4"/>
      <c r="W54" s="4"/>
      <c r="X54" s="4"/>
      <c r="Y54" s="4"/>
      <c r="Z54" s="4"/>
    </row>
    <row r="55" ht="15.75" customHeight="1">
      <c r="A55" s="2"/>
      <c r="B55" s="2"/>
      <c r="C55" s="2"/>
      <c r="D55" s="2"/>
      <c r="E55" s="2"/>
      <c r="F55" s="2"/>
      <c r="G55" s="2"/>
      <c r="H55" s="41"/>
      <c r="I55" s="41"/>
      <c r="J55" s="41"/>
      <c r="K55" s="41"/>
      <c r="L55" s="41"/>
      <c r="M55" s="41"/>
      <c r="N55" s="41"/>
      <c r="O55" s="4"/>
      <c r="P55" s="4"/>
      <c r="Q55" s="4"/>
      <c r="R55" s="4"/>
      <c r="S55" s="4"/>
      <c r="T55" s="4"/>
      <c r="U55" s="4"/>
      <c r="V55" s="4"/>
      <c r="W55" s="4"/>
      <c r="X55" s="4"/>
      <c r="Y55" s="4"/>
      <c r="Z55" s="4"/>
    </row>
    <row r="56" ht="15.75" customHeight="1">
      <c r="A56" s="2"/>
      <c r="B56" s="2"/>
      <c r="C56" s="2"/>
      <c r="D56" s="2"/>
      <c r="E56" s="2"/>
      <c r="F56" s="2"/>
      <c r="G56" s="2"/>
      <c r="H56" s="41"/>
      <c r="I56" s="41"/>
      <c r="J56" s="41"/>
      <c r="K56" s="41"/>
      <c r="L56" s="41"/>
      <c r="M56" s="41"/>
      <c r="N56" s="41"/>
      <c r="O56" s="4"/>
      <c r="P56" s="4"/>
      <c r="Q56" s="4"/>
      <c r="R56" s="4"/>
      <c r="S56" s="4"/>
      <c r="T56" s="4"/>
      <c r="U56" s="4"/>
      <c r="V56" s="4"/>
      <c r="W56" s="4"/>
      <c r="X56" s="4"/>
      <c r="Y56" s="4"/>
      <c r="Z56" s="4"/>
    </row>
    <row r="57" ht="15.75" customHeight="1">
      <c r="A57" s="2"/>
      <c r="B57" s="2"/>
      <c r="C57" s="2"/>
      <c r="D57" s="2"/>
      <c r="E57" s="2"/>
      <c r="F57" s="2"/>
      <c r="G57" s="2"/>
      <c r="H57" s="41"/>
      <c r="I57" s="41"/>
      <c r="J57" s="41"/>
      <c r="K57" s="41"/>
      <c r="L57" s="41"/>
      <c r="M57" s="41"/>
      <c r="N57" s="41"/>
      <c r="O57" s="4"/>
      <c r="P57" s="4"/>
      <c r="Q57" s="4"/>
      <c r="R57" s="4"/>
      <c r="S57" s="4"/>
      <c r="T57" s="4"/>
      <c r="U57" s="4"/>
      <c r="V57" s="4"/>
      <c r="W57" s="4"/>
      <c r="X57" s="4"/>
      <c r="Y57" s="4"/>
      <c r="Z57" s="4"/>
    </row>
    <row r="58" ht="15.75" customHeight="1">
      <c r="A58" s="2"/>
      <c r="B58" s="2"/>
      <c r="C58" s="2"/>
      <c r="D58" s="2"/>
      <c r="E58" s="2"/>
      <c r="F58" s="2"/>
      <c r="G58" s="2"/>
      <c r="H58" s="41"/>
      <c r="I58" s="41"/>
      <c r="J58" s="41"/>
      <c r="K58" s="41"/>
      <c r="L58" s="41"/>
      <c r="M58" s="41"/>
      <c r="N58" s="41"/>
      <c r="O58" s="4"/>
      <c r="P58" s="4"/>
      <c r="Q58" s="4"/>
      <c r="R58" s="4"/>
      <c r="S58" s="4"/>
      <c r="T58" s="4"/>
      <c r="U58" s="4"/>
      <c r="V58" s="4"/>
      <c r="W58" s="4"/>
      <c r="X58" s="4"/>
      <c r="Y58" s="4"/>
      <c r="Z58" s="4"/>
    </row>
    <row r="59" ht="15.75" customHeight="1">
      <c r="A59" s="2"/>
      <c r="B59" s="2"/>
      <c r="C59" s="2"/>
      <c r="D59" s="2"/>
      <c r="E59" s="2"/>
      <c r="F59" s="2"/>
      <c r="G59" s="2"/>
      <c r="H59" s="41"/>
      <c r="I59" s="41"/>
      <c r="J59" s="41"/>
      <c r="K59" s="41"/>
      <c r="L59" s="41"/>
      <c r="M59" s="41"/>
      <c r="N59" s="41"/>
      <c r="O59" s="4"/>
      <c r="P59" s="4"/>
      <c r="Q59" s="4"/>
      <c r="R59" s="4"/>
      <c r="S59" s="4"/>
      <c r="T59" s="4"/>
      <c r="U59" s="4"/>
      <c r="V59" s="4"/>
      <c r="W59" s="4"/>
      <c r="X59" s="4"/>
      <c r="Y59" s="4"/>
      <c r="Z59" s="4"/>
    </row>
    <row r="60" ht="15.75" customHeight="1">
      <c r="A60" s="2"/>
      <c r="B60" s="2"/>
      <c r="C60" s="2"/>
      <c r="D60" s="2"/>
      <c r="E60" s="2"/>
      <c r="F60" s="2"/>
      <c r="G60" s="2"/>
      <c r="H60" s="41"/>
      <c r="I60" s="41"/>
      <c r="J60" s="41"/>
      <c r="K60" s="41"/>
      <c r="L60" s="41"/>
      <c r="M60" s="41"/>
      <c r="N60" s="41"/>
      <c r="O60" s="4"/>
      <c r="P60" s="4"/>
      <c r="Q60" s="4"/>
      <c r="R60" s="4"/>
      <c r="S60" s="4"/>
      <c r="T60" s="4"/>
      <c r="U60" s="4"/>
      <c r="V60" s="4"/>
      <c r="W60" s="4"/>
      <c r="X60" s="4"/>
      <c r="Y60" s="4"/>
      <c r="Z60" s="4"/>
    </row>
    <row r="61" ht="15.75" customHeight="1">
      <c r="A61" s="2"/>
      <c r="B61" s="2"/>
      <c r="C61" s="2"/>
      <c r="D61" s="2"/>
      <c r="E61" s="2"/>
      <c r="F61" s="2"/>
      <c r="G61" s="2"/>
      <c r="H61" s="41"/>
      <c r="I61" s="41"/>
      <c r="J61" s="41"/>
      <c r="K61" s="41"/>
      <c r="L61" s="41"/>
      <c r="M61" s="41"/>
      <c r="N61" s="41"/>
      <c r="O61" s="4"/>
      <c r="P61" s="4"/>
      <c r="Q61" s="4"/>
      <c r="R61" s="4"/>
      <c r="S61" s="4"/>
      <c r="T61" s="4"/>
      <c r="U61" s="4"/>
      <c r="V61" s="4"/>
      <c r="W61" s="4"/>
      <c r="X61" s="4"/>
      <c r="Y61" s="4"/>
      <c r="Z61" s="4"/>
    </row>
    <row r="62" ht="15.75" customHeight="1">
      <c r="A62" s="2"/>
      <c r="B62" s="2"/>
      <c r="C62" s="2"/>
      <c r="D62" s="2"/>
      <c r="E62" s="2"/>
      <c r="F62" s="2"/>
      <c r="G62" s="2"/>
      <c r="H62" s="41"/>
      <c r="I62" s="41"/>
      <c r="J62" s="41"/>
      <c r="K62" s="41"/>
      <c r="L62" s="41"/>
      <c r="M62" s="41"/>
      <c r="N62" s="41"/>
      <c r="O62" s="4"/>
      <c r="P62" s="4"/>
      <c r="Q62" s="4"/>
      <c r="R62" s="4"/>
      <c r="S62" s="4"/>
      <c r="T62" s="4"/>
      <c r="U62" s="4"/>
      <c r="V62" s="4"/>
      <c r="W62" s="4"/>
      <c r="X62" s="4"/>
      <c r="Y62" s="4"/>
      <c r="Z62" s="4"/>
    </row>
    <row r="63" ht="15.75" customHeight="1">
      <c r="A63" s="2"/>
      <c r="B63" s="2"/>
      <c r="C63" s="2"/>
      <c r="D63" s="2"/>
      <c r="E63" s="2"/>
      <c r="F63" s="2"/>
      <c r="G63" s="2"/>
      <c r="H63" s="41"/>
      <c r="I63" s="41"/>
      <c r="J63" s="41"/>
      <c r="K63" s="41"/>
      <c r="L63" s="41"/>
      <c r="M63" s="41"/>
      <c r="N63" s="41"/>
      <c r="O63" s="4"/>
      <c r="P63" s="4"/>
      <c r="Q63" s="4"/>
      <c r="R63" s="4"/>
      <c r="S63" s="4"/>
      <c r="T63" s="4"/>
      <c r="U63" s="4"/>
      <c r="V63" s="4"/>
      <c r="W63" s="4"/>
      <c r="X63" s="4"/>
      <c r="Y63" s="4"/>
      <c r="Z63" s="4"/>
    </row>
    <row r="64" ht="15.75" customHeight="1">
      <c r="A64" s="2"/>
      <c r="B64" s="2"/>
      <c r="C64" s="2"/>
      <c r="D64" s="2"/>
      <c r="E64" s="2"/>
      <c r="F64" s="2"/>
      <c r="G64" s="2"/>
      <c r="H64" s="41"/>
      <c r="I64" s="41"/>
      <c r="J64" s="41"/>
      <c r="K64" s="41"/>
      <c r="L64" s="41"/>
      <c r="M64" s="41"/>
      <c r="N64" s="41"/>
      <c r="O64" s="4"/>
      <c r="P64" s="4"/>
      <c r="Q64" s="4"/>
      <c r="R64" s="4"/>
      <c r="S64" s="4"/>
      <c r="T64" s="4"/>
      <c r="U64" s="4"/>
      <c r="V64" s="4"/>
      <c r="W64" s="4"/>
      <c r="X64" s="4"/>
      <c r="Y64" s="4"/>
      <c r="Z64" s="4"/>
    </row>
    <row r="65" ht="15.75" customHeight="1">
      <c r="A65" s="2"/>
      <c r="B65" s="2"/>
      <c r="C65" s="2"/>
      <c r="D65" s="2"/>
      <c r="E65" s="2"/>
      <c r="F65" s="2"/>
      <c r="G65" s="2"/>
      <c r="H65" s="41"/>
      <c r="I65" s="41"/>
      <c r="J65" s="41"/>
      <c r="K65" s="41"/>
      <c r="L65" s="41"/>
      <c r="M65" s="41"/>
      <c r="N65" s="41"/>
      <c r="O65" s="4"/>
      <c r="P65" s="4"/>
      <c r="Q65" s="4"/>
      <c r="R65" s="4"/>
      <c r="S65" s="4"/>
      <c r="T65" s="4"/>
      <c r="U65" s="4"/>
      <c r="V65" s="4"/>
      <c r="W65" s="4"/>
      <c r="X65" s="4"/>
      <c r="Y65" s="4"/>
      <c r="Z65" s="4"/>
    </row>
    <row r="66" ht="15.75" customHeight="1">
      <c r="A66" s="2"/>
      <c r="B66" s="2"/>
      <c r="C66" s="2"/>
      <c r="D66" s="2"/>
      <c r="E66" s="2"/>
      <c r="F66" s="2"/>
      <c r="G66" s="2"/>
      <c r="H66" s="41"/>
      <c r="I66" s="41"/>
      <c r="J66" s="41"/>
      <c r="K66" s="41"/>
      <c r="L66" s="41"/>
      <c r="M66" s="41"/>
      <c r="N66" s="41"/>
      <c r="O66" s="4"/>
      <c r="P66" s="4"/>
      <c r="Q66" s="4"/>
      <c r="R66" s="4"/>
      <c r="S66" s="4"/>
      <c r="T66" s="4"/>
      <c r="U66" s="4"/>
      <c r="V66" s="4"/>
      <c r="W66" s="4"/>
      <c r="X66" s="4"/>
      <c r="Y66" s="4"/>
      <c r="Z66" s="4"/>
    </row>
    <row r="67" ht="15.75" customHeight="1">
      <c r="A67" s="2"/>
      <c r="B67" s="2"/>
      <c r="C67" s="2"/>
      <c r="D67" s="2"/>
      <c r="E67" s="2"/>
      <c r="F67" s="2"/>
      <c r="G67" s="2"/>
      <c r="H67" s="41"/>
      <c r="I67" s="41"/>
      <c r="J67" s="41"/>
      <c r="K67" s="41"/>
      <c r="L67" s="41"/>
      <c r="M67" s="41"/>
      <c r="N67" s="41"/>
      <c r="O67" s="4"/>
      <c r="P67" s="4"/>
      <c r="Q67" s="4"/>
      <c r="R67" s="4"/>
      <c r="S67" s="4"/>
      <c r="T67" s="4"/>
      <c r="U67" s="4"/>
      <c r="V67" s="4"/>
      <c r="W67" s="4"/>
      <c r="X67" s="4"/>
      <c r="Y67" s="4"/>
      <c r="Z67" s="4"/>
    </row>
    <row r="68" ht="15.75" customHeight="1">
      <c r="A68" s="2"/>
      <c r="B68" s="2"/>
      <c r="C68" s="2"/>
      <c r="D68" s="2"/>
      <c r="E68" s="2"/>
      <c r="F68" s="2"/>
      <c r="G68" s="2"/>
      <c r="H68" s="41"/>
      <c r="I68" s="41"/>
      <c r="J68" s="41"/>
      <c r="K68" s="41"/>
      <c r="L68" s="41"/>
      <c r="M68" s="41"/>
      <c r="N68" s="41"/>
      <c r="O68" s="4"/>
      <c r="P68" s="4"/>
      <c r="Q68" s="4"/>
      <c r="R68" s="4"/>
      <c r="S68" s="4"/>
      <c r="T68" s="4"/>
      <c r="U68" s="4"/>
      <c r="V68" s="4"/>
      <c r="W68" s="4"/>
      <c r="X68" s="4"/>
      <c r="Y68" s="4"/>
      <c r="Z68" s="4"/>
    </row>
    <row r="69" ht="15.75" customHeight="1">
      <c r="A69" s="2"/>
      <c r="B69" s="2"/>
      <c r="C69" s="2"/>
      <c r="D69" s="2"/>
      <c r="E69" s="2"/>
      <c r="F69" s="2"/>
      <c r="G69" s="2"/>
      <c r="H69" s="41"/>
      <c r="I69" s="41"/>
      <c r="J69" s="41"/>
      <c r="K69" s="41"/>
      <c r="L69" s="41"/>
      <c r="M69" s="41"/>
      <c r="N69" s="41"/>
      <c r="O69" s="4"/>
      <c r="P69" s="4"/>
      <c r="Q69" s="4"/>
      <c r="R69" s="4"/>
      <c r="S69" s="4"/>
      <c r="T69" s="4"/>
      <c r="U69" s="4"/>
      <c r="V69" s="4"/>
      <c r="W69" s="4"/>
      <c r="X69" s="4"/>
      <c r="Y69" s="4"/>
      <c r="Z69" s="4"/>
    </row>
    <row r="70" ht="15.75" customHeight="1">
      <c r="A70" s="2"/>
      <c r="B70" s="2"/>
      <c r="C70" s="2"/>
      <c r="D70" s="2"/>
      <c r="E70" s="2"/>
      <c r="F70" s="2"/>
      <c r="G70" s="2"/>
      <c r="H70" s="41"/>
      <c r="I70" s="41"/>
      <c r="J70" s="41"/>
      <c r="K70" s="41"/>
      <c r="L70" s="41"/>
      <c r="M70" s="41"/>
      <c r="N70" s="41"/>
      <c r="O70" s="4"/>
      <c r="P70" s="4"/>
      <c r="Q70" s="4"/>
      <c r="R70" s="4"/>
      <c r="S70" s="4"/>
      <c r="T70" s="4"/>
      <c r="U70" s="4"/>
      <c r="V70" s="4"/>
      <c r="W70" s="4"/>
      <c r="X70" s="4"/>
      <c r="Y70" s="4"/>
      <c r="Z70" s="4"/>
    </row>
    <row r="71" ht="15.75" customHeight="1">
      <c r="A71" s="2"/>
      <c r="B71" s="2"/>
      <c r="C71" s="2"/>
      <c r="D71" s="2"/>
      <c r="E71" s="2"/>
      <c r="F71" s="2"/>
      <c r="G71" s="2"/>
      <c r="H71" s="41"/>
      <c r="I71" s="41"/>
      <c r="J71" s="41"/>
      <c r="K71" s="41"/>
      <c r="L71" s="41"/>
      <c r="M71" s="41"/>
      <c r="N71" s="41"/>
      <c r="O71" s="4"/>
      <c r="P71" s="4"/>
      <c r="Q71" s="4"/>
      <c r="R71" s="4"/>
      <c r="S71" s="4"/>
      <c r="T71" s="4"/>
      <c r="U71" s="4"/>
      <c r="V71" s="4"/>
      <c r="W71" s="4"/>
      <c r="X71" s="4"/>
      <c r="Y71" s="4"/>
      <c r="Z71" s="4"/>
    </row>
    <row r="72" ht="15.75" customHeight="1">
      <c r="A72" s="2"/>
      <c r="B72" s="2"/>
      <c r="C72" s="2"/>
      <c r="D72" s="2"/>
      <c r="E72" s="2"/>
      <c r="F72" s="2"/>
      <c r="G72" s="2"/>
      <c r="H72" s="41"/>
      <c r="I72" s="41"/>
      <c r="J72" s="41"/>
      <c r="K72" s="41"/>
      <c r="L72" s="41"/>
      <c r="M72" s="41"/>
      <c r="N72" s="41"/>
      <c r="O72" s="4"/>
      <c r="P72" s="4"/>
      <c r="Q72" s="4"/>
      <c r="R72" s="4"/>
      <c r="S72" s="4"/>
      <c r="T72" s="4"/>
      <c r="U72" s="4"/>
      <c r="V72" s="4"/>
      <c r="W72" s="4"/>
      <c r="X72" s="4"/>
      <c r="Y72" s="4"/>
      <c r="Z72" s="4"/>
    </row>
    <row r="73" ht="15.75" customHeight="1">
      <c r="A73" s="2"/>
      <c r="B73" s="2"/>
      <c r="C73" s="2"/>
      <c r="D73" s="2"/>
      <c r="E73" s="2"/>
      <c r="F73" s="2"/>
      <c r="G73" s="2"/>
      <c r="H73" s="41"/>
      <c r="I73" s="41"/>
      <c r="J73" s="41"/>
      <c r="K73" s="41"/>
      <c r="L73" s="41"/>
      <c r="M73" s="41"/>
      <c r="N73" s="41"/>
      <c r="O73" s="4"/>
      <c r="P73" s="4"/>
      <c r="Q73" s="4"/>
      <c r="R73" s="4"/>
      <c r="S73" s="4"/>
      <c r="T73" s="4"/>
      <c r="U73" s="4"/>
      <c r="V73" s="4"/>
      <c r="W73" s="4"/>
      <c r="X73" s="4"/>
      <c r="Y73" s="4"/>
      <c r="Z73" s="4"/>
    </row>
    <row r="74" ht="15.75" customHeight="1">
      <c r="A74" s="2"/>
      <c r="B74" s="2"/>
      <c r="C74" s="2"/>
      <c r="D74" s="2"/>
      <c r="E74" s="2"/>
      <c r="F74" s="2"/>
      <c r="G74" s="2"/>
      <c r="H74" s="41"/>
      <c r="I74" s="41"/>
      <c r="J74" s="41"/>
      <c r="K74" s="41"/>
      <c r="L74" s="41"/>
      <c r="M74" s="41"/>
      <c r="N74" s="41"/>
      <c r="O74" s="4"/>
      <c r="P74" s="4"/>
      <c r="Q74" s="4"/>
      <c r="R74" s="4"/>
      <c r="S74" s="4"/>
      <c r="T74" s="4"/>
      <c r="U74" s="4"/>
      <c r="V74" s="4"/>
      <c r="W74" s="4"/>
      <c r="X74" s="4"/>
      <c r="Y74" s="4"/>
      <c r="Z74" s="4"/>
    </row>
    <row r="75" ht="15.75" customHeight="1">
      <c r="A75" s="2"/>
      <c r="B75" s="2"/>
      <c r="C75" s="2"/>
      <c r="D75" s="2"/>
      <c r="E75" s="2"/>
      <c r="F75" s="2"/>
      <c r="G75" s="2"/>
      <c r="H75" s="41"/>
      <c r="I75" s="41"/>
      <c r="J75" s="41"/>
      <c r="K75" s="41"/>
      <c r="L75" s="41"/>
      <c r="M75" s="41"/>
      <c r="N75" s="41"/>
      <c r="O75" s="4"/>
      <c r="P75" s="4"/>
      <c r="Q75" s="4"/>
      <c r="R75" s="4"/>
      <c r="S75" s="4"/>
      <c r="T75" s="4"/>
      <c r="U75" s="4"/>
      <c r="V75" s="4"/>
      <c r="W75" s="4"/>
      <c r="X75" s="4"/>
      <c r="Y75" s="4"/>
      <c r="Z75" s="4"/>
    </row>
    <row r="76" ht="15.75" customHeight="1">
      <c r="A76" s="2"/>
      <c r="B76" s="2"/>
      <c r="C76" s="2"/>
      <c r="D76" s="2"/>
      <c r="E76" s="2"/>
      <c r="F76" s="2"/>
      <c r="G76" s="2"/>
      <c r="H76" s="41"/>
      <c r="I76" s="41"/>
      <c r="J76" s="41"/>
      <c r="K76" s="41"/>
      <c r="L76" s="41"/>
      <c r="M76" s="41"/>
      <c r="N76" s="41"/>
      <c r="O76" s="4"/>
      <c r="P76" s="4"/>
      <c r="Q76" s="4"/>
      <c r="R76" s="4"/>
      <c r="S76" s="4"/>
      <c r="T76" s="4"/>
      <c r="U76" s="4"/>
      <c r="V76" s="4"/>
      <c r="W76" s="4"/>
      <c r="X76" s="4"/>
      <c r="Y76" s="4"/>
      <c r="Z76" s="4"/>
    </row>
    <row r="77" ht="15.75" customHeight="1">
      <c r="A77" s="2"/>
      <c r="B77" s="2"/>
      <c r="C77" s="2"/>
      <c r="D77" s="2"/>
      <c r="E77" s="2"/>
      <c r="F77" s="2"/>
      <c r="G77" s="2"/>
      <c r="H77" s="41"/>
      <c r="I77" s="41"/>
      <c r="J77" s="41"/>
      <c r="K77" s="41"/>
      <c r="L77" s="41"/>
      <c r="M77" s="41"/>
      <c r="N77" s="41"/>
      <c r="O77" s="4"/>
      <c r="P77" s="4"/>
      <c r="Q77" s="4"/>
      <c r="R77" s="4"/>
      <c r="S77" s="4"/>
      <c r="T77" s="4"/>
      <c r="U77" s="4"/>
      <c r="V77" s="4"/>
      <c r="W77" s="4"/>
      <c r="X77" s="4"/>
      <c r="Y77" s="4"/>
      <c r="Z77" s="4"/>
    </row>
    <row r="78" ht="15.75" customHeight="1">
      <c r="A78" s="2"/>
      <c r="B78" s="2"/>
      <c r="C78" s="2"/>
      <c r="D78" s="2"/>
      <c r="E78" s="2"/>
      <c r="F78" s="2"/>
      <c r="G78" s="2"/>
      <c r="H78" s="41"/>
      <c r="I78" s="41"/>
      <c r="J78" s="41"/>
      <c r="K78" s="41"/>
      <c r="L78" s="41"/>
      <c r="M78" s="41"/>
      <c r="N78" s="41"/>
      <c r="O78" s="4"/>
      <c r="P78" s="4"/>
      <c r="Q78" s="4"/>
      <c r="R78" s="4"/>
      <c r="S78" s="4"/>
      <c r="T78" s="4"/>
      <c r="U78" s="4"/>
      <c r="V78" s="4"/>
      <c r="W78" s="4"/>
      <c r="X78" s="4"/>
      <c r="Y78" s="4"/>
      <c r="Z78" s="4"/>
    </row>
    <row r="79" ht="15.75" customHeight="1">
      <c r="A79" s="2"/>
      <c r="B79" s="2"/>
      <c r="C79" s="2"/>
      <c r="D79" s="2"/>
      <c r="E79" s="2"/>
      <c r="F79" s="2"/>
      <c r="G79" s="2"/>
      <c r="H79" s="41"/>
      <c r="I79" s="41"/>
      <c r="J79" s="41"/>
      <c r="K79" s="41"/>
      <c r="L79" s="41"/>
      <c r="M79" s="41"/>
      <c r="N79" s="41"/>
      <c r="O79" s="4"/>
      <c r="P79" s="4"/>
      <c r="Q79" s="4"/>
      <c r="R79" s="4"/>
      <c r="S79" s="4"/>
      <c r="T79" s="4"/>
      <c r="U79" s="4"/>
      <c r="V79" s="4"/>
      <c r="W79" s="4"/>
      <c r="X79" s="4"/>
      <c r="Y79" s="4"/>
      <c r="Z79" s="4"/>
    </row>
    <row r="80" ht="15.75" customHeight="1">
      <c r="A80" s="2"/>
      <c r="B80" s="2"/>
      <c r="C80" s="2"/>
      <c r="D80" s="2"/>
      <c r="E80" s="2"/>
      <c r="F80" s="2"/>
      <c r="G80" s="2"/>
      <c r="H80" s="41"/>
      <c r="I80" s="41"/>
      <c r="J80" s="41"/>
      <c r="K80" s="41"/>
      <c r="L80" s="41"/>
      <c r="M80" s="41"/>
      <c r="N80" s="41"/>
      <c r="O80" s="4"/>
      <c r="P80" s="4"/>
      <c r="Q80" s="4"/>
      <c r="R80" s="4"/>
      <c r="S80" s="4"/>
      <c r="T80" s="4"/>
      <c r="U80" s="4"/>
      <c r="V80" s="4"/>
      <c r="W80" s="4"/>
      <c r="X80" s="4"/>
      <c r="Y80" s="4"/>
      <c r="Z80" s="4"/>
    </row>
    <row r="81" ht="15.75" customHeight="1">
      <c r="A81" s="1"/>
      <c r="B81" s="1"/>
      <c r="C81" s="1"/>
      <c r="D81" s="1"/>
      <c r="E81" s="1"/>
      <c r="F81" s="1"/>
      <c r="G81" s="1"/>
      <c r="H81" s="4"/>
      <c r="I81" s="4"/>
      <c r="J81" s="4"/>
      <c r="K81" s="4"/>
      <c r="L81" s="4"/>
      <c r="M81" s="4"/>
      <c r="N81" s="4"/>
      <c r="O81" s="4"/>
      <c r="P81" s="4"/>
      <c r="Q81" s="4"/>
      <c r="R81" s="4"/>
      <c r="S81" s="4"/>
      <c r="T81" s="4"/>
      <c r="U81" s="4"/>
      <c r="V81" s="4"/>
      <c r="W81" s="4"/>
      <c r="X81" s="4"/>
      <c r="Y81" s="4"/>
      <c r="Z81" s="4"/>
    </row>
    <row r="82" ht="15.75" customHeight="1">
      <c r="A82" s="1"/>
      <c r="B82" s="1"/>
      <c r="C82" s="1"/>
      <c r="D82" s="1"/>
      <c r="E82" s="1"/>
      <c r="F82" s="1"/>
      <c r="G82" s="1"/>
      <c r="H82" s="4"/>
      <c r="I82" s="4"/>
      <c r="J82" s="4"/>
      <c r="K82" s="4"/>
      <c r="L82" s="4"/>
      <c r="M82" s="4"/>
      <c r="N82" s="4"/>
      <c r="O82" s="4"/>
      <c r="P82" s="4"/>
      <c r="Q82" s="4"/>
      <c r="R82" s="4"/>
      <c r="S82" s="4"/>
      <c r="T82" s="4"/>
      <c r="U82" s="4"/>
      <c r="V82" s="4"/>
      <c r="W82" s="4"/>
      <c r="X82" s="4"/>
      <c r="Y82" s="4"/>
      <c r="Z82" s="4"/>
    </row>
    <row r="83" ht="15.75" customHeight="1">
      <c r="A83" s="1"/>
      <c r="B83" s="1"/>
      <c r="C83" s="1"/>
      <c r="D83" s="1"/>
      <c r="E83" s="1"/>
      <c r="F83" s="1"/>
      <c r="G83" s="1"/>
      <c r="H83" s="4"/>
      <c r="I83" s="4"/>
      <c r="J83" s="4"/>
      <c r="K83" s="4"/>
      <c r="L83" s="4"/>
      <c r="M83" s="4"/>
      <c r="N83" s="4"/>
      <c r="O83" s="4"/>
      <c r="P83" s="4"/>
      <c r="Q83" s="4"/>
      <c r="R83" s="4"/>
      <c r="S83" s="4"/>
      <c r="T83" s="4"/>
      <c r="U83" s="4"/>
      <c r="V83" s="4"/>
      <c r="W83" s="4"/>
      <c r="X83" s="4"/>
      <c r="Y83" s="4"/>
      <c r="Z83" s="4"/>
    </row>
    <row r="84" ht="15.75" customHeight="1">
      <c r="A84" s="1"/>
      <c r="B84" s="1"/>
      <c r="C84" s="1"/>
      <c r="D84" s="1"/>
      <c r="E84" s="1"/>
      <c r="F84" s="1"/>
      <c r="G84" s="1"/>
      <c r="H84" s="4"/>
      <c r="I84" s="4"/>
      <c r="J84" s="4"/>
      <c r="K84" s="4"/>
      <c r="L84" s="4"/>
      <c r="M84" s="4"/>
      <c r="N84" s="4"/>
      <c r="O84" s="4"/>
      <c r="P84" s="4"/>
      <c r="Q84" s="4"/>
      <c r="R84" s="4"/>
      <c r="S84" s="4"/>
      <c r="T84" s="4"/>
      <c r="U84" s="4"/>
      <c r="V84" s="4"/>
      <c r="W84" s="4"/>
      <c r="X84" s="4"/>
      <c r="Y84" s="4"/>
      <c r="Z84" s="4"/>
    </row>
    <row r="85" ht="15.75" customHeight="1">
      <c r="A85" s="1"/>
      <c r="B85" s="1"/>
      <c r="C85" s="1"/>
      <c r="D85" s="1"/>
      <c r="E85" s="1"/>
      <c r="F85" s="1"/>
      <c r="G85" s="1"/>
      <c r="H85" s="4"/>
      <c r="I85" s="4"/>
      <c r="J85" s="4"/>
      <c r="K85" s="4"/>
      <c r="L85" s="4"/>
      <c r="M85" s="4"/>
      <c r="N85" s="4"/>
      <c r="O85" s="4"/>
      <c r="P85" s="4"/>
      <c r="Q85" s="4"/>
      <c r="R85" s="4"/>
      <c r="S85" s="4"/>
      <c r="T85" s="4"/>
      <c r="U85" s="4"/>
      <c r="V85" s="4"/>
      <c r="W85" s="4"/>
      <c r="X85" s="4"/>
      <c r="Y85" s="4"/>
      <c r="Z85" s="4"/>
    </row>
    <row r="86" ht="15.75" customHeight="1">
      <c r="A86" s="1"/>
      <c r="B86" s="1"/>
      <c r="C86" s="1"/>
      <c r="D86" s="1"/>
      <c r="E86" s="1"/>
      <c r="F86" s="1"/>
      <c r="G86" s="1"/>
      <c r="H86" s="4"/>
      <c r="I86" s="4"/>
      <c r="J86" s="4"/>
      <c r="K86" s="4"/>
      <c r="L86" s="4"/>
      <c r="M86" s="4"/>
      <c r="N86" s="4"/>
      <c r="O86" s="4"/>
      <c r="P86" s="4"/>
      <c r="Q86" s="4"/>
      <c r="R86" s="4"/>
      <c r="S86" s="4"/>
      <c r="T86" s="4"/>
      <c r="U86" s="4"/>
      <c r="V86" s="4"/>
      <c r="W86" s="4"/>
      <c r="X86" s="4"/>
      <c r="Y86" s="4"/>
      <c r="Z86" s="4"/>
    </row>
    <row r="87" ht="15.75" customHeight="1">
      <c r="A87" s="1"/>
      <c r="B87" s="1"/>
      <c r="C87" s="1"/>
      <c r="D87" s="1"/>
      <c r="E87" s="1"/>
      <c r="F87" s="1"/>
      <c r="G87" s="1"/>
      <c r="H87" s="4"/>
      <c r="I87" s="4"/>
      <c r="J87" s="4"/>
      <c r="K87" s="4"/>
      <c r="L87" s="4"/>
      <c r="M87" s="4"/>
      <c r="N87" s="4"/>
      <c r="O87" s="4"/>
      <c r="P87" s="4"/>
      <c r="Q87" s="4"/>
      <c r="R87" s="4"/>
      <c r="S87" s="4"/>
      <c r="T87" s="4"/>
      <c r="U87" s="4"/>
      <c r="V87" s="4"/>
      <c r="W87" s="4"/>
      <c r="X87" s="4"/>
      <c r="Y87" s="4"/>
      <c r="Z87" s="4"/>
    </row>
    <row r="88" ht="15.75" customHeight="1">
      <c r="A88" s="1"/>
      <c r="B88" s="1"/>
      <c r="C88" s="1"/>
      <c r="D88" s="1"/>
      <c r="E88" s="1"/>
      <c r="F88" s="1"/>
      <c r="G88" s="1"/>
      <c r="H88" s="4"/>
      <c r="I88" s="4"/>
      <c r="J88" s="4"/>
      <c r="K88" s="4"/>
      <c r="L88" s="4"/>
      <c r="M88" s="4"/>
      <c r="N88" s="4"/>
      <c r="O88" s="4"/>
      <c r="P88" s="4"/>
      <c r="Q88" s="4"/>
      <c r="R88" s="4"/>
      <c r="S88" s="4"/>
      <c r="T88" s="4"/>
      <c r="U88" s="4"/>
      <c r="V88" s="4"/>
      <c r="W88" s="4"/>
      <c r="X88" s="4"/>
      <c r="Y88" s="4"/>
      <c r="Z88" s="4"/>
    </row>
    <row r="89" ht="15.75" customHeight="1">
      <c r="A89" s="1"/>
      <c r="B89" s="1"/>
      <c r="C89" s="1"/>
      <c r="D89" s="1"/>
      <c r="E89" s="1"/>
      <c r="F89" s="1"/>
      <c r="G89" s="1"/>
      <c r="H89" s="4"/>
      <c r="I89" s="4"/>
      <c r="J89" s="4"/>
      <c r="K89" s="4"/>
      <c r="L89" s="4"/>
      <c r="M89" s="4"/>
      <c r="N89" s="4"/>
      <c r="O89" s="4"/>
      <c r="P89" s="4"/>
      <c r="Q89" s="4"/>
      <c r="R89" s="4"/>
      <c r="S89" s="4"/>
      <c r="T89" s="4"/>
      <c r="U89" s="4"/>
      <c r="V89" s="4"/>
      <c r="W89" s="4"/>
      <c r="X89" s="4"/>
      <c r="Y89" s="4"/>
      <c r="Z89" s="4"/>
    </row>
    <row r="90" ht="15.75" customHeight="1">
      <c r="A90" s="1"/>
      <c r="B90" s="1"/>
      <c r="C90" s="1"/>
      <c r="D90" s="1"/>
      <c r="E90" s="1"/>
      <c r="F90" s="1"/>
      <c r="G90" s="1"/>
      <c r="H90" s="4"/>
      <c r="I90" s="4"/>
      <c r="J90" s="4"/>
      <c r="K90" s="4"/>
      <c r="L90" s="4"/>
      <c r="M90" s="4"/>
      <c r="N90" s="4"/>
      <c r="O90" s="4"/>
      <c r="P90" s="4"/>
      <c r="Q90" s="4"/>
      <c r="R90" s="4"/>
      <c r="S90" s="4"/>
      <c r="T90" s="4"/>
      <c r="U90" s="4"/>
      <c r="V90" s="4"/>
      <c r="W90" s="4"/>
      <c r="X90" s="4"/>
      <c r="Y90" s="4"/>
      <c r="Z90" s="4"/>
    </row>
    <row r="91" ht="15.75" customHeight="1">
      <c r="A91" s="1"/>
      <c r="B91" s="1"/>
      <c r="C91" s="1"/>
      <c r="D91" s="1"/>
      <c r="E91" s="1"/>
      <c r="F91" s="1"/>
      <c r="G91" s="1"/>
      <c r="H91" s="4"/>
      <c r="I91" s="4"/>
      <c r="J91" s="4"/>
      <c r="K91" s="4"/>
      <c r="L91" s="4"/>
      <c r="M91" s="4"/>
      <c r="N91" s="4"/>
      <c r="O91" s="4"/>
      <c r="P91" s="4"/>
      <c r="Q91" s="4"/>
      <c r="R91" s="4"/>
      <c r="S91" s="4"/>
      <c r="T91" s="4"/>
      <c r="U91" s="4"/>
      <c r="V91" s="4"/>
      <c r="W91" s="4"/>
      <c r="X91" s="4"/>
      <c r="Y91" s="4"/>
      <c r="Z91" s="4"/>
    </row>
    <row r="92" ht="15.75" customHeight="1">
      <c r="A92" s="1"/>
      <c r="B92" s="1"/>
      <c r="C92" s="1"/>
      <c r="D92" s="1"/>
      <c r="E92" s="1"/>
      <c r="F92" s="1"/>
      <c r="G92" s="1"/>
      <c r="H92" s="4"/>
      <c r="I92" s="4"/>
      <c r="J92" s="4"/>
      <c r="K92" s="4"/>
      <c r="L92" s="4"/>
      <c r="M92" s="4"/>
      <c r="N92" s="4"/>
      <c r="O92" s="4"/>
      <c r="P92" s="4"/>
      <c r="Q92" s="4"/>
      <c r="R92" s="4"/>
      <c r="S92" s="4"/>
      <c r="T92" s="4"/>
      <c r="U92" s="4"/>
      <c r="V92" s="4"/>
      <c r="W92" s="4"/>
      <c r="X92" s="4"/>
      <c r="Y92" s="4"/>
      <c r="Z92" s="4"/>
    </row>
    <row r="93" ht="15.75" customHeight="1">
      <c r="A93" s="1"/>
      <c r="B93" s="1"/>
      <c r="C93" s="1"/>
      <c r="D93" s="1"/>
      <c r="E93" s="1"/>
      <c r="F93" s="1"/>
      <c r="G93" s="1"/>
      <c r="H93" s="4"/>
      <c r="I93" s="4"/>
      <c r="J93" s="4"/>
      <c r="K93" s="4"/>
      <c r="L93" s="4"/>
      <c r="M93" s="4"/>
      <c r="N93" s="4"/>
      <c r="O93" s="4"/>
      <c r="P93" s="4"/>
      <c r="Q93" s="4"/>
      <c r="R93" s="4"/>
      <c r="S93" s="4"/>
      <c r="T93" s="4"/>
      <c r="U93" s="4"/>
      <c r="V93" s="4"/>
      <c r="W93" s="4"/>
      <c r="X93" s="4"/>
      <c r="Y93" s="4"/>
      <c r="Z93" s="4"/>
    </row>
    <row r="94" ht="15.75" customHeight="1">
      <c r="A94" s="1"/>
      <c r="B94" s="1"/>
      <c r="C94" s="1"/>
      <c r="D94" s="1"/>
      <c r="E94" s="1"/>
      <c r="F94" s="1"/>
      <c r="G94" s="1"/>
      <c r="H94" s="4"/>
      <c r="I94" s="4"/>
      <c r="J94" s="4"/>
      <c r="K94" s="4"/>
      <c r="L94" s="4"/>
      <c r="M94" s="4"/>
      <c r="N94" s="4"/>
      <c r="O94" s="4"/>
      <c r="P94" s="4"/>
      <c r="Q94" s="4"/>
      <c r="R94" s="4"/>
      <c r="S94" s="4"/>
      <c r="T94" s="4"/>
      <c r="U94" s="4"/>
      <c r="V94" s="4"/>
      <c r="W94" s="4"/>
      <c r="X94" s="4"/>
      <c r="Y94" s="4"/>
      <c r="Z94" s="4"/>
    </row>
    <row r="95" ht="15.75" customHeight="1">
      <c r="A95" s="1"/>
      <c r="B95" s="1"/>
      <c r="C95" s="1"/>
      <c r="D95" s="1"/>
      <c r="E95" s="1"/>
      <c r="F95" s="1"/>
      <c r="G95" s="1"/>
      <c r="H95" s="4"/>
      <c r="I95" s="4"/>
      <c r="J95" s="4"/>
      <c r="K95" s="4"/>
      <c r="L95" s="4"/>
      <c r="M95" s="4"/>
      <c r="N95" s="4"/>
      <c r="O95" s="4"/>
      <c r="P95" s="4"/>
      <c r="Q95" s="4"/>
      <c r="R95" s="4"/>
      <c r="S95" s="4"/>
      <c r="T95" s="4"/>
      <c r="U95" s="4"/>
      <c r="V95" s="4"/>
      <c r="W95" s="4"/>
      <c r="X95" s="4"/>
      <c r="Y95" s="4"/>
      <c r="Z95" s="4"/>
    </row>
    <row r="96" ht="15.75" customHeight="1">
      <c r="A96" s="1"/>
      <c r="B96" s="1"/>
      <c r="C96" s="1"/>
      <c r="D96" s="1"/>
      <c r="E96" s="1"/>
      <c r="F96" s="1"/>
      <c r="G96" s="1"/>
      <c r="H96" s="4"/>
      <c r="I96" s="4"/>
      <c r="J96" s="4"/>
      <c r="K96" s="4"/>
      <c r="L96" s="4"/>
      <c r="M96" s="4"/>
      <c r="N96" s="4"/>
      <c r="O96" s="4"/>
      <c r="P96" s="4"/>
      <c r="Q96" s="4"/>
      <c r="R96" s="4"/>
      <c r="S96" s="4"/>
      <c r="T96" s="4"/>
      <c r="U96" s="4"/>
      <c r="V96" s="4"/>
      <c r="W96" s="4"/>
      <c r="X96" s="4"/>
      <c r="Y96" s="4"/>
      <c r="Z96" s="4"/>
    </row>
    <row r="97" ht="15.75" customHeight="1">
      <c r="A97" s="1"/>
      <c r="B97" s="1"/>
      <c r="C97" s="1"/>
      <c r="D97" s="1"/>
      <c r="E97" s="1"/>
      <c r="F97" s="1"/>
      <c r="G97" s="1"/>
      <c r="H97" s="4"/>
      <c r="I97" s="4"/>
      <c r="J97" s="4"/>
      <c r="K97" s="4"/>
      <c r="L97" s="4"/>
      <c r="M97" s="4"/>
      <c r="N97" s="4"/>
      <c r="O97" s="4"/>
      <c r="P97" s="4"/>
      <c r="Q97" s="4"/>
      <c r="R97" s="4"/>
      <c r="S97" s="4"/>
      <c r="T97" s="4"/>
      <c r="U97" s="4"/>
      <c r="V97" s="4"/>
      <c r="W97" s="4"/>
      <c r="X97" s="4"/>
      <c r="Y97" s="4"/>
      <c r="Z97" s="4"/>
    </row>
    <row r="98" ht="15.75" customHeight="1">
      <c r="A98" s="1"/>
      <c r="B98" s="1"/>
      <c r="C98" s="1"/>
      <c r="D98" s="1"/>
      <c r="E98" s="1"/>
      <c r="F98" s="1"/>
      <c r="G98" s="1"/>
      <c r="H98" s="4"/>
      <c r="I98" s="4"/>
      <c r="J98" s="4"/>
      <c r="K98" s="4"/>
      <c r="L98" s="4"/>
      <c r="M98" s="4"/>
      <c r="N98" s="4"/>
      <c r="O98" s="4"/>
      <c r="P98" s="4"/>
      <c r="Q98" s="4"/>
      <c r="R98" s="4"/>
      <c r="S98" s="4"/>
      <c r="T98" s="4"/>
      <c r="U98" s="4"/>
      <c r="V98" s="4"/>
      <c r="W98" s="4"/>
      <c r="X98" s="4"/>
      <c r="Y98" s="4"/>
      <c r="Z98" s="4"/>
    </row>
    <row r="99" ht="15.75" customHeight="1">
      <c r="A99" s="1"/>
      <c r="B99" s="1"/>
      <c r="C99" s="1"/>
      <c r="D99" s="1"/>
      <c r="E99" s="1"/>
      <c r="F99" s="1"/>
      <c r="G99" s="1"/>
      <c r="H99" s="4"/>
      <c r="I99" s="4"/>
      <c r="J99" s="4"/>
      <c r="K99" s="4"/>
      <c r="L99" s="4"/>
      <c r="M99" s="4"/>
      <c r="N99" s="4"/>
      <c r="O99" s="4"/>
      <c r="P99" s="4"/>
      <c r="Q99" s="4"/>
      <c r="R99" s="4"/>
      <c r="S99" s="4"/>
      <c r="T99" s="4"/>
      <c r="U99" s="4"/>
      <c r="V99" s="4"/>
      <c r="W99" s="4"/>
      <c r="X99" s="4"/>
      <c r="Y99" s="4"/>
      <c r="Z99" s="4"/>
    </row>
    <row r="100" ht="15.75" customHeight="1">
      <c r="A100" s="1"/>
      <c r="B100" s="1"/>
      <c r="C100" s="1"/>
      <c r="D100" s="1"/>
      <c r="E100" s="1"/>
      <c r="F100" s="1"/>
      <c r="G100" s="1"/>
      <c r="H100" s="4"/>
      <c r="I100" s="4"/>
      <c r="J100" s="4"/>
      <c r="K100" s="4"/>
      <c r="L100" s="4"/>
      <c r="M100" s="4"/>
      <c r="N100" s="4"/>
      <c r="O100" s="4"/>
      <c r="P100" s="4"/>
      <c r="Q100" s="4"/>
      <c r="R100" s="4"/>
      <c r="S100" s="4"/>
      <c r="T100" s="4"/>
      <c r="U100" s="4"/>
      <c r="V100" s="4"/>
      <c r="W100" s="4"/>
      <c r="X100" s="4"/>
      <c r="Y100" s="4"/>
      <c r="Z100" s="4"/>
    </row>
    <row r="101" ht="15.75" customHeight="1">
      <c r="A101" s="1"/>
      <c r="B101" s="1"/>
      <c r="C101" s="1"/>
      <c r="D101" s="1"/>
      <c r="E101" s="1"/>
      <c r="F101" s="1"/>
      <c r="G101" s="1"/>
      <c r="H101" s="4"/>
      <c r="I101" s="4"/>
      <c r="J101" s="4"/>
      <c r="K101" s="4"/>
      <c r="L101" s="4"/>
      <c r="M101" s="4"/>
      <c r="N101" s="4"/>
      <c r="O101" s="4"/>
      <c r="P101" s="4"/>
      <c r="Q101" s="4"/>
      <c r="R101" s="4"/>
      <c r="S101" s="4"/>
      <c r="T101" s="4"/>
      <c r="U101" s="4"/>
      <c r="V101" s="4"/>
      <c r="W101" s="4"/>
      <c r="X101" s="4"/>
      <c r="Y101" s="4"/>
      <c r="Z101" s="4"/>
    </row>
    <row r="102" ht="15.75" customHeight="1">
      <c r="A102" s="1"/>
      <c r="B102" s="1"/>
      <c r="C102" s="1"/>
      <c r="D102" s="1"/>
      <c r="E102" s="1"/>
      <c r="F102" s="1"/>
      <c r="G102" s="1"/>
      <c r="H102" s="4"/>
      <c r="I102" s="4"/>
      <c r="J102" s="4"/>
      <c r="K102" s="4"/>
      <c r="L102" s="4"/>
      <c r="M102" s="4"/>
      <c r="N102" s="4"/>
      <c r="O102" s="4"/>
      <c r="P102" s="4"/>
      <c r="Q102" s="4"/>
      <c r="R102" s="4"/>
      <c r="S102" s="4"/>
      <c r="T102" s="4"/>
      <c r="U102" s="4"/>
      <c r="V102" s="4"/>
      <c r="W102" s="4"/>
      <c r="X102" s="4"/>
      <c r="Y102" s="4"/>
      <c r="Z102" s="4"/>
    </row>
    <row r="103" ht="15.75" customHeight="1">
      <c r="A103" s="1"/>
      <c r="B103" s="1"/>
      <c r="C103" s="1"/>
      <c r="D103" s="1"/>
      <c r="E103" s="1"/>
      <c r="F103" s="1"/>
      <c r="G103" s="1"/>
      <c r="H103" s="4"/>
      <c r="I103" s="4"/>
      <c r="J103" s="4"/>
      <c r="K103" s="4"/>
      <c r="L103" s="4"/>
      <c r="M103" s="4"/>
      <c r="N103" s="4"/>
      <c r="O103" s="4"/>
      <c r="P103" s="4"/>
      <c r="Q103" s="4"/>
      <c r="R103" s="4"/>
      <c r="S103" s="4"/>
      <c r="T103" s="4"/>
      <c r="U103" s="4"/>
      <c r="V103" s="4"/>
      <c r="W103" s="4"/>
      <c r="X103" s="4"/>
      <c r="Y103" s="4"/>
      <c r="Z103" s="4"/>
    </row>
    <row r="104" ht="15.75" customHeight="1">
      <c r="A104" s="1"/>
      <c r="B104" s="1"/>
      <c r="C104" s="1"/>
      <c r="D104" s="1"/>
      <c r="E104" s="1"/>
      <c r="F104" s="1"/>
      <c r="G104" s="1"/>
      <c r="H104" s="4"/>
      <c r="I104" s="4"/>
      <c r="J104" s="4"/>
      <c r="K104" s="4"/>
      <c r="L104" s="4"/>
      <c r="M104" s="4"/>
      <c r="N104" s="4"/>
      <c r="O104" s="4"/>
      <c r="P104" s="4"/>
      <c r="Q104" s="4"/>
      <c r="R104" s="4"/>
      <c r="S104" s="4"/>
      <c r="T104" s="4"/>
      <c r="U104" s="4"/>
      <c r="V104" s="4"/>
      <c r="W104" s="4"/>
      <c r="X104" s="4"/>
      <c r="Y104" s="4"/>
      <c r="Z104" s="4"/>
    </row>
    <row r="105" ht="15.75" customHeight="1">
      <c r="A105" s="1"/>
      <c r="B105" s="1"/>
      <c r="C105" s="1"/>
      <c r="D105" s="1"/>
      <c r="E105" s="1"/>
      <c r="F105" s="1"/>
      <c r="G105" s="1"/>
      <c r="H105" s="4"/>
      <c r="I105" s="4"/>
      <c r="J105" s="4"/>
      <c r="K105" s="4"/>
      <c r="L105" s="4"/>
      <c r="M105" s="4"/>
      <c r="N105" s="4"/>
      <c r="O105" s="4"/>
      <c r="P105" s="4"/>
      <c r="Q105" s="4"/>
      <c r="R105" s="4"/>
      <c r="S105" s="4"/>
      <c r="T105" s="4"/>
      <c r="U105" s="4"/>
      <c r="V105" s="4"/>
      <c r="W105" s="4"/>
      <c r="X105" s="4"/>
      <c r="Y105" s="4"/>
      <c r="Z105" s="4"/>
    </row>
    <row r="106" ht="15.75" customHeight="1">
      <c r="A106" s="1"/>
      <c r="B106" s="1"/>
      <c r="C106" s="1"/>
      <c r="D106" s="1"/>
      <c r="E106" s="1"/>
      <c r="F106" s="1"/>
      <c r="G106" s="1"/>
      <c r="H106" s="4"/>
      <c r="I106" s="4"/>
      <c r="J106" s="4"/>
      <c r="K106" s="4"/>
      <c r="L106" s="4"/>
      <c r="M106" s="4"/>
      <c r="N106" s="4"/>
      <c r="O106" s="4"/>
      <c r="P106" s="4"/>
      <c r="Q106" s="4"/>
      <c r="R106" s="4"/>
      <c r="S106" s="4"/>
      <c r="T106" s="4"/>
      <c r="U106" s="4"/>
      <c r="V106" s="4"/>
      <c r="W106" s="4"/>
      <c r="X106" s="4"/>
      <c r="Y106" s="4"/>
      <c r="Z106" s="4"/>
    </row>
    <row r="107" ht="15.75" customHeight="1">
      <c r="A107" s="1"/>
      <c r="B107" s="1"/>
      <c r="C107" s="1"/>
      <c r="D107" s="1"/>
      <c r="E107" s="1"/>
      <c r="F107" s="1"/>
      <c r="G107" s="1"/>
      <c r="H107" s="4"/>
      <c r="I107" s="4"/>
      <c r="J107" s="4"/>
      <c r="K107" s="4"/>
      <c r="L107" s="4"/>
      <c r="M107" s="4"/>
      <c r="N107" s="4"/>
      <c r="O107" s="4"/>
      <c r="P107" s="4"/>
      <c r="Q107" s="4"/>
      <c r="R107" s="4"/>
      <c r="S107" s="4"/>
      <c r="T107" s="4"/>
      <c r="U107" s="4"/>
      <c r="V107" s="4"/>
      <c r="W107" s="4"/>
      <c r="X107" s="4"/>
      <c r="Y107" s="4"/>
      <c r="Z107" s="4"/>
    </row>
    <row r="108" ht="15.75" customHeight="1">
      <c r="A108" s="1"/>
      <c r="B108" s="1"/>
      <c r="C108" s="1"/>
      <c r="D108" s="1"/>
      <c r="E108" s="1"/>
      <c r="F108" s="1"/>
      <c r="G108" s="1"/>
      <c r="H108" s="4"/>
      <c r="I108" s="4"/>
      <c r="J108" s="4"/>
      <c r="K108" s="4"/>
      <c r="L108" s="4"/>
      <c r="M108" s="4"/>
      <c r="N108" s="4"/>
      <c r="O108" s="4"/>
      <c r="P108" s="4"/>
      <c r="Q108" s="4"/>
      <c r="R108" s="4"/>
      <c r="S108" s="4"/>
      <c r="T108" s="4"/>
      <c r="U108" s="4"/>
      <c r="V108" s="4"/>
      <c r="W108" s="4"/>
      <c r="X108" s="4"/>
      <c r="Y108" s="4"/>
      <c r="Z108" s="4"/>
    </row>
    <row r="109" ht="15.75" customHeight="1">
      <c r="A109" s="1"/>
      <c r="B109" s="1"/>
      <c r="C109" s="1"/>
      <c r="D109" s="1"/>
      <c r="E109" s="1"/>
      <c r="F109" s="1"/>
      <c r="G109" s="1"/>
      <c r="H109" s="4"/>
      <c r="I109" s="4"/>
      <c r="J109" s="4"/>
      <c r="K109" s="4"/>
      <c r="L109" s="4"/>
      <c r="M109" s="4"/>
      <c r="N109" s="4"/>
      <c r="O109" s="4"/>
      <c r="P109" s="4"/>
      <c r="Q109" s="4"/>
      <c r="R109" s="4"/>
      <c r="S109" s="4"/>
      <c r="T109" s="4"/>
      <c r="U109" s="4"/>
      <c r="V109" s="4"/>
      <c r="W109" s="4"/>
      <c r="X109" s="4"/>
      <c r="Y109" s="4"/>
      <c r="Z109" s="4"/>
    </row>
    <row r="110" ht="15.75" customHeight="1">
      <c r="A110" s="1"/>
      <c r="B110" s="1"/>
      <c r="C110" s="1"/>
      <c r="D110" s="1"/>
      <c r="E110" s="1"/>
      <c r="F110" s="1"/>
      <c r="G110" s="1"/>
      <c r="H110" s="4"/>
      <c r="I110" s="4"/>
      <c r="J110" s="4"/>
      <c r="K110" s="4"/>
      <c r="L110" s="4"/>
      <c r="M110" s="4"/>
      <c r="N110" s="4"/>
      <c r="O110" s="4"/>
      <c r="P110" s="4"/>
      <c r="Q110" s="4"/>
      <c r="R110" s="4"/>
      <c r="S110" s="4"/>
      <c r="T110" s="4"/>
      <c r="U110" s="4"/>
      <c r="V110" s="4"/>
      <c r="W110" s="4"/>
      <c r="X110" s="4"/>
      <c r="Y110" s="4"/>
      <c r="Z110" s="4"/>
    </row>
    <row r="111" ht="15.75" customHeight="1">
      <c r="A111" s="1"/>
      <c r="B111" s="1"/>
      <c r="C111" s="1"/>
      <c r="D111" s="1"/>
      <c r="E111" s="1"/>
      <c r="F111" s="1"/>
      <c r="G111" s="1"/>
      <c r="H111" s="4"/>
      <c r="I111" s="4"/>
      <c r="J111" s="4"/>
      <c r="K111" s="4"/>
      <c r="L111" s="4"/>
      <c r="M111" s="4"/>
      <c r="N111" s="4"/>
      <c r="O111" s="4"/>
      <c r="P111" s="4"/>
      <c r="Q111" s="4"/>
      <c r="R111" s="4"/>
      <c r="S111" s="4"/>
      <c r="T111" s="4"/>
      <c r="U111" s="4"/>
      <c r="V111" s="4"/>
      <c r="W111" s="4"/>
      <c r="X111" s="4"/>
      <c r="Y111" s="4"/>
      <c r="Z111" s="4"/>
    </row>
    <row r="112" ht="15.75" customHeight="1">
      <c r="A112" s="1"/>
      <c r="B112" s="1"/>
      <c r="C112" s="1"/>
      <c r="D112" s="1"/>
      <c r="E112" s="1"/>
      <c r="F112" s="1"/>
      <c r="G112" s="1"/>
      <c r="H112" s="4"/>
      <c r="I112" s="4"/>
      <c r="J112" s="4"/>
      <c r="K112" s="4"/>
      <c r="L112" s="4"/>
      <c r="M112" s="4"/>
      <c r="N112" s="4"/>
      <c r="O112" s="4"/>
      <c r="P112" s="4"/>
      <c r="Q112" s="4"/>
      <c r="R112" s="4"/>
      <c r="S112" s="4"/>
      <c r="T112" s="4"/>
      <c r="U112" s="4"/>
      <c r="V112" s="4"/>
      <c r="W112" s="4"/>
      <c r="X112" s="4"/>
      <c r="Y112" s="4"/>
      <c r="Z112" s="4"/>
    </row>
    <row r="113" ht="15.75" customHeight="1">
      <c r="A113" s="1"/>
      <c r="B113" s="1"/>
      <c r="C113" s="1"/>
      <c r="D113" s="1"/>
      <c r="E113" s="1"/>
      <c r="F113" s="1"/>
      <c r="G113" s="1"/>
      <c r="H113" s="4"/>
      <c r="I113" s="4"/>
      <c r="J113" s="4"/>
      <c r="K113" s="4"/>
      <c r="L113" s="4"/>
      <c r="M113" s="4"/>
      <c r="N113" s="4"/>
      <c r="O113" s="4"/>
      <c r="P113" s="4"/>
      <c r="Q113" s="4"/>
      <c r="R113" s="4"/>
      <c r="S113" s="4"/>
      <c r="T113" s="4"/>
      <c r="U113" s="4"/>
      <c r="V113" s="4"/>
      <c r="W113" s="4"/>
      <c r="X113" s="4"/>
      <c r="Y113" s="4"/>
      <c r="Z113" s="4"/>
    </row>
    <row r="114" ht="15.75" customHeight="1">
      <c r="A114" s="1"/>
      <c r="B114" s="1"/>
      <c r="C114" s="1"/>
      <c r="D114" s="1"/>
      <c r="E114" s="1"/>
      <c r="F114" s="1"/>
      <c r="G114" s="1"/>
      <c r="H114" s="4"/>
      <c r="I114" s="4"/>
      <c r="J114" s="4"/>
      <c r="K114" s="4"/>
      <c r="L114" s="4"/>
      <c r="M114" s="4"/>
      <c r="N114" s="4"/>
      <c r="O114" s="4"/>
      <c r="P114" s="4"/>
      <c r="Q114" s="4"/>
      <c r="R114" s="4"/>
      <c r="S114" s="4"/>
      <c r="T114" s="4"/>
      <c r="U114" s="4"/>
      <c r="V114" s="4"/>
      <c r="W114" s="4"/>
      <c r="X114" s="4"/>
      <c r="Y114" s="4"/>
      <c r="Z114" s="4"/>
    </row>
    <row r="115" ht="15.75" customHeight="1">
      <c r="A115" s="1"/>
      <c r="B115" s="1"/>
      <c r="C115" s="1"/>
      <c r="D115" s="1"/>
      <c r="E115" s="1"/>
      <c r="F115" s="1"/>
      <c r="G115" s="1"/>
      <c r="H115" s="4"/>
      <c r="I115" s="4"/>
      <c r="J115" s="4"/>
      <c r="K115" s="4"/>
      <c r="L115" s="4"/>
      <c r="M115" s="4"/>
      <c r="N115" s="4"/>
      <c r="O115" s="4"/>
      <c r="P115" s="4"/>
      <c r="Q115" s="4"/>
      <c r="R115" s="4"/>
      <c r="S115" s="4"/>
      <c r="T115" s="4"/>
      <c r="U115" s="4"/>
      <c r="V115" s="4"/>
      <c r="W115" s="4"/>
      <c r="X115" s="4"/>
      <c r="Y115" s="4"/>
      <c r="Z115" s="4"/>
    </row>
    <row r="116" ht="15.75" customHeight="1">
      <c r="A116" s="1"/>
      <c r="B116" s="1"/>
      <c r="C116" s="1"/>
      <c r="D116" s="1"/>
      <c r="E116" s="1"/>
      <c r="F116" s="1"/>
      <c r="G116" s="1"/>
      <c r="H116" s="4"/>
      <c r="I116" s="4"/>
      <c r="J116" s="4"/>
      <c r="K116" s="4"/>
      <c r="L116" s="4"/>
      <c r="M116" s="4"/>
      <c r="N116" s="4"/>
      <c r="O116" s="4"/>
      <c r="P116" s="4"/>
      <c r="Q116" s="4"/>
      <c r="R116" s="4"/>
      <c r="S116" s="4"/>
      <c r="T116" s="4"/>
      <c r="U116" s="4"/>
      <c r="V116" s="4"/>
      <c r="W116" s="4"/>
      <c r="X116" s="4"/>
      <c r="Y116" s="4"/>
      <c r="Z116" s="4"/>
    </row>
    <row r="117" ht="15.75" customHeight="1">
      <c r="A117" s="1"/>
      <c r="B117" s="1"/>
      <c r="C117" s="1"/>
      <c r="D117" s="1"/>
      <c r="E117" s="1"/>
      <c r="F117" s="1"/>
      <c r="G117" s="1"/>
      <c r="H117" s="4"/>
      <c r="I117" s="4"/>
      <c r="J117" s="4"/>
      <c r="K117" s="4"/>
      <c r="L117" s="4"/>
      <c r="M117" s="4"/>
      <c r="N117" s="4"/>
      <c r="O117" s="4"/>
      <c r="P117" s="4"/>
      <c r="Q117" s="4"/>
      <c r="R117" s="4"/>
      <c r="S117" s="4"/>
      <c r="T117" s="4"/>
      <c r="U117" s="4"/>
      <c r="V117" s="4"/>
      <c r="W117" s="4"/>
      <c r="X117" s="4"/>
      <c r="Y117" s="4"/>
      <c r="Z117" s="4"/>
    </row>
    <row r="118" ht="15.75" customHeight="1">
      <c r="A118" s="1"/>
      <c r="B118" s="1"/>
      <c r="C118" s="1"/>
      <c r="D118" s="1"/>
      <c r="E118" s="1"/>
      <c r="F118" s="1"/>
      <c r="G118" s="1"/>
      <c r="H118" s="4"/>
      <c r="I118" s="4"/>
      <c r="J118" s="4"/>
      <c r="K118" s="4"/>
      <c r="L118" s="4"/>
      <c r="M118" s="4"/>
      <c r="N118" s="4"/>
      <c r="O118" s="4"/>
      <c r="P118" s="4"/>
      <c r="Q118" s="4"/>
      <c r="R118" s="4"/>
      <c r="S118" s="4"/>
      <c r="T118" s="4"/>
      <c r="U118" s="4"/>
      <c r="V118" s="4"/>
      <c r="W118" s="4"/>
      <c r="X118" s="4"/>
      <c r="Y118" s="4"/>
      <c r="Z118" s="4"/>
    </row>
    <row r="119" ht="15.75" customHeight="1">
      <c r="A119" s="1"/>
      <c r="B119" s="1"/>
      <c r="C119" s="1"/>
      <c r="D119" s="1"/>
      <c r="E119" s="1"/>
      <c r="F119" s="1"/>
      <c r="G119" s="1"/>
      <c r="H119" s="4"/>
      <c r="I119" s="4"/>
      <c r="J119" s="4"/>
      <c r="K119" s="4"/>
      <c r="L119" s="4"/>
      <c r="M119" s="4"/>
      <c r="N119" s="4"/>
      <c r="O119" s="4"/>
      <c r="P119" s="4"/>
      <c r="Q119" s="4"/>
      <c r="R119" s="4"/>
      <c r="S119" s="4"/>
      <c r="T119" s="4"/>
      <c r="U119" s="4"/>
      <c r="V119" s="4"/>
      <c r="W119" s="4"/>
      <c r="X119" s="4"/>
      <c r="Y119" s="4"/>
      <c r="Z119" s="4"/>
    </row>
    <row r="120" ht="15.75" customHeight="1">
      <c r="A120" s="1"/>
      <c r="B120" s="1"/>
      <c r="C120" s="1"/>
      <c r="D120" s="1"/>
      <c r="E120" s="1"/>
      <c r="F120" s="1"/>
      <c r="G120" s="1"/>
      <c r="H120" s="4"/>
      <c r="I120" s="4"/>
      <c r="J120" s="4"/>
      <c r="K120" s="4"/>
      <c r="L120" s="4"/>
      <c r="M120" s="4"/>
      <c r="N120" s="4"/>
      <c r="O120" s="4"/>
      <c r="P120" s="4"/>
      <c r="Q120" s="4"/>
      <c r="R120" s="4"/>
      <c r="S120" s="4"/>
      <c r="T120" s="4"/>
      <c r="U120" s="4"/>
      <c r="V120" s="4"/>
      <c r="W120" s="4"/>
      <c r="X120" s="4"/>
      <c r="Y120" s="4"/>
      <c r="Z120" s="4"/>
    </row>
    <row r="121" ht="15.75" customHeight="1">
      <c r="A121" s="1"/>
      <c r="B121" s="1"/>
      <c r="C121" s="1"/>
      <c r="D121" s="1"/>
      <c r="E121" s="1"/>
      <c r="F121" s="1"/>
      <c r="G121" s="1"/>
      <c r="H121" s="4"/>
      <c r="I121" s="4"/>
      <c r="J121" s="4"/>
      <c r="K121" s="4"/>
      <c r="L121" s="4"/>
      <c r="M121" s="4"/>
      <c r="N121" s="4"/>
      <c r="O121" s="4"/>
      <c r="P121" s="4"/>
      <c r="Q121" s="4"/>
      <c r="R121" s="4"/>
      <c r="S121" s="4"/>
      <c r="T121" s="4"/>
      <c r="U121" s="4"/>
      <c r="V121" s="4"/>
      <c r="W121" s="4"/>
      <c r="X121" s="4"/>
      <c r="Y121" s="4"/>
      <c r="Z121" s="4"/>
    </row>
    <row r="122" ht="15.75" customHeight="1">
      <c r="A122" s="1"/>
      <c r="B122" s="1"/>
      <c r="C122" s="1"/>
      <c r="D122" s="1"/>
      <c r="E122" s="1"/>
      <c r="F122" s="1"/>
      <c r="G122" s="1"/>
      <c r="H122" s="4"/>
      <c r="I122" s="4"/>
      <c r="J122" s="4"/>
      <c r="K122" s="4"/>
      <c r="L122" s="4"/>
      <c r="M122" s="4"/>
      <c r="N122" s="4"/>
      <c r="O122" s="4"/>
      <c r="P122" s="4"/>
      <c r="Q122" s="4"/>
      <c r="R122" s="4"/>
      <c r="S122" s="4"/>
      <c r="T122" s="4"/>
      <c r="U122" s="4"/>
      <c r="V122" s="4"/>
      <c r="W122" s="4"/>
      <c r="X122" s="4"/>
      <c r="Y122" s="4"/>
      <c r="Z122" s="4"/>
    </row>
    <row r="123" ht="15.75" customHeight="1">
      <c r="A123" s="1"/>
      <c r="B123" s="1"/>
      <c r="C123" s="1"/>
      <c r="D123" s="1"/>
      <c r="E123" s="1"/>
      <c r="F123" s="1"/>
      <c r="G123" s="1"/>
      <c r="H123" s="4"/>
      <c r="I123" s="4"/>
      <c r="J123" s="4"/>
      <c r="K123" s="4"/>
      <c r="L123" s="4"/>
      <c r="M123" s="4"/>
      <c r="N123" s="4"/>
      <c r="O123" s="4"/>
      <c r="P123" s="4"/>
      <c r="Q123" s="4"/>
      <c r="R123" s="4"/>
      <c r="S123" s="4"/>
      <c r="T123" s="4"/>
      <c r="U123" s="4"/>
      <c r="V123" s="4"/>
      <c r="W123" s="4"/>
      <c r="X123" s="4"/>
      <c r="Y123" s="4"/>
      <c r="Z123" s="4"/>
    </row>
    <row r="124" ht="15.75" customHeight="1">
      <c r="A124" s="1"/>
      <c r="B124" s="1"/>
      <c r="C124" s="1"/>
      <c r="D124" s="1"/>
      <c r="E124" s="1"/>
      <c r="F124" s="1"/>
      <c r="G124" s="1"/>
      <c r="H124" s="4"/>
      <c r="I124" s="4"/>
      <c r="J124" s="4"/>
      <c r="K124" s="4"/>
      <c r="L124" s="4"/>
      <c r="M124" s="4"/>
      <c r="N124" s="4"/>
      <c r="O124" s="4"/>
      <c r="P124" s="4"/>
      <c r="Q124" s="4"/>
      <c r="R124" s="4"/>
      <c r="S124" s="4"/>
      <c r="T124" s="4"/>
      <c r="U124" s="4"/>
      <c r="V124" s="4"/>
      <c r="W124" s="4"/>
      <c r="X124" s="4"/>
      <c r="Y124" s="4"/>
      <c r="Z124" s="4"/>
    </row>
    <row r="125" ht="15.75" customHeight="1">
      <c r="A125" s="1"/>
      <c r="B125" s="1"/>
      <c r="C125" s="1"/>
      <c r="D125" s="1"/>
      <c r="E125" s="1"/>
      <c r="F125" s="1"/>
      <c r="G125" s="1"/>
      <c r="H125" s="4"/>
      <c r="I125" s="4"/>
      <c r="J125" s="4"/>
      <c r="K125" s="4"/>
      <c r="L125" s="4"/>
      <c r="M125" s="4"/>
      <c r="N125" s="4"/>
      <c r="O125" s="4"/>
      <c r="P125" s="4"/>
      <c r="Q125" s="4"/>
      <c r="R125" s="4"/>
      <c r="S125" s="4"/>
      <c r="T125" s="4"/>
      <c r="U125" s="4"/>
      <c r="V125" s="4"/>
      <c r="W125" s="4"/>
      <c r="X125" s="4"/>
      <c r="Y125" s="4"/>
      <c r="Z125" s="4"/>
    </row>
    <row r="126" ht="15.75" customHeight="1">
      <c r="A126" s="1"/>
      <c r="B126" s="1"/>
      <c r="C126" s="1"/>
      <c r="D126" s="1"/>
      <c r="E126" s="1"/>
      <c r="F126" s="1"/>
      <c r="G126" s="1"/>
      <c r="H126" s="4"/>
      <c r="I126" s="4"/>
      <c r="J126" s="4"/>
      <c r="K126" s="4"/>
      <c r="L126" s="4"/>
      <c r="M126" s="4"/>
      <c r="N126" s="4"/>
      <c r="O126" s="4"/>
      <c r="P126" s="4"/>
      <c r="Q126" s="4"/>
      <c r="R126" s="4"/>
      <c r="S126" s="4"/>
      <c r="T126" s="4"/>
      <c r="U126" s="4"/>
      <c r="V126" s="4"/>
      <c r="W126" s="4"/>
      <c r="X126" s="4"/>
      <c r="Y126" s="4"/>
      <c r="Z126" s="4"/>
    </row>
    <row r="127" ht="15.75" customHeight="1">
      <c r="A127" s="1"/>
      <c r="B127" s="1"/>
      <c r="C127" s="1"/>
      <c r="D127" s="1"/>
      <c r="E127" s="1"/>
      <c r="F127" s="1"/>
      <c r="G127" s="1"/>
      <c r="H127" s="4"/>
      <c r="I127" s="4"/>
      <c r="J127" s="4"/>
      <c r="K127" s="4"/>
      <c r="L127" s="4"/>
      <c r="M127" s="4"/>
      <c r="N127" s="4"/>
      <c r="O127" s="4"/>
      <c r="P127" s="4"/>
      <c r="Q127" s="4"/>
      <c r="R127" s="4"/>
      <c r="S127" s="4"/>
      <c r="T127" s="4"/>
      <c r="U127" s="4"/>
      <c r="V127" s="4"/>
      <c r="W127" s="4"/>
      <c r="X127" s="4"/>
      <c r="Y127" s="4"/>
      <c r="Z127" s="4"/>
    </row>
    <row r="128" ht="15.75" customHeight="1">
      <c r="A128" s="1"/>
      <c r="B128" s="1"/>
      <c r="C128" s="1"/>
      <c r="D128" s="1"/>
      <c r="E128" s="1"/>
      <c r="F128" s="1"/>
      <c r="G128" s="1"/>
      <c r="H128" s="4"/>
      <c r="I128" s="4"/>
      <c r="J128" s="4"/>
      <c r="K128" s="4"/>
      <c r="L128" s="4"/>
      <c r="M128" s="4"/>
      <c r="N128" s="4"/>
      <c r="O128" s="4"/>
      <c r="P128" s="4"/>
      <c r="Q128" s="4"/>
      <c r="R128" s="4"/>
      <c r="S128" s="4"/>
      <c r="T128" s="4"/>
      <c r="U128" s="4"/>
      <c r="V128" s="4"/>
      <c r="W128" s="4"/>
      <c r="X128" s="4"/>
      <c r="Y128" s="4"/>
      <c r="Z128" s="4"/>
    </row>
    <row r="129" ht="15.75" customHeight="1">
      <c r="A129" s="1"/>
      <c r="B129" s="1"/>
      <c r="C129" s="1"/>
      <c r="D129" s="1"/>
      <c r="E129" s="1"/>
      <c r="F129" s="1"/>
      <c r="G129" s="1"/>
      <c r="H129" s="4"/>
      <c r="I129" s="4"/>
      <c r="J129" s="4"/>
      <c r="K129" s="4"/>
      <c r="L129" s="4"/>
      <c r="M129" s="4"/>
      <c r="N129" s="4"/>
      <c r="O129" s="4"/>
      <c r="P129" s="4"/>
      <c r="Q129" s="4"/>
      <c r="R129" s="4"/>
      <c r="S129" s="4"/>
      <c r="T129" s="4"/>
      <c r="U129" s="4"/>
      <c r="V129" s="4"/>
      <c r="W129" s="4"/>
      <c r="X129" s="4"/>
      <c r="Y129" s="4"/>
      <c r="Z129" s="4"/>
    </row>
    <row r="130" ht="15.75" customHeight="1">
      <c r="A130" s="1"/>
      <c r="B130" s="1"/>
      <c r="C130" s="1"/>
      <c r="D130" s="1"/>
      <c r="E130" s="1"/>
      <c r="F130" s="1"/>
      <c r="G130" s="1"/>
      <c r="H130" s="4"/>
      <c r="I130" s="4"/>
      <c r="J130" s="4"/>
      <c r="K130" s="4"/>
      <c r="L130" s="4"/>
      <c r="M130" s="4"/>
      <c r="N130" s="4"/>
      <c r="O130" s="4"/>
      <c r="P130" s="4"/>
      <c r="Q130" s="4"/>
      <c r="R130" s="4"/>
      <c r="S130" s="4"/>
      <c r="T130" s="4"/>
      <c r="U130" s="4"/>
      <c r="V130" s="4"/>
      <c r="W130" s="4"/>
      <c r="X130" s="4"/>
      <c r="Y130" s="4"/>
      <c r="Z130" s="4"/>
    </row>
    <row r="131" ht="15.75" customHeight="1">
      <c r="A131" s="1"/>
      <c r="B131" s="1"/>
      <c r="C131" s="1"/>
      <c r="D131" s="1"/>
      <c r="E131" s="1"/>
      <c r="F131" s="1"/>
      <c r="G131" s="1"/>
      <c r="H131" s="4"/>
      <c r="I131" s="4"/>
      <c r="J131" s="4"/>
      <c r="K131" s="4"/>
      <c r="L131" s="4"/>
      <c r="M131" s="4"/>
      <c r="N131" s="4"/>
      <c r="O131" s="4"/>
      <c r="P131" s="4"/>
      <c r="Q131" s="4"/>
      <c r="R131" s="4"/>
      <c r="S131" s="4"/>
      <c r="T131" s="4"/>
      <c r="U131" s="4"/>
      <c r="V131" s="4"/>
      <c r="W131" s="4"/>
      <c r="X131" s="4"/>
      <c r="Y131" s="4"/>
      <c r="Z131" s="4"/>
    </row>
    <row r="132" ht="15.75" customHeight="1">
      <c r="A132" s="1"/>
      <c r="B132" s="1"/>
      <c r="C132" s="1"/>
      <c r="D132" s="1"/>
      <c r="E132" s="1"/>
      <c r="F132" s="1"/>
      <c r="G132" s="1"/>
      <c r="H132" s="4"/>
      <c r="I132" s="4"/>
      <c r="J132" s="4"/>
      <c r="K132" s="4"/>
      <c r="L132" s="4"/>
      <c r="M132" s="4"/>
      <c r="N132" s="4"/>
      <c r="O132" s="4"/>
      <c r="P132" s="4"/>
      <c r="Q132" s="4"/>
      <c r="R132" s="4"/>
      <c r="S132" s="4"/>
      <c r="T132" s="4"/>
      <c r="U132" s="4"/>
      <c r="V132" s="4"/>
      <c r="W132" s="4"/>
      <c r="X132" s="4"/>
      <c r="Y132" s="4"/>
      <c r="Z132" s="4"/>
    </row>
    <row r="133" ht="15.75" customHeight="1">
      <c r="A133" s="1"/>
      <c r="B133" s="1"/>
      <c r="C133" s="1"/>
      <c r="D133" s="1"/>
      <c r="E133" s="1"/>
      <c r="F133" s="1"/>
      <c r="G133" s="1"/>
      <c r="H133" s="4"/>
      <c r="I133" s="4"/>
      <c r="J133" s="4"/>
      <c r="K133" s="4"/>
      <c r="L133" s="4"/>
      <c r="M133" s="4"/>
      <c r="N133" s="4"/>
      <c r="O133" s="4"/>
      <c r="P133" s="4"/>
      <c r="Q133" s="4"/>
      <c r="R133" s="4"/>
      <c r="S133" s="4"/>
      <c r="T133" s="4"/>
      <c r="U133" s="4"/>
      <c r="V133" s="4"/>
      <c r="W133" s="4"/>
      <c r="X133" s="4"/>
      <c r="Y133" s="4"/>
      <c r="Z133" s="4"/>
    </row>
    <row r="134" ht="15.75" customHeight="1">
      <c r="A134" s="1"/>
      <c r="B134" s="1"/>
      <c r="C134" s="1"/>
      <c r="D134" s="1"/>
      <c r="E134" s="1"/>
      <c r="F134" s="1"/>
      <c r="G134" s="1"/>
      <c r="H134" s="4"/>
      <c r="I134" s="4"/>
      <c r="J134" s="4"/>
      <c r="K134" s="4"/>
      <c r="L134" s="4"/>
      <c r="M134" s="4"/>
      <c r="N134" s="4"/>
      <c r="O134" s="4"/>
      <c r="P134" s="4"/>
      <c r="Q134" s="4"/>
      <c r="R134" s="4"/>
      <c r="S134" s="4"/>
      <c r="T134" s="4"/>
      <c r="U134" s="4"/>
      <c r="V134" s="4"/>
      <c r="W134" s="4"/>
      <c r="X134" s="4"/>
      <c r="Y134" s="4"/>
      <c r="Z134" s="4"/>
    </row>
    <row r="135" ht="15.75" customHeight="1">
      <c r="A135" s="1"/>
      <c r="B135" s="1"/>
      <c r="C135" s="1"/>
      <c r="D135" s="1"/>
      <c r="E135" s="1"/>
      <c r="F135" s="1"/>
      <c r="G135" s="1"/>
      <c r="H135" s="4"/>
      <c r="I135" s="4"/>
      <c r="J135" s="4"/>
      <c r="K135" s="4"/>
      <c r="L135" s="4"/>
      <c r="M135" s="4"/>
      <c r="N135" s="4"/>
      <c r="O135" s="4"/>
      <c r="P135" s="4"/>
      <c r="Q135" s="4"/>
      <c r="R135" s="4"/>
      <c r="S135" s="4"/>
      <c r="T135" s="4"/>
      <c r="U135" s="4"/>
      <c r="V135" s="4"/>
      <c r="W135" s="4"/>
      <c r="X135" s="4"/>
      <c r="Y135" s="4"/>
      <c r="Z135" s="4"/>
    </row>
    <row r="136" ht="15.75" customHeight="1">
      <c r="A136" s="1"/>
      <c r="B136" s="1"/>
      <c r="C136" s="1"/>
      <c r="D136" s="1"/>
      <c r="E136" s="1"/>
      <c r="F136" s="1"/>
      <c r="G136" s="1"/>
      <c r="H136" s="4"/>
      <c r="I136" s="4"/>
      <c r="J136" s="4"/>
      <c r="K136" s="4"/>
      <c r="L136" s="4"/>
      <c r="M136" s="4"/>
      <c r="N136" s="4"/>
      <c r="O136" s="4"/>
      <c r="P136" s="4"/>
      <c r="Q136" s="4"/>
      <c r="R136" s="4"/>
      <c r="S136" s="4"/>
      <c r="T136" s="4"/>
      <c r="U136" s="4"/>
      <c r="V136" s="4"/>
      <c r="W136" s="4"/>
      <c r="X136" s="4"/>
      <c r="Y136" s="4"/>
      <c r="Z136" s="4"/>
    </row>
    <row r="137" ht="15.75" customHeight="1">
      <c r="A137" s="1"/>
      <c r="B137" s="1"/>
      <c r="C137" s="1"/>
      <c r="D137" s="1"/>
      <c r="E137" s="1"/>
      <c r="F137" s="1"/>
      <c r="G137" s="1"/>
      <c r="H137" s="4"/>
      <c r="I137" s="4"/>
      <c r="J137" s="4"/>
      <c r="K137" s="4"/>
      <c r="L137" s="4"/>
      <c r="M137" s="4"/>
      <c r="N137" s="4"/>
      <c r="O137" s="4"/>
      <c r="P137" s="4"/>
      <c r="Q137" s="4"/>
      <c r="R137" s="4"/>
      <c r="S137" s="4"/>
      <c r="T137" s="4"/>
      <c r="U137" s="4"/>
      <c r="V137" s="4"/>
      <c r="W137" s="4"/>
      <c r="X137" s="4"/>
      <c r="Y137" s="4"/>
      <c r="Z137" s="4"/>
    </row>
    <row r="138" ht="15.75" customHeight="1">
      <c r="A138" s="1"/>
      <c r="B138" s="1"/>
      <c r="C138" s="1"/>
      <c r="D138" s="1"/>
      <c r="E138" s="1"/>
      <c r="F138" s="1"/>
      <c r="G138" s="1"/>
      <c r="H138" s="4"/>
      <c r="I138" s="4"/>
      <c r="J138" s="4"/>
      <c r="K138" s="4"/>
      <c r="L138" s="4"/>
      <c r="M138" s="4"/>
      <c r="N138" s="4"/>
      <c r="O138" s="4"/>
      <c r="P138" s="4"/>
      <c r="Q138" s="4"/>
      <c r="R138" s="4"/>
      <c r="S138" s="4"/>
      <c r="T138" s="4"/>
      <c r="U138" s="4"/>
      <c r="V138" s="4"/>
      <c r="W138" s="4"/>
      <c r="X138" s="4"/>
      <c r="Y138" s="4"/>
      <c r="Z138" s="4"/>
    </row>
    <row r="139" ht="15.75" customHeight="1">
      <c r="A139" s="1"/>
      <c r="B139" s="1"/>
      <c r="C139" s="1"/>
      <c r="D139" s="1"/>
      <c r="E139" s="1"/>
      <c r="F139" s="1"/>
      <c r="G139" s="1"/>
      <c r="H139" s="4"/>
      <c r="I139" s="4"/>
      <c r="J139" s="4"/>
      <c r="K139" s="4"/>
      <c r="L139" s="4"/>
      <c r="M139" s="4"/>
      <c r="N139" s="4"/>
      <c r="O139" s="4"/>
      <c r="P139" s="4"/>
      <c r="Q139" s="4"/>
      <c r="R139" s="4"/>
      <c r="S139" s="4"/>
      <c r="T139" s="4"/>
      <c r="U139" s="4"/>
      <c r="V139" s="4"/>
      <c r="W139" s="4"/>
      <c r="X139" s="4"/>
      <c r="Y139" s="4"/>
      <c r="Z139" s="4"/>
    </row>
    <row r="140" ht="15.75" customHeight="1">
      <c r="A140" s="1"/>
      <c r="B140" s="1"/>
      <c r="C140" s="1"/>
      <c r="D140" s="1"/>
      <c r="E140" s="1"/>
      <c r="F140" s="1"/>
      <c r="G140" s="1"/>
      <c r="H140" s="4"/>
      <c r="I140" s="4"/>
      <c r="J140" s="4"/>
      <c r="K140" s="4"/>
      <c r="L140" s="4"/>
      <c r="M140" s="4"/>
      <c r="N140" s="4"/>
      <c r="O140" s="4"/>
      <c r="P140" s="4"/>
      <c r="Q140" s="4"/>
      <c r="R140" s="4"/>
      <c r="S140" s="4"/>
      <c r="T140" s="4"/>
      <c r="U140" s="4"/>
      <c r="V140" s="4"/>
      <c r="W140" s="4"/>
      <c r="X140" s="4"/>
      <c r="Y140" s="4"/>
      <c r="Z140" s="4"/>
    </row>
    <row r="141" ht="15.75" customHeight="1">
      <c r="A141" s="1"/>
      <c r="B141" s="1"/>
      <c r="C141" s="1"/>
      <c r="D141" s="1"/>
      <c r="E141" s="1"/>
      <c r="F141" s="1"/>
      <c r="G141" s="1"/>
      <c r="H141" s="4"/>
      <c r="I141" s="4"/>
      <c r="J141" s="4"/>
      <c r="K141" s="4"/>
      <c r="L141" s="4"/>
      <c r="M141" s="4"/>
      <c r="N141" s="4"/>
      <c r="O141" s="4"/>
      <c r="P141" s="4"/>
      <c r="Q141" s="4"/>
      <c r="R141" s="4"/>
      <c r="S141" s="4"/>
      <c r="T141" s="4"/>
      <c r="U141" s="4"/>
      <c r="V141" s="4"/>
      <c r="W141" s="4"/>
      <c r="X141" s="4"/>
      <c r="Y141" s="4"/>
      <c r="Z141" s="4"/>
    </row>
    <row r="142" ht="15.75" customHeight="1">
      <c r="A142" s="1"/>
      <c r="B142" s="1"/>
      <c r="C142" s="1"/>
      <c r="D142" s="1"/>
      <c r="E142" s="1"/>
      <c r="F142" s="1"/>
      <c r="G142" s="1"/>
      <c r="H142" s="4"/>
      <c r="I142" s="4"/>
      <c r="J142" s="4"/>
      <c r="K142" s="4"/>
      <c r="L142" s="4"/>
      <c r="M142" s="4"/>
      <c r="N142" s="4"/>
      <c r="O142" s="4"/>
      <c r="P142" s="4"/>
      <c r="Q142" s="4"/>
      <c r="R142" s="4"/>
      <c r="S142" s="4"/>
      <c r="T142" s="4"/>
      <c r="U142" s="4"/>
      <c r="V142" s="4"/>
      <c r="W142" s="4"/>
      <c r="X142" s="4"/>
      <c r="Y142" s="4"/>
      <c r="Z142" s="4"/>
    </row>
    <row r="143" ht="15.75" customHeight="1">
      <c r="A143" s="1"/>
      <c r="B143" s="1"/>
      <c r="C143" s="1"/>
      <c r="D143" s="1"/>
      <c r="E143" s="1"/>
      <c r="F143" s="1"/>
      <c r="G143" s="1"/>
      <c r="H143" s="4"/>
      <c r="I143" s="4"/>
      <c r="J143" s="4"/>
      <c r="K143" s="4"/>
      <c r="L143" s="4"/>
      <c r="M143" s="4"/>
      <c r="N143" s="4"/>
      <c r="O143" s="4"/>
      <c r="P143" s="4"/>
      <c r="Q143" s="4"/>
      <c r="R143" s="4"/>
      <c r="S143" s="4"/>
      <c r="T143" s="4"/>
      <c r="U143" s="4"/>
      <c r="V143" s="4"/>
      <c r="W143" s="4"/>
      <c r="X143" s="4"/>
      <c r="Y143" s="4"/>
      <c r="Z143" s="4"/>
    </row>
    <row r="144" ht="15.75" customHeight="1">
      <c r="A144" s="1"/>
      <c r="B144" s="1"/>
      <c r="C144" s="1"/>
      <c r="D144" s="1"/>
      <c r="E144" s="1"/>
      <c r="F144" s="1"/>
      <c r="G144" s="1"/>
      <c r="H144" s="4"/>
      <c r="I144" s="4"/>
      <c r="J144" s="4"/>
      <c r="K144" s="4"/>
      <c r="L144" s="4"/>
      <c r="M144" s="4"/>
      <c r="N144" s="4"/>
      <c r="O144" s="4"/>
      <c r="P144" s="4"/>
      <c r="Q144" s="4"/>
      <c r="R144" s="4"/>
      <c r="S144" s="4"/>
      <c r="T144" s="4"/>
      <c r="U144" s="4"/>
      <c r="V144" s="4"/>
      <c r="W144" s="4"/>
      <c r="X144" s="4"/>
      <c r="Y144" s="4"/>
      <c r="Z144" s="4"/>
    </row>
    <row r="145" ht="15.75" customHeight="1">
      <c r="A145" s="1"/>
      <c r="B145" s="1"/>
      <c r="C145" s="1"/>
      <c r="D145" s="1"/>
      <c r="E145" s="1"/>
      <c r="F145" s="1"/>
      <c r="G145" s="1"/>
      <c r="H145" s="4"/>
      <c r="I145" s="4"/>
      <c r="J145" s="4"/>
      <c r="K145" s="4"/>
      <c r="L145" s="4"/>
      <c r="M145" s="4"/>
      <c r="N145" s="4"/>
      <c r="O145" s="4"/>
      <c r="P145" s="4"/>
      <c r="Q145" s="4"/>
      <c r="R145" s="4"/>
      <c r="S145" s="4"/>
      <c r="T145" s="4"/>
      <c r="U145" s="4"/>
      <c r="V145" s="4"/>
      <c r="W145" s="4"/>
      <c r="X145" s="4"/>
      <c r="Y145" s="4"/>
      <c r="Z145" s="4"/>
    </row>
    <row r="146" ht="15.75" customHeight="1">
      <c r="A146" s="1"/>
      <c r="B146" s="1"/>
      <c r="C146" s="1"/>
      <c r="D146" s="1"/>
      <c r="E146" s="1"/>
      <c r="F146" s="1"/>
      <c r="G146" s="1"/>
      <c r="H146" s="4"/>
      <c r="I146" s="4"/>
      <c r="J146" s="4"/>
      <c r="K146" s="4"/>
      <c r="L146" s="4"/>
      <c r="M146" s="4"/>
      <c r="N146" s="4"/>
      <c r="O146" s="4"/>
      <c r="P146" s="4"/>
      <c r="Q146" s="4"/>
      <c r="R146" s="4"/>
      <c r="S146" s="4"/>
      <c r="T146" s="4"/>
      <c r="U146" s="4"/>
      <c r="V146" s="4"/>
      <c r="W146" s="4"/>
      <c r="X146" s="4"/>
      <c r="Y146" s="4"/>
      <c r="Z146" s="4"/>
    </row>
    <row r="147" ht="15.75" customHeight="1">
      <c r="A147" s="1"/>
      <c r="B147" s="1"/>
      <c r="C147" s="1"/>
      <c r="D147" s="1"/>
      <c r="E147" s="1"/>
      <c r="F147" s="1"/>
      <c r="G147" s="1"/>
      <c r="H147" s="4"/>
      <c r="I147" s="4"/>
      <c r="J147" s="4"/>
      <c r="K147" s="4"/>
      <c r="L147" s="4"/>
      <c r="M147" s="4"/>
      <c r="N147" s="4"/>
      <c r="O147" s="4"/>
      <c r="P147" s="4"/>
      <c r="Q147" s="4"/>
      <c r="R147" s="4"/>
      <c r="S147" s="4"/>
      <c r="T147" s="4"/>
      <c r="U147" s="4"/>
      <c r="V147" s="4"/>
      <c r="W147" s="4"/>
      <c r="X147" s="4"/>
      <c r="Y147" s="4"/>
      <c r="Z147" s="4"/>
    </row>
    <row r="148" ht="15.75" customHeight="1">
      <c r="A148" s="1"/>
      <c r="B148" s="1"/>
      <c r="C148" s="1"/>
      <c r="D148" s="1"/>
      <c r="E148" s="1"/>
      <c r="F148" s="1"/>
      <c r="G148" s="1"/>
      <c r="H148" s="4"/>
      <c r="I148" s="4"/>
      <c r="J148" s="4"/>
      <c r="K148" s="4"/>
      <c r="L148" s="4"/>
      <c r="M148" s="4"/>
      <c r="N148" s="4"/>
      <c r="O148" s="4"/>
      <c r="P148" s="4"/>
      <c r="Q148" s="4"/>
      <c r="R148" s="4"/>
      <c r="S148" s="4"/>
      <c r="T148" s="4"/>
      <c r="U148" s="4"/>
      <c r="V148" s="4"/>
      <c r="W148" s="4"/>
      <c r="X148" s="4"/>
      <c r="Y148" s="4"/>
      <c r="Z148" s="4"/>
    </row>
    <row r="149" ht="15.75" customHeight="1">
      <c r="A149" s="1"/>
      <c r="B149" s="1"/>
      <c r="C149" s="1"/>
      <c r="D149" s="1"/>
      <c r="E149" s="1"/>
      <c r="F149" s="1"/>
      <c r="G149" s="1"/>
      <c r="H149" s="4"/>
      <c r="I149" s="4"/>
      <c r="J149" s="4"/>
      <c r="K149" s="4"/>
      <c r="L149" s="4"/>
      <c r="M149" s="4"/>
      <c r="N149" s="4"/>
      <c r="O149" s="4"/>
      <c r="P149" s="4"/>
      <c r="Q149" s="4"/>
      <c r="R149" s="4"/>
      <c r="S149" s="4"/>
      <c r="T149" s="4"/>
      <c r="U149" s="4"/>
      <c r="V149" s="4"/>
      <c r="W149" s="4"/>
      <c r="X149" s="4"/>
      <c r="Y149" s="4"/>
      <c r="Z149" s="4"/>
    </row>
    <row r="150" ht="15.75" customHeight="1">
      <c r="A150" s="1"/>
      <c r="B150" s="1"/>
      <c r="C150" s="1"/>
      <c r="D150" s="1"/>
      <c r="E150" s="1"/>
      <c r="F150" s="1"/>
      <c r="G150" s="1"/>
      <c r="H150" s="4"/>
      <c r="I150" s="4"/>
      <c r="J150" s="4"/>
      <c r="K150" s="4"/>
      <c r="L150" s="4"/>
      <c r="M150" s="4"/>
      <c r="N150" s="4"/>
      <c r="O150" s="4"/>
      <c r="P150" s="4"/>
      <c r="Q150" s="4"/>
      <c r="R150" s="4"/>
      <c r="S150" s="4"/>
      <c r="T150" s="4"/>
      <c r="U150" s="4"/>
      <c r="V150" s="4"/>
      <c r="W150" s="4"/>
      <c r="X150" s="4"/>
      <c r="Y150" s="4"/>
      <c r="Z150" s="4"/>
    </row>
    <row r="151" ht="15.75" customHeight="1">
      <c r="A151" s="1"/>
      <c r="B151" s="1"/>
      <c r="C151" s="1"/>
      <c r="D151" s="1"/>
      <c r="E151" s="1"/>
      <c r="F151" s="1"/>
      <c r="G151" s="1"/>
      <c r="H151" s="4"/>
      <c r="I151" s="4"/>
      <c r="J151" s="4"/>
      <c r="K151" s="4"/>
      <c r="L151" s="4"/>
      <c r="M151" s="4"/>
      <c r="N151" s="4"/>
      <c r="O151" s="4"/>
      <c r="P151" s="4"/>
      <c r="Q151" s="4"/>
      <c r="R151" s="4"/>
      <c r="S151" s="4"/>
      <c r="T151" s="4"/>
      <c r="U151" s="4"/>
      <c r="V151" s="4"/>
      <c r="W151" s="4"/>
      <c r="X151" s="4"/>
      <c r="Y151" s="4"/>
      <c r="Z151" s="4"/>
    </row>
    <row r="152" ht="15.75" customHeight="1">
      <c r="A152" s="1"/>
      <c r="B152" s="1"/>
      <c r="C152" s="1"/>
      <c r="D152" s="1"/>
      <c r="E152" s="1"/>
      <c r="F152" s="1"/>
      <c r="G152" s="1"/>
      <c r="H152" s="4"/>
      <c r="I152" s="4"/>
      <c r="J152" s="4"/>
      <c r="K152" s="4"/>
      <c r="L152" s="4"/>
      <c r="M152" s="4"/>
      <c r="N152" s="4"/>
      <c r="O152" s="4"/>
      <c r="P152" s="4"/>
      <c r="Q152" s="4"/>
      <c r="R152" s="4"/>
      <c r="S152" s="4"/>
      <c r="T152" s="4"/>
      <c r="U152" s="4"/>
      <c r="V152" s="4"/>
      <c r="W152" s="4"/>
      <c r="X152" s="4"/>
      <c r="Y152" s="4"/>
      <c r="Z152" s="4"/>
    </row>
    <row r="153" ht="15.75" customHeight="1">
      <c r="A153" s="1"/>
      <c r="B153" s="1"/>
      <c r="C153" s="1"/>
      <c r="D153" s="1"/>
      <c r="E153" s="1"/>
      <c r="F153" s="1"/>
      <c r="G153" s="1"/>
      <c r="H153" s="4"/>
      <c r="I153" s="4"/>
      <c r="J153" s="4"/>
      <c r="K153" s="4"/>
      <c r="L153" s="4"/>
      <c r="M153" s="4"/>
      <c r="N153" s="4"/>
      <c r="O153" s="4"/>
      <c r="P153" s="4"/>
      <c r="Q153" s="4"/>
      <c r="R153" s="4"/>
      <c r="S153" s="4"/>
      <c r="T153" s="4"/>
      <c r="U153" s="4"/>
      <c r="V153" s="4"/>
      <c r="W153" s="4"/>
      <c r="X153" s="4"/>
      <c r="Y153" s="4"/>
      <c r="Z153" s="4"/>
    </row>
    <row r="154" ht="15.75" customHeight="1">
      <c r="A154" s="1"/>
      <c r="B154" s="1"/>
      <c r="C154" s="1"/>
      <c r="D154" s="1"/>
      <c r="E154" s="1"/>
      <c r="F154" s="1"/>
      <c r="G154" s="1"/>
      <c r="H154" s="4"/>
      <c r="I154" s="4"/>
      <c r="J154" s="4"/>
      <c r="K154" s="4"/>
      <c r="L154" s="4"/>
      <c r="M154" s="4"/>
      <c r="N154" s="4"/>
      <c r="O154" s="4"/>
      <c r="P154" s="4"/>
      <c r="Q154" s="4"/>
      <c r="R154" s="4"/>
      <c r="S154" s="4"/>
      <c r="T154" s="4"/>
      <c r="U154" s="4"/>
      <c r="V154" s="4"/>
      <c r="W154" s="4"/>
      <c r="X154" s="4"/>
      <c r="Y154" s="4"/>
      <c r="Z154" s="4"/>
    </row>
    <row r="155" ht="15.75" customHeight="1">
      <c r="A155" s="1"/>
      <c r="B155" s="1"/>
      <c r="C155" s="1"/>
      <c r="D155" s="1"/>
      <c r="E155" s="1"/>
      <c r="F155" s="1"/>
      <c r="G155" s="1"/>
      <c r="H155" s="4"/>
      <c r="I155" s="4"/>
      <c r="J155" s="4"/>
      <c r="K155" s="4"/>
      <c r="L155" s="4"/>
      <c r="M155" s="4"/>
      <c r="N155" s="4"/>
      <c r="O155" s="4"/>
      <c r="P155" s="4"/>
      <c r="Q155" s="4"/>
      <c r="R155" s="4"/>
      <c r="S155" s="4"/>
      <c r="T155" s="4"/>
      <c r="U155" s="4"/>
      <c r="V155" s="4"/>
      <c r="W155" s="4"/>
      <c r="X155" s="4"/>
      <c r="Y155" s="4"/>
      <c r="Z155" s="4"/>
    </row>
    <row r="156" ht="15.75" customHeight="1">
      <c r="A156" s="1"/>
      <c r="B156" s="1"/>
      <c r="C156" s="1"/>
      <c r="D156" s="1"/>
      <c r="E156" s="1"/>
      <c r="F156" s="1"/>
      <c r="G156" s="1"/>
      <c r="H156" s="4"/>
      <c r="I156" s="4"/>
      <c r="J156" s="4"/>
      <c r="K156" s="4"/>
      <c r="L156" s="4"/>
      <c r="M156" s="4"/>
      <c r="N156" s="4"/>
      <c r="O156" s="4"/>
      <c r="P156" s="4"/>
      <c r="Q156" s="4"/>
      <c r="R156" s="4"/>
      <c r="S156" s="4"/>
      <c r="T156" s="4"/>
      <c r="U156" s="4"/>
      <c r="V156" s="4"/>
      <c r="W156" s="4"/>
      <c r="X156" s="4"/>
      <c r="Y156" s="4"/>
      <c r="Z156" s="4"/>
    </row>
    <row r="157" ht="15.75" customHeight="1">
      <c r="A157" s="1"/>
      <c r="B157" s="1"/>
      <c r="C157" s="1"/>
      <c r="D157" s="1"/>
      <c r="E157" s="1"/>
      <c r="F157" s="1"/>
      <c r="G157" s="1"/>
      <c r="H157" s="4"/>
      <c r="I157" s="4"/>
      <c r="J157" s="4"/>
      <c r="K157" s="4"/>
      <c r="L157" s="4"/>
      <c r="M157" s="4"/>
      <c r="N157" s="4"/>
      <c r="O157" s="4"/>
      <c r="P157" s="4"/>
      <c r="Q157" s="4"/>
      <c r="R157" s="4"/>
      <c r="S157" s="4"/>
      <c r="T157" s="4"/>
      <c r="U157" s="4"/>
      <c r="V157" s="4"/>
      <c r="W157" s="4"/>
      <c r="X157" s="4"/>
      <c r="Y157" s="4"/>
      <c r="Z157" s="4"/>
    </row>
    <row r="158" ht="15.75" customHeight="1">
      <c r="A158" s="1"/>
      <c r="B158" s="1"/>
      <c r="C158" s="1"/>
      <c r="D158" s="1"/>
      <c r="E158" s="1"/>
      <c r="F158" s="1"/>
      <c r="G158" s="1"/>
      <c r="H158" s="4"/>
      <c r="I158" s="4"/>
      <c r="J158" s="4"/>
      <c r="K158" s="4"/>
      <c r="L158" s="4"/>
      <c r="M158" s="4"/>
      <c r="N158" s="4"/>
      <c r="O158" s="4"/>
      <c r="P158" s="4"/>
      <c r="Q158" s="4"/>
      <c r="R158" s="4"/>
      <c r="S158" s="4"/>
      <c r="T158" s="4"/>
      <c r="U158" s="4"/>
      <c r="V158" s="4"/>
      <c r="W158" s="4"/>
      <c r="X158" s="4"/>
      <c r="Y158" s="4"/>
      <c r="Z158" s="4"/>
    </row>
    <row r="159" ht="15.75" customHeight="1">
      <c r="A159" s="1"/>
      <c r="B159" s="1"/>
      <c r="C159" s="1"/>
      <c r="D159" s="1"/>
      <c r="E159" s="1"/>
      <c r="F159" s="1"/>
      <c r="G159" s="1"/>
      <c r="H159" s="4"/>
      <c r="I159" s="4"/>
      <c r="J159" s="4"/>
      <c r="K159" s="4"/>
      <c r="L159" s="4"/>
      <c r="M159" s="4"/>
      <c r="N159" s="4"/>
      <c r="O159" s="4"/>
      <c r="P159" s="4"/>
      <c r="Q159" s="4"/>
      <c r="R159" s="4"/>
      <c r="S159" s="4"/>
      <c r="T159" s="4"/>
      <c r="U159" s="4"/>
      <c r="V159" s="4"/>
      <c r="W159" s="4"/>
      <c r="X159" s="4"/>
      <c r="Y159" s="4"/>
      <c r="Z159" s="4"/>
    </row>
    <row r="160" ht="15.75" customHeight="1">
      <c r="A160" s="1"/>
      <c r="B160" s="1"/>
      <c r="C160" s="1"/>
      <c r="D160" s="1"/>
      <c r="E160" s="1"/>
      <c r="F160" s="1"/>
      <c r="G160" s="1"/>
      <c r="H160" s="4"/>
      <c r="I160" s="4"/>
      <c r="J160" s="4"/>
      <c r="K160" s="4"/>
      <c r="L160" s="4"/>
      <c r="M160" s="4"/>
      <c r="N160" s="4"/>
      <c r="O160" s="4"/>
      <c r="P160" s="4"/>
      <c r="Q160" s="4"/>
      <c r="R160" s="4"/>
      <c r="S160" s="4"/>
      <c r="T160" s="4"/>
      <c r="U160" s="4"/>
      <c r="V160" s="4"/>
      <c r="W160" s="4"/>
      <c r="X160" s="4"/>
      <c r="Y160" s="4"/>
      <c r="Z160" s="4"/>
    </row>
    <row r="161" ht="15.75" customHeight="1">
      <c r="A161" s="1"/>
      <c r="B161" s="1"/>
      <c r="C161" s="1"/>
      <c r="D161" s="1"/>
      <c r="E161" s="1"/>
      <c r="F161" s="1"/>
      <c r="G161" s="1"/>
      <c r="H161" s="4"/>
      <c r="I161" s="4"/>
      <c r="J161" s="4"/>
      <c r="K161" s="4"/>
      <c r="L161" s="4"/>
      <c r="M161" s="4"/>
      <c r="N161" s="4"/>
      <c r="O161" s="4"/>
      <c r="P161" s="4"/>
      <c r="Q161" s="4"/>
      <c r="R161" s="4"/>
      <c r="S161" s="4"/>
      <c r="T161" s="4"/>
      <c r="U161" s="4"/>
      <c r="V161" s="4"/>
      <c r="W161" s="4"/>
      <c r="X161" s="4"/>
      <c r="Y161" s="4"/>
      <c r="Z161" s="4"/>
    </row>
    <row r="162" ht="15.75" customHeight="1">
      <c r="A162" s="1"/>
      <c r="B162" s="1"/>
      <c r="C162" s="1"/>
      <c r="D162" s="1"/>
      <c r="E162" s="1"/>
      <c r="F162" s="1"/>
      <c r="G162" s="1"/>
      <c r="H162" s="4"/>
      <c r="I162" s="4"/>
      <c r="J162" s="4"/>
      <c r="K162" s="4"/>
      <c r="L162" s="4"/>
      <c r="M162" s="4"/>
      <c r="N162" s="4"/>
      <c r="O162" s="4"/>
      <c r="P162" s="4"/>
      <c r="Q162" s="4"/>
      <c r="R162" s="4"/>
      <c r="S162" s="4"/>
      <c r="T162" s="4"/>
      <c r="U162" s="4"/>
      <c r="V162" s="4"/>
      <c r="W162" s="4"/>
      <c r="X162" s="4"/>
      <c r="Y162" s="4"/>
      <c r="Z162" s="4"/>
    </row>
    <row r="163" ht="15.75" customHeight="1">
      <c r="A163" s="1"/>
      <c r="B163" s="1"/>
      <c r="C163" s="1"/>
      <c r="D163" s="1"/>
      <c r="E163" s="1"/>
      <c r="F163" s="1"/>
      <c r="G163" s="1"/>
      <c r="H163" s="4"/>
      <c r="I163" s="4"/>
      <c r="J163" s="4"/>
      <c r="K163" s="4"/>
      <c r="L163" s="4"/>
      <c r="M163" s="4"/>
      <c r="N163" s="4"/>
      <c r="O163" s="4"/>
      <c r="P163" s="4"/>
      <c r="Q163" s="4"/>
      <c r="R163" s="4"/>
      <c r="S163" s="4"/>
      <c r="T163" s="4"/>
      <c r="U163" s="4"/>
      <c r="V163" s="4"/>
      <c r="W163" s="4"/>
      <c r="X163" s="4"/>
      <c r="Y163" s="4"/>
      <c r="Z163" s="4"/>
    </row>
    <row r="164" ht="15.75" customHeight="1">
      <c r="A164" s="1"/>
      <c r="B164" s="1"/>
      <c r="C164" s="1"/>
      <c r="D164" s="1"/>
      <c r="E164" s="1"/>
      <c r="F164" s="1"/>
      <c r="G164" s="1"/>
      <c r="H164" s="4"/>
      <c r="I164" s="4"/>
      <c r="J164" s="4"/>
      <c r="K164" s="4"/>
      <c r="L164" s="4"/>
      <c r="M164" s="4"/>
      <c r="N164" s="4"/>
      <c r="O164" s="4"/>
      <c r="P164" s="4"/>
      <c r="Q164" s="4"/>
      <c r="R164" s="4"/>
      <c r="S164" s="4"/>
      <c r="T164" s="4"/>
      <c r="U164" s="4"/>
      <c r="V164" s="4"/>
      <c r="W164" s="4"/>
      <c r="X164" s="4"/>
      <c r="Y164" s="4"/>
      <c r="Z164" s="4"/>
    </row>
    <row r="165" ht="15.75" customHeight="1">
      <c r="A165" s="1"/>
      <c r="B165" s="1"/>
      <c r="C165" s="1"/>
      <c r="D165" s="1"/>
      <c r="E165" s="1"/>
      <c r="F165" s="1"/>
      <c r="G165" s="1"/>
      <c r="H165" s="4"/>
      <c r="I165" s="4"/>
      <c r="J165" s="4"/>
      <c r="K165" s="4"/>
      <c r="L165" s="4"/>
      <c r="M165" s="4"/>
      <c r="N165" s="4"/>
      <c r="O165" s="4"/>
      <c r="P165" s="4"/>
      <c r="Q165" s="4"/>
      <c r="R165" s="4"/>
      <c r="S165" s="4"/>
      <c r="T165" s="4"/>
      <c r="U165" s="4"/>
      <c r="V165" s="4"/>
      <c r="W165" s="4"/>
      <c r="X165" s="4"/>
      <c r="Y165" s="4"/>
      <c r="Z165" s="4"/>
    </row>
    <row r="166" ht="15.75" customHeight="1">
      <c r="A166" s="1"/>
      <c r="B166" s="1"/>
      <c r="C166" s="1"/>
      <c r="D166" s="1"/>
      <c r="E166" s="1"/>
      <c r="F166" s="1"/>
      <c r="G166" s="1"/>
      <c r="H166" s="4"/>
      <c r="I166" s="4"/>
      <c r="J166" s="4"/>
      <c r="K166" s="4"/>
      <c r="L166" s="4"/>
      <c r="M166" s="4"/>
      <c r="N166" s="4"/>
      <c r="O166" s="4"/>
      <c r="P166" s="4"/>
      <c r="Q166" s="4"/>
      <c r="R166" s="4"/>
      <c r="S166" s="4"/>
      <c r="T166" s="4"/>
      <c r="U166" s="4"/>
      <c r="V166" s="4"/>
      <c r="W166" s="4"/>
      <c r="X166" s="4"/>
      <c r="Y166" s="4"/>
      <c r="Z166" s="4"/>
    </row>
    <row r="167" ht="15.75" customHeight="1">
      <c r="A167" s="1"/>
      <c r="B167" s="1"/>
      <c r="C167" s="1"/>
      <c r="D167" s="1"/>
      <c r="E167" s="1"/>
      <c r="F167" s="1"/>
      <c r="G167" s="1"/>
      <c r="H167" s="4"/>
      <c r="I167" s="4"/>
      <c r="J167" s="4"/>
      <c r="K167" s="4"/>
      <c r="L167" s="4"/>
      <c r="M167" s="4"/>
      <c r="N167" s="4"/>
      <c r="O167" s="4"/>
      <c r="P167" s="4"/>
      <c r="Q167" s="4"/>
      <c r="R167" s="4"/>
      <c r="S167" s="4"/>
      <c r="T167" s="4"/>
      <c r="U167" s="4"/>
      <c r="V167" s="4"/>
      <c r="W167" s="4"/>
      <c r="X167" s="4"/>
      <c r="Y167" s="4"/>
      <c r="Z167" s="4"/>
    </row>
    <row r="168" ht="15.75" customHeight="1">
      <c r="A168" s="1"/>
      <c r="B168" s="1"/>
      <c r="C168" s="1"/>
      <c r="D168" s="1"/>
      <c r="E168" s="1"/>
      <c r="F168" s="1"/>
      <c r="G168" s="1"/>
      <c r="H168" s="4"/>
      <c r="I168" s="4"/>
      <c r="J168" s="4"/>
      <c r="K168" s="4"/>
      <c r="L168" s="4"/>
      <c r="M168" s="4"/>
      <c r="N168" s="4"/>
      <c r="O168" s="4"/>
      <c r="P168" s="4"/>
      <c r="Q168" s="4"/>
      <c r="R168" s="4"/>
      <c r="S168" s="4"/>
      <c r="T168" s="4"/>
      <c r="U168" s="4"/>
      <c r="V168" s="4"/>
      <c r="W168" s="4"/>
      <c r="X168" s="4"/>
      <c r="Y168" s="4"/>
      <c r="Z168" s="4"/>
    </row>
    <row r="169" ht="15.75" customHeight="1">
      <c r="A169" s="1"/>
      <c r="B169" s="1"/>
      <c r="C169" s="1"/>
      <c r="D169" s="1"/>
      <c r="E169" s="1"/>
      <c r="F169" s="1"/>
      <c r="G169" s="1"/>
      <c r="H169" s="4"/>
      <c r="I169" s="4"/>
      <c r="J169" s="4"/>
      <c r="K169" s="4"/>
      <c r="L169" s="4"/>
      <c r="M169" s="4"/>
      <c r="N169" s="4"/>
      <c r="O169" s="4"/>
      <c r="P169" s="4"/>
      <c r="Q169" s="4"/>
      <c r="R169" s="4"/>
      <c r="S169" s="4"/>
      <c r="T169" s="4"/>
      <c r="U169" s="4"/>
      <c r="V169" s="4"/>
      <c r="W169" s="4"/>
      <c r="X169" s="4"/>
      <c r="Y169" s="4"/>
      <c r="Z169" s="4"/>
    </row>
    <row r="170" ht="15.75" customHeight="1">
      <c r="A170" s="1"/>
      <c r="B170" s="1"/>
      <c r="C170" s="1"/>
      <c r="D170" s="1"/>
      <c r="E170" s="1"/>
      <c r="F170" s="1"/>
      <c r="G170" s="1"/>
      <c r="H170" s="4"/>
      <c r="I170" s="4"/>
      <c r="J170" s="4"/>
      <c r="K170" s="4"/>
      <c r="L170" s="4"/>
      <c r="M170" s="4"/>
      <c r="N170" s="4"/>
      <c r="O170" s="4"/>
      <c r="P170" s="4"/>
      <c r="Q170" s="4"/>
      <c r="R170" s="4"/>
      <c r="S170" s="4"/>
      <c r="T170" s="4"/>
      <c r="U170" s="4"/>
      <c r="V170" s="4"/>
      <c r="W170" s="4"/>
      <c r="X170" s="4"/>
      <c r="Y170" s="4"/>
      <c r="Z170" s="4"/>
    </row>
    <row r="171" ht="15.75" customHeight="1">
      <c r="A171" s="1"/>
      <c r="B171" s="1"/>
      <c r="C171" s="1"/>
      <c r="D171" s="1"/>
      <c r="E171" s="1"/>
      <c r="F171" s="1"/>
      <c r="G171" s="1"/>
      <c r="H171" s="4"/>
      <c r="I171" s="4"/>
      <c r="J171" s="4"/>
      <c r="K171" s="4"/>
      <c r="L171" s="4"/>
      <c r="M171" s="4"/>
      <c r="N171" s="4"/>
      <c r="O171" s="4"/>
      <c r="P171" s="4"/>
      <c r="Q171" s="4"/>
      <c r="R171" s="4"/>
      <c r="S171" s="4"/>
      <c r="T171" s="4"/>
      <c r="U171" s="4"/>
      <c r="V171" s="4"/>
      <c r="W171" s="4"/>
      <c r="X171" s="4"/>
      <c r="Y171" s="4"/>
      <c r="Z171" s="4"/>
    </row>
    <row r="172" ht="15.75" customHeight="1">
      <c r="A172" s="1"/>
      <c r="B172" s="1"/>
      <c r="C172" s="1"/>
      <c r="D172" s="1"/>
      <c r="E172" s="1"/>
      <c r="F172" s="1"/>
      <c r="G172" s="1"/>
      <c r="H172" s="4"/>
      <c r="I172" s="4"/>
      <c r="J172" s="4"/>
      <c r="K172" s="4"/>
      <c r="L172" s="4"/>
      <c r="M172" s="4"/>
      <c r="N172" s="4"/>
      <c r="O172" s="4"/>
      <c r="P172" s="4"/>
      <c r="Q172" s="4"/>
      <c r="R172" s="4"/>
      <c r="S172" s="4"/>
      <c r="T172" s="4"/>
      <c r="U172" s="4"/>
      <c r="V172" s="4"/>
      <c r="W172" s="4"/>
      <c r="X172" s="4"/>
      <c r="Y172" s="4"/>
      <c r="Z172" s="4"/>
    </row>
    <row r="173" ht="15.75" customHeight="1">
      <c r="A173" s="1"/>
      <c r="B173" s="1"/>
      <c r="C173" s="1"/>
      <c r="D173" s="1"/>
      <c r="E173" s="1"/>
      <c r="F173" s="1"/>
      <c r="G173" s="1"/>
      <c r="H173" s="4"/>
      <c r="I173" s="4"/>
      <c r="J173" s="4"/>
      <c r="K173" s="4"/>
      <c r="L173" s="4"/>
      <c r="M173" s="4"/>
      <c r="N173" s="4"/>
      <c r="O173" s="4"/>
      <c r="P173" s="4"/>
      <c r="Q173" s="4"/>
      <c r="R173" s="4"/>
      <c r="S173" s="4"/>
      <c r="T173" s="4"/>
      <c r="U173" s="4"/>
      <c r="V173" s="4"/>
      <c r="W173" s="4"/>
      <c r="X173" s="4"/>
      <c r="Y173" s="4"/>
      <c r="Z173" s="4"/>
    </row>
    <row r="174" ht="15.75" customHeight="1">
      <c r="A174" s="1"/>
      <c r="B174" s="1"/>
      <c r="C174" s="1"/>
      <c r="D174" s="1"/>
      <c r="E174" s="1"/>
      <c r="F174" s="1"/>
      <c r="G174" s="1"/>
      <c r="H174" s="4"/>
      <c r="I174" s="4"/>
      <c r="J174" s="4"/>
      <c r="K174" s="4"/>
      <c r="L174" s="4"/>
      <c r="M174" s="4"/>
      <c r="N174" s="4"/>
      <c r="O174" s="4"/>
      <c r="P174" s="4"/>
      <c r="Q174" s="4"/>
      <c r="R174" s="4"/>
      <c r="S174" s="4"/>
      <c r="T174" s="4"/>
      <c r="U174" s="4"/>
      <c r="V174" s="4"/>
      <c r="W174" s="4"/>
      <c r="X174" s="4"/>
      <c r="Y174" s="4"/>
      <c r="Z174" s="4"/>
    </row>
    <row r="175" ht="15.75" customHeight="1">
      <c r="A175" s="1"/>
      <c r="B175" s="1"/>
      <c r="C175" s="1"/>
      <c r="D175" s="1"/>
      <c r="E175" s="1"/>
      <c r="F175" s="1"/>
      <c r="G175" s="1"/>
      <c r="H175" s="4"/>
      <c r="I175" s="4"/>
      <c r="J175" s="4"/>
      <c r="K175" s="4"/>
      <c r="L175" s="4"/>
      <c r="M175" s="4"/>
      <c r="N175" s="4"/>
      <c r="O175" s="4"/>
      <c r="P175" s="4"/>
      <c r="Q175" s="4"/>
      <c r="R175" s="4"/>
      <c r="S175" s="4"/>
      <c r="T175" s="4"/>
      <c r="U175" s="4"/>
      <c r="V175" s="4"/>
      <c r="W175" s="4"/>
      <c r="X175" s="4"/>
      <c r="Y175" s="4"/>
      <c r="Z175" s="4"/>
    </row>
    <row r="176" ht="15.75" customHeight="1">
      <c r="A176" s="1"/>
      <c r="B176" s="1"/>
      <c r="C176" s="1"/>
      <c r="D176" s="1"/>
      <c r="E176" s="1"/>
      <c r="F176" s="1"/>
      <c r="G176" s="1"/>
      <c r="H176" s="4"/>
      <c r="I176" s="4"/>
      <c r="J176" s="4"/>
      <c r="K176" s="4"/>
      <c r="L176" s="4"/>
      <c r="M176" s="4"/>
      <c r="N176" s="4"/>
      <c r="O176" s="4"/>
      <c r="P176" s="4"/>
      <c r="Q176" s="4"/>
      <c r="R176" s="4"/>
      <c r="S176" s="4"/>
      <c r="T176" s="4"/>
      <c r="U176" s="4"/>
      <c r="V176" s="4"/>
      <c r="W176" s="4"/>
      <c r="X176" s="4"/>
      <c r="Y176" s="4"/>
      <c r="Z176" s="4"/>
    </row>
    <row r="177" ht="15.75" customHeight="1">
      <c r="A177" s="1"/>
      <c r="B177" s="1"/>
      <c r="C177" s="1"/>
      <c r="D177" s="1"/>
      <c r="E177" s="1"/>
      <c r="F177" s="1"/>
      <c r="G177" s="1"/>
      <c r="H177" s="4"/>
      <c r="I177" s="4"/>
      <c r="J177" s="4"/>
      <c r="K177" s="4"/>
      <c r="L177" s="4"/>
      <c r="M177" s="4"/>
      <c r="N177" s="4"/>
      <c r="O177" s="4"/>
      <c r="P177" s="4"/>
      <c r="Q177" s="4"/>
      <c r="R177" s="4"/>
      <c r="S177" s="4"/>
      <c r="T177" s="4"/>
      <c r="U177" s="4"/>
      <c r="V177" s="4"/>
      <c r="W177" s="4"/>
      <c r="X177" s="4"/>
      <c r="Y177" s="4"/>
      <c r="Z177" s="4"/>
    </row>
    <row r="178" ht="15.75" customHeight="1">
      <c r="A178" s="1"/>
      <c r="B178" s="1"/>
      <c r="C178" s="1"/>
      <c r="D178" s="1"/>
      <c r="E178" s="1"/>
      <c r="F178" s="1"/>
      <c r="G178" s="1"/>
      <c r="H178" s="4"/>
      <c r="I178" s="4"/>
      <c r="J178" s="4"/>
      <c r="K178" s="4"/>
      <c r="L178" s="4"/>
      <c r="M178" s="4"/>
      <c r="N178" s="4"/>
      <c r="O178" s="4"/>
      <c r="P178" s="4"/>
      <c r="Q178" s="4"/>
      <c r="R178" s="4"/>
      <c r="S178" s="4"/>
      <c r="T178" s="4"/>
      <c r="U178" s="4"/>
      <c r="V178" s="4"/>
      <c r="W178" s="4"/>
      <c r="X178" s="4"/>
      <c r="Y178" s="4"/>
      <c r="Z178" s="4"/>
    </row>
    <row r="179" ht="15.75" customHeight="1">
      <c r="A179" s="1"/>
      <c r="B179" s="1"/>
      <c r="C179" s="1"/>
      <c r="D179" s="1"/>
      <c r="E179" s="1"/>
      <c r="F179" s="1"/>
      <c r="G179" s="1"/>
      <c r="H179" s="4"/>
      <c r="I179" s="4"/>
      <c r="J179" s="4"/>
      <c r="K179" s="4"/>
      <c r="L179" s="4"/>
      <c r="M179" s="4"/>
      <c r="N179" s="4"/>
      <c r="O179" s="4"/>
      <c r="P179" s="4"/>
      <c r="Q179" s="4"/>
      <c r="R179" s="4"/>
      <c r="S179" s="4"/>
      <c r="T179" s="4"/>
      <c r="U179" s="4"/>
      <c r="V179" s="4"/>
      <c r="W179" s="4"/>
      <c r="X179" s="4"/>
      <c r="Y179" s="4"/>
      <c r="Z179" s="4"/>
    </row>
    <row r="180" ht="15.75" customHeight="1">
      <c r="A180" s="1"/>
      <c r="B180" s="1"/>
      <c r="C180" s="1"/>
      <c r="D180" s="1"/>
      <c r="E180" s="1"/>
      <c r="F180" s="1"/>
      <c r="G180" s="1"/>
      <c r="H180" s="4"/>
      <c r="I180" s="4"/>
      <c r="J180" s="4"/>
      <c r="K180" s="4"/>
      <c r="L180" s="4"/>
      <c r="M180" s="4"/>
      <c r="N180" s="4"/>
      <c r="O180" s="4"/>
      <c r="P180" s="4"/>
      <c r="Q180" s="4"/>
      <c r="R180" s="4"/>
      <c r="S180" s="4"/>
      <c r="T180" s="4"/>
      <c r="U180" s="4"/>
      <c r="V180" s="4"/>
      <c r="W180" s="4"/>
      <c r="X180" s="4"/>
      <c r="Y180" s="4"/>
      <c r="Z180" s="4"/>
    </row>
    <row r="181" ht="15.75" customHeight="1">
      <c r="A181" s="1"/>
      <c r="B181" s="1"/>
      <c r="C181" s="1"/>
      <c r="D181" s="1"/>
      <c r="E181" s="1"/>
      <c r="F181" s="1"/>
      <c r="G181" s="1"/>
      <c r="H181" s="4"/>
      <c r="I181" s="4"/>
      <c r="J181" s="4"/>
      <c r="K181" s="4"/>
      <c r="L181" s="4"/>
      <c r="M181" s="4"/>
      <c r="N181" s="4"/>
      <c r="O181" s="4"/>
      <c r="P181" s="4"/>
      <c r="Q181" s="4"/>
      <c r="R181" s="4"/>
      <c r="S181" s="4"/>
      <c r="T181" s="4"/>
      <c r="U181" s="4"/>
      <c r="V181" s="4"/>
      <c r="W181" s="4"/>
      <c r="X181" s="4"/>
      <c r="Y181" s="4"/>
      <c r="Z181" s="4"/>
    </row>
    <row r="182" ht="15.75" customHeight="1">
      <c r="A182" s="1"/>
      <c r="B182" s="1"/>
      <c r="C182" s="1"/>
      <c r="D182" s="1"/>
      <c r="E182" s="1"/>
      <c r="F182" s="1"/>
      <c r="G182" s="1"/>
      <c r="H182" s="4"/>
      <c r="I182" s="4"/>
      <c r="J182" s="4"/>
      <c r="K182" s="4"/>
      <c r="L182" s="4"/>
      <c r="M182" s="4"/>
      <c r="N182" s="4"/>
      <c r="O182" s="4"/>
      <c r="P182" s="4"/>
      <c r="Q182" s="4"/>
      <c r="R182" s="4"/>
      <c r="S182" s="4"/>
      <c r="T182" s="4"/>
      <c r="U182" s="4"/>
      <c r="V182" s="4"/>
      <c r="W182" s="4"/>
      <c r="X182" s="4"/>
      <c r="Y182" s="4"/>
      <c r="Z182" s="4"/>
    </row>
    <row r="183" ht="15.75" customHeight="1">
      <c r="A183" s="1"/>
      <c r="B183" s="1"/>
      <c r="C183" s="1"/>
      <c r="D183" s="1"/>
      <c r="E183" s="1"/>
      <c r="F183" s="1"/>
      <c r="G183" s="1"/>
      <c r="H183" s="4"/>
      <c r="I183" s="4"/>
      <c r="J183" s="4"/>
      <c r="K183" s="4"/>
      <c r="L183" s="4"/>
      <c r="M183" s="4"/>
      <c r="N183" s="4"/>
      <c r="O183" s="4"/>
      <c r="P183" s="4"/>
      <c r="Q183" s="4"/>
      <c r="R183" s="4"/>
      <c r="S183" s="4"/>
      <c r="T183" s="4"/>
      <c r="U183" s="4"/>
      <c r="V183" s="4"/>
      <c r="W183" s="4"/>
      <c r="X183" s="4"/>
      <c r="Y183" s="4"/>
      <c r="Z183" s="4"/>
    </row>
    <row r="184" ht="15.75" customHeight="1">
      <c r="A184" s="1"/>
      <c r="B184" s="1"/>
      <c r="C184" s="1"/>
      <c r="D184" s="1"/>
      <c r="E184" s="1"/>
      <c r="F184" s="1"/>
      <c r="G184" s="1"/>
      <c r="H184" s="4"/>
      <c r="I184" s="4"/>
      <c r="J184" s="4"/>
      <c r="K184" s="4"/>
      <c r="L184" s="4"/>
      <c r="M184" s="4"/>
      <c r="N184" s="4"/>
      <c r="O184" s="4"/>
      <c r="P184" s="4"/>
      <c r="Q184" s="4"/>
      <c r="R184" s="4"/>
      <c r="S184" s="4"/>
      <c r="T184" s="4"/>
      <c r="U184" s="4"/>
      <c r="V184" s="4"/>
      <c r="W184" s="4"/>
      <c r="X184" s="4"/>
      <c r="Y184" s="4"/>
      <c r="Z184" s="4"/>
    </row>
    <row r="185" ht="15.75" customHeight="1">
      <c r="A185" s="1"/>
      <c r="B185" s="1"/>
      <c r="C185" s="1"/>
      <c r="D185" s="1"/>
      <c r="E185" s="1"/>
      <c r="F185" s="1"/>
      <c r="G185" s="1"/>
      <c r="H185" s="4"/>
      <c r="I185" s="4"/>
      <c r="J185" s="4"/>
      <c r="K185" s="4"/>
      <c r="L185" s="4"/>
      <c r="M185" s="4"/>
      <c r="N185" s="4"/>
      <c r="O185" s="4"/>
      <c r="P185" s="4"/>
      <c r="Q185" s="4"/>
      <c r="R185" s="4"/>
      <c r="S185" s="4"/>
      <c r="T185" s="4"/>
      <c r="U185" s="4"/>
      <c r="V185" s="4"/>
      <c r="W185" s="4"/>
      <c r="X185" s="4"/>
      <c r="Y185" s="4"/>
      <c r="Z185" s="4"/>
    </row>
    <row r="186" ht="15.75" customHeight="1">
      <c r="A186" s="1"/>
      <c r="B186" s="1"/>
      <c r="C186" s="1"/>
      <c r="D186" s="1"/>
      <c r="E186" s="1"/>
      <c r="F186" s="1"/>
      <c r="G186" s="1"/>
      <c r="H186" s="4"/>
      <c r="I186" s="4"/>
      <c r="J186" s="4"/>
      <c r="K186" s="4"/>
      <c r="L186" s="4"/>
      <c r="M186" s="4"/>
      <c r="N186" s="4"/>
      <c r="O186" s="4"/>
      <c r="P186" s="4"/>
      <c r="Q186" s="4"/>
      <c r="R186" s="4"/>
      <c r="S186" s="4"/>
      <c r="T186" s="4"/>
      <c r="U186" s="4"/>
      <c r="V186" s="4"/>
      <c r="W186" s="4"/>
      <c r="X186" s="4"/>
      <c r="Y186" s="4"/>
      <c r="Z186" s="4"/>
    </row>
    <row r="187" ht="15.75" customHeight="1">
      <c r="A187" s="1"/>
      <c r="B187" s="1"/>
      <c r="C187" s="1"/>
      <c r="D187" s="1"/>
      <c r="E187" s="1"/>
      <c r="F187" s="1"/>
      <c r="G187" s="1"/>
      <c r="H187" s="4"/>
      <c r="I187" s="4"/>
      <c r="J187" s="4"/>
      <c r="K187" s="4"/>
      <c r="L187" s="4"/>
      <c r="M187" s="4"/>
      <c r="N187" s="4"/>
      <c r="O187" s="4"/>
      <c r="P187" s="4"/>
      <c r="Q187" s="4"/>
      <c r="R187" s="4"/>
      <c r="S187" s="4"/>
      <c r="T187" s="4"/>
      <c r="U187" s="4"/>
      <c r="V187" s="4"/>
      <c r="W187" s="4"/>
      <c r="X187" s="4"/>
      <c r="Y187" s="4"/>
      <c r="Z187" s="4"/>
    </row>
    <row r="188" ht="15.75" customHeight="1">
      <c r="A188" s="1"/>
      <c r="B188" s="1"/>
      <c r="C188" s="1"/>
      <c r="D188" s="1"/>
      <c r="E188" s="1"/>
      <c r="F188" s="1"/>
      <c r="G188" s="1"/>
      <c r="H188" s="4"/>
      <c r="I188" s="4"/>
      <c r="J188" s="4"/>
      <c r="K188" s="4"/>
      <c r="L188" s="4"/>
      <c r="M188" s="4"/>
      <c r="N188" s="4"/>
      <c r="O188" s="4"/>
      <c r="P188" s="4"/>
      <c r="Q188" s="4"/>
      <c r="R188" s="4"/>
      <c r="S188" s="4"/>
      <c r="T188" s="4"/>
      <c r="U188" s="4"/>
      <c r="V188" s="4"/>
      <c r="W188" s="4"/>
      <c r="X188" s="4"/>
      <c r="Y188" s="4"/>
      <c r="Z188" s="4"/>
    </row>
    <row r="189" ht="15.75" customHeight="1">
      <c r="A189" s="1"/>
      <c r="B189" s="1"/>
      <c r="C189" s="1"/>
      <c r="D189" s="1"/>
      <c r="E189" s="1"/>
      <c r="F189" s="1"/>
      <c r="G189" s="1"/>
      <c r="H189" s="4"/>
      <c r="I189" s="4"/>
      <c r="J189" s="4"/>
      <c r="K189" s="4"/>
      <c r="L189" s="4"/>
      <c r="M189" s="4"/>
      <c r="N189" s="4"/>
      <c r="O189" s="4"/>
      <c r="P189" s="4"/>
      <c r="Q189" s="4"/>
      <c r="R189" s="4"/>
      <c r="S189" s="4"/>
      <c r="T189" s="4"/>
      <c r="U189" s="4"/>
      <c r="V189" s="4"/>
      <c r="W189" s="4"/>
      <c r="X189" s="4"/>
      <c r="Y189" s="4"/>
      <c r="Z189" s="4"/>
    </row>
    <row r="190" ht="15.75" customHeight="1">
      <c r="A190" s="1"/>
      <c r="B190" s="1"/>
      <c r="C190" s="1"/>
      <c r="D190" s="1"/>
      <c r="E190" s="1"/>
      <c r="F190" s="1"/>
      <c r="G190" s="1"/>
      <c r="H190" s="4"/>
      <c r="I190" s="4"/>
      <c r="J190" s="4"/>
      <c r="K190" s="4"/>
      <c r="L190" s="4"/>
      <c r="M190" s="4"/>
      <c r="N190" s="4"/>
      <c r="O190" s="4"/>
      <c r="P190" s="4"/>
      <c r="Q190" s="4"/>
      <c r="R190" s="4"/>
      <c r="S190" s="4"/>
      <c r="T190" s="4"/>
      <c r="U190" s="4"/>
      <c r="V190" s="4"/>
      <c r="W190" s="4"/>
      <c r="X190" s="4"/>
      <c r="Y190" s="4"/>
      <c r="Z190" s="4"/>
    </row>
    <row r="191" ht="15.75" customHeight="1">
      <c r="A191" s="1"/>
      <c r="B191" s="1"/>
      <c r="C191" s="1"/>
      <c r="D191" s="1"/>
      <c r="E191" s="1"/>
      <c r="F191" s="1"/>
      <c r="G191" s="1"/>
      <c r="H191" s="4"/>
      <c r="I191" s="4"/>
      <c r="J191" s="4"/>
      <c r="K191" s="4"/>
      <c r="L191" s="4"/>
      <c r="M191" s="4"/>
      <c r="N191" s="4"/>
      <c r="O191" s="4"/>
      <c r="P191" s="4"/>
      <c r="Q191" s="4"/>
      <c r="R191" s="4"/>
      <c r="S191" s="4"/>
      <c r="T191" s="4"/>
      <c r="U191" s="4"/>
      <c r="V191" s="4"/>
      <c r="W191" s="4"/>
      <c r="X191" s="4"/>
      <c r="Y191" s="4"/>
      <c r="Z191" s="4"/>
    </row>
    <row r="192" ht="15.75" customHeight="1">
      <c r="A192" s="1"/>
      <c r="B192" s="1"/>
      <c r="C192" s="1"/>
      <c r="D192" s="1"/>
      <c r="E192" s="1"/>
      <c r="F192" s="1"/>
      <c r="G192" s="1"/>
      <c r="H192" s="4"/>
      <c r="I192" s="4"/>
      <c r="J192" s="4"/>
      <c r="K192" s="4"/>
      <c r="L192" s="4"/>
      <c r="M192" s="4"/>
      <c r="N192" s="4"/>
      <c r="O192" s="4"/>
      <c r="P192" s="4"/>
      <c r="Q192" s="4"/>
      <c r="R192" s="4"/>
      <c r="S192" s="4"/>
      <c r="T192" s="4"/>
      <c r="U192" s="4"/>
      <c r="V192" s="4"/>
      <c r="W192" s="4"/>
      <c r="X192" s="4"/>
      <c r="Y192" s="4"/>
      <c r="Z192" s="4"/>
    </row>
    <row r="193" ht="15.75" customHeight="1">
      <c r="A193" s="1"/>
      <c r="B193" s="1"/>
      <c r="C193" s="1"/>
      <c r="D193" s="1"/>
      <c r="E193" s="1"/>
      <c r="F193" s="1"/>
      <c r="G193" s="1"/>
      <c r="H193" s="4"/>
      <c r="I193" s="4"/>
      <c r="J193" s="4"/>
      <c r="K193" s="4"/>
      <c r="L193" s="4"/>
      <c r="M193" s="4"/>
      <c r="N193" s="4"/>
      <c r="O193" s="4"/>
      <c r="P193" s="4"/>
      <c r="Q193" s="4"/>
      <c r="R193" s="4"/>
      <c r="S193" s="4"/>
      <c r="T193" s="4"/>
      <c r="U193" s="4"/>
      <c r="V193" s="4"/>
      <c r="W193" s="4"/>
      <c r="X193" s="4"/>
      <c r="Y193" s="4"/>
      <c r="Z193" s="4"/>
    </row>
    <row r="194" ht="15.75" customHeight="1">
      <c r="A194" s="1"/>
      <c r="B194" s="1"/>
      <c r="C194" s="1"/>
      <c r="D194" s="1"/>
      <c r="E194" s="1"/>
      <c r="F194" s="1"/>
      <c r="G194" s="1"/>
      <c r="H194" s="4"/>
      <c r="I194" s="4"/>
      <c r="J194" s="4"/>
      <c r="K194" s="4"/>
      <c r="L194" s="4"/>
      <c r="M194" s="4"/>
      <c r="N194" s="4"/>
      <c r="O194" s="4"/>
      <c r="P194" s="4"/>
      <c r="Q194" s="4"/>
      <c r="R194" s="4"/>
      <c r="S194" s="4"/>
      <c r="T194" s="4"/>
      <c r="U194" s="4"/>
      <c r="V194" s="4"/>
      <c r="W194" s="4"/>
      <c r="X194" s="4"/>
      <c r="Y194" s="4"/>
      <c r="Z194" s="4"/>
    </row>
    <row r="195" ht="15.75" customHeight="1">
      <c r="A195" s="1"/>
      <c r="B195" s="1"/>
      <c r="C195" s="1"/>
      <c r="D195" s="1"/>
      <c r="E195" s="1"/>
      <c r="F195" s="1"/>
      <c r="G195" s="1"/>
      <c r="H195" s="4"/>
      <c r="I195" s="4"/>
      <c r="J195" s="4"/>
      <c r="K195" s="4"/>
      <c r="L195" s="4"/>
      <c r="M195" s="4"/>
      <c r="N195" s="4"/>
      <c r="O195" s="4"/>
      <c r="P195" s="4"/>
      <c r="Q195" s="4"/>
      <c r="R195" s="4"/>
      <c r="S195" s="4"/>
      <c r="T195" s="4"/>
      <c r="U195" s="4"/>
      <c r="V195" s="4"/>
      <c r="W195" s="4"/>
      <c r="X195" s="4"/>
      <c r="Y195" s="4"/>
      <c r="Z195" s="4"/>
    </row>
    <row r="196" ht="15.75" customHeight="1">
      <c r="A196" s="1"/>
      <c r="B196" s="1"/>
      <c r="C196" s="1"/>
      <c r="D196" s="1"/>
      <c r="E196" s="1"/>
      <c r="F196" s="1"/>
      <c r="G196" s="1"/>
      <c r="H196" s="4"/>
      <c r="I196" s="4"/>
      <c r="J196" s="4"/>
      <c r="K196" s="4"/>
      <c r="L196" s="4"/>
      <c r="M196" s="4"/>
      <c r="N196" s="4"/>
      <c r="O196" s="4"/>
      <c r="P196" s="4"/>
      <c r="Q196" s="4"/>
      <c r="R196" s="4"/>
      <c r="S196" s="4"/>
      <c r="T196" s="4"/>
      <c r="U196" s="4"/>
      <c r="V196" s="4"/>
      <c r="W196" s="4"/>
      <c r="X196" s="4"/>
      <c r="Y196" s="4"/>
      <c r="Z196" s="4"/>
    </row>
    <row r="197" ht="15.75" customHeight="1">
      <c r="A197" s="1"/>
      <c r="B197" s="1"/>
      <c r="C197" s="1"/>
      <c r="D197" s="1"/>
      <c r="E197" s="1"/>
      <c r="F197" s="1"/>
      <c r="G197" s="1"/>
      <c r="H197" s="4"/>
      <c r="I197" s="4"/>
      <c r="J197" s="4"/>
      <c r="K197" s="4"/>
      <c r="L197" s="4"/>
      <c r="M197" s="4"/>
      <c r="N197" s="4"/>
      <c r="O197" s="4"/>
      <c r="P197" s="4"/>
      <c r="Q197" s="4"/>
      <c r="R197" s="4"/>
      <c r="S197" s="4"/>
      <c r="T197" s="4"/>
      <c r="U197" s="4"/>
      <c r="V197" s="4"/>
      <c r="W197" s="4"/>
      <c r="X197" s="4"/>
      <c r="Y197" s="4"/>
      <c r="Z197" s="4"/>
    </row>
    <row r="198" ht="15.75" customHeight="1">
      <c r="A198" s="1"/>
      <c r="B198" s="1"/>
      <c r="C198" s="1"/>
      <c r="D198" s="1"/>
      <c r="E198" s="1"/>
      <c r="F198" s="1"/>
      <c r="G198" s="1"/>
      <c r="H198" s="4"/>
      <c r="I198" s="4"/>
      <c r="J198" s="4"/>
      <c r="K198" s="4"/>
      <c r="L198" s="4"/>
      <c r="M198" s="4"/>
      <c r="N198" s="4"/>
      <c r="O198" s="4"/>
      <c r="P198" s="4"/>
      <c r="Q198" s="4"/>
      <c r="R198" s="4"/>
      <c r="S198" s="4"/>
      <c r="T198" s="4"/>
      <c r="U198" s="4"/>
      <c r="V198" s="4"/>
      <c r="W198" s="4"/>
      <c r="X198" s="4"/>
      <c r="Y198" s="4"/>
      <c r="Z198" s="4"/>
    </row>
    <row r="199" ht="15.75" customHeight="1">
      <c r="A199" s="1"/>
      <c r="B199" s="1"/>
      <c r="C199" s="1"/>
      <c r="D199" s="1"/>
      <c r="E199" s="1"/>
      <c r="F199" s="1"/>
      <c r="G199" s="1"/>
      <c r="H199" s="4"/>
      <c r="I199" s="4"/>
      <c r="J199" s="4"/>
      <c r="K199" s="4"/>
      <c r="L199" s="4"/>
      <c r="M199" s="4"/>
      <c r="N199" s="4"/>
      <c r="O199" s="4"/>
      <c r="P199" s="4"/>
      <c r="Q199" s="4"/>
      <c r="R199" s="4"/>
      <c r="S199" s="4"/>
      <c r="T199" s="4"/>
      <c r="U199" s="4"/>
      <c r="V199" s="4"/>
      <c r="W199" s="4"/>
      <c r="X199" s="4"/>
      <c r="Y199" s="4"/>
      <c r="Z199" s="4"/>
    </row>
    <row r="200" ht="15.75" customHeight="1">
      <c r="A200" s="1"/>
      <c r="B200" s="1"/>
      <c r="C200" s="1"/>
      <c r="D200" s="1"/>
      <c r="E200" s="1"/>
      <c r="F200" s="1"/>
      <c r="G200" s="1"/>
      <c r="H200" s="4"/>
      <c r="I200" s="4"/>
      <c r="J200" s="4"/>
      <c r="K200" s="4"/>
      <c r="L200" s="4"/>
      <c r="M200" s="4"/>
      <c r="N200" s="4"/>
      <c r="O200" s="4"/>
      <c r="P200" s="4"/>
      <c r="Q200" s="4"/>
      <c r="R200" s="4"/>
      <c r="S200" s="4"/>
      <c r="T200" s="4"/>
      <c r="U200" s="4"/>
      <c r="V200" s="4"/>
      <c r="W200" s="4"/>
      <c r="X200" s="4"/>
      <c r="Y200" s="4"/>
      <c r="Z200" s="4"/>
    </row>
    <row r="201" ht="15.75" customHeight="1">
      <c r="A201" s="1"/>
      <c r="B201" s="1"/>
      <c r="C201" s="1"/>
      <c r="D201" s="1"/>
      <c r="E201" s="1"/>
      <c r="F201" s="1"/>
      <c r="G201" s="1"/>
      <c r="H201" s="4"/>
      <c r="I201" s="4"/>
      <c r="J201" s="4"/>
      <c r="K201" s="4"/>
      <c r="L201" s="4"/>
      <c r="M201" s="4"/>
      <c r="N201" s="4"/>
      <c r="O201" s="4"/>
      <c r="P201" s="4"/>
      <c r="Q201" s="4"/>
      <c r="R201" s="4"/>
      <c r="S201" s="4"/>
      <c r="T201" s="4"/>
      <c r="U201" s="4"/>
      <c r="V201" s="4"/>
      <c r="W201" s="4"/>
      <c r="X201" s="4"/>
      <c r="Y201" s="4"/>
      <c r="Z201" s="4"/>
    </row>
    <row r="202" ht="15.75" customHeight="1">
      <c r="A202" s="1"/>
      <c r="B202" s="1"/>
      <c r="C202" s="1"/>
      <c r="D202" s="1"/>
      <c r="E202" s="1"/>
      <c r="F202" s="1"/>
      <c r="G202" s="1"/>
      <c r="H202" s="4"/>
      <c r="I202" s="4"/>
      <c r="J202" s="4"/>
      <c r="K202" s="4"/>
      <c r="L202" s="4"/>
      <c r="M202" s="4"/>
      <c r="N202" s="4"/>
      <c r="O202" s="4"/>
      <c r="P202" s="4"/>
      <c r="Q202" s="4"/>
      <c r="R202" s="4"/>
      <c r="S202" s="4"/>
      <c r="T202" s="4"/>
      <c r="U202" s="4"/>
      <c r="V202" s="4"/>
      <c r="W202" s="4"/>
      <c r="X202" s="4"/>
      <c r="Y202" s="4"/>
      <c r="Z202" s="4"/>
    </row>
    <row r="203" ht="15.75" customHeight="1">
      <c r="A203" s="1"/>
      <c r="B203" s="1"/>
      <c r="C203" s="1"/>
      <c r="D203" s="1"/>
      <c r="E203" s="1"/>
      <c r="F203" s="1"/>
      <c r="G203" s="1"/>
      <c r="H203" s="4"/>
      <c r="I203" s="4"/>
      <c r="J203" s="4"/>
      <c r="K203" s="4"/>
      <c r="L203" s="4"/>
      <c r="M203" s="4"/>
      <c r="N203" s="4"/>
      <c r="O203" s="4"/>
      <c r="P203" s="4"/>
      <c r="Q203" s="4"/>
      <c r="R203" s="4"/>
      <c r="S203" s="4"/>
      <c r="T203" s="4"/>
      <c r="U203" s="4"/>
      <c r="V203" s="4"/>
      <c r="W203" s="4"/>
      <c r="X203" s="4"/>
      <c r="Y203" s="4"/>
      <c r="Z203" s="4"/>
    </row>
    <row r="204" ht="15.75" customHeight="1">
      <c r="A204" s="1"/>
      <c r="B204" s="1"/>
      <c r="C204" s="1"/>
      <c r="D204" s="1"/>
      <c r="E204" s="1"/>
      <c r="F204" s="1"/>
      <c r="G204" s="1"/>
      <c r="H204" s="4"/>
      <c r="I204" s="4"/>
      <c r="J204" s="4"/>
      <c r="K204" s="4"/>
      <c r="L204" s="4"/>
      <c r="M204" s="4"/>
      <c r="N204" s="4"/>
      <c r="O204" s="4"/>
      <c r="P204" s="4"/>
      <c r="Q204" s="4"/>
      <c r="R204" s="4"/>
      <c r="S204" s="4"/>
      <c r="T204" s="4"/>
      <c r="U204" s="4"/>
      <c r="V204" s="4"/>
      <c r="W204" s="4"/>
      <c r="X204" s="4"/>
      <c r="Y204" s="4"/>
      <c r="Z204" s="4"/>
    </row>
    <row r="205" ht="15.75" customHeight="1">
      <c r="A205" s="1"/>
      <c r="B205" s="1"/>
      <c r="C205" s="1"/>
      <c r="D205" s="1"/>
      <c r="E205" s="1"/>
      <c r="F205" s="1"/>
      <c r="G205" s="1"/>
      <c r="H205" s="4"/>
      <c r="I205" s="4"/>
      <c r="J205" s="4"/>
      <c r="K205" s="4"/>
      <c r="L205" s="4"/>
      <c r="M205" s="4"/>
      <c r="N205" s="4"/>
      <c r="O205" s="4"/>
      <c r="P205" s="4"/>
      <c r="Q205" s="4"/>
      <c r="R205" s="4"/>
      <c r="S205" s="4"/>
      <c r="T205" s="4"/>
      <c r="U205" s="4"/>
      <c r="V205" s="4"/>
      <c r="W205" s="4"/>
      <c r="X205" s="4"/>
      <c r="Y205" s="4"/>
      <c r="Z205" s="4"/>
    </row>
    <row r="206" ht="15.75" customHeight="1">
      <c r="A206" s="1"/>
      <c r="B206" s="1"/>
      <c r="C206" s="1"/>
      <c r="D206" s="1"/>
      <c r="E206" s="1"/>
      <c r="F206" s="1"/>
      <c r="G206" s="1"/>
      <c r="H206" s="4"/>
      <c r="I206" s="4"/>
      <c r="J206" s="4"/>
      <c r="K206" s="4"/>
      <c r="L206" s="4"/>
      <c r="M206" s="4"/>
      <c r="N206" s="4"/>
      <c r="O206" s="4"/>
      <c r="P206" s="4"/>
      <c r="Q206" s="4"/>
      <c r="R206" s="4"/>
      <c r="S206" s="4"/>
      <c r="T206" s="4"/>
      <c r="U206" s="4"/>
      <c r="V206" s="4"/>
      <c r="W206" s="4"/>
      <c r="X206" s="4"/>
      <c r="Y206" s="4"/>
      <c r="Z206" s="4"/>
    </row>
    <row r="207" ht="15.75" customHeight="1">
      <c r="A207" s="1"/>
      <c r="B207" s="1"/>
      <c r="C207" s="1"/>
      <c r="D207" s="1"/>
      <c r="E207" s="1"/>
      <c r="F207" s="1"/>
      <c r="G207" s="1"/>
      <c r="H207" s="4"/>
      <c r="I207" s="4"/>
      <c r="J207" s="4"/>
      <c r="K207" s="4"/>
      <c r="L207" s="4"/>
      <c r="M207" s="4"/>
      <c r="N207" s="4"/>
      <c r="O207" s="4"/>
      <c r="P207" s="4"/>
      <c r="Q207" s="4"/>
      <c r="R207" s="4"/>
      <c r="S207" s="4"/>
      <c r="T207" s="4"/>
      <c r="U207" s="4"/>
      <c r="V207" s="4"/>
      <c r="W207" s="4"/>
      <c r="X207" s="4"/>
      <c r="Y207" s="4"/>
      <c r="Z207" s="4"/>
    </row>
    <row r="208" ht="15.75" customHeight="1">
      <c r="A208" s="1"/>
      <c r="B208" s="1"/>
      <c r="C208" s="1"/>
      <c r="D208" s="1"/>
      <c r="E208" s="1"/>
      <c r="F208" s="1"/>
      <c r="G208" s="1"/>
      <c r="H208" s="4"/>
      <c r="I208" s="4"/>
      <c r="J208" s="4"/>
      <c r="K208" s="4"/>
      <c r="L208" s="4"/>
      <c r="M208" s="4"/>
      <c r="N208" s="4"/>
      <c r="O208" s="4"/>
      <c r="P208" s="4"/>
      <c r="Q208" s="4"/>
      <c r="R208" s="4"/>
      <c r="S208" s="4"/>
      <c r="T208" s="4"/>
      <c r="U208" s="4"/>
      <c r="V208" s="4"/>
      <c r="W208" s="4"/>
      <c r="X208" s="4"/>
      <c r="Y208" s="4"/>
      <c r="Z208" s="4"/>
    </row>
    <row r="209" ht="15.75" customHeight="1">
      <c r="A209" s="1"/>
      <c r="B209" s="1"/>
      <c r="C209" s="1"/>
      <c r="D209" s="1"/>
      <c r="E209" s="1"/>
      <c r="F209" s="1"/>
      <c r="G209" s="1"/>
      <c r="H209" s="4"/>
      <c r="I209" s="4"/>
      <c r="J209" s="4"/>
      <c r="K209" s="4"/>
      <c r="L209" s="4"/>
      <c r="M209" s="4"/>
      <c r="N209" s="4"/>
      <c r="O209" s="4"/>
      <c r="P209" s="4"/>
      <c r="Q209" s="4"/>
      <c r="R209" s="4"/>
      <c r="S209" s="4"/>
      <c r="T209" s="4"/>
      <c r="U209" s="4"/>
      <c r="V209" s="4"/>
      <c r="W209" s="4"/>
      <c r="X209" s="4"/>
      <c r="Y209" s="4"/>
      <c r="Z209" s="4"/>
    </row>
    <row r="210" ht="15.75" customHeight="1">
      <c r="A210" s="1"/>
      <c r="B210" s="1"/>
      <c r="C210" s="1"/>
      <c r="D210" s="1"/>
      <c r="E210" s="1"/>
      <c r="F210" s="1"/>
      <c r="G210" s="1"/>
      <c r="H210" s="4"/>
      <c r="I210" s="4"/>
      <c r="J210" s="4"/>
      <c r="K210" s="4"/>
      <c r="L210" s="4"/>
      <c r="M210" s="4"/>
      <c r="N210" s="4"/>
      <c r="O210" s="4"/>
      <c r="P210" s="4"/>
      <c r="Q210" s="4"/>
      <c r="R210" s="4"/>
      <c r="S210" s="4"/>
      <c r="T210" s="4"/>
      <c r="U210" s="4"/>
      <c r="V210" s="4"/>
      <c r="W210" s="4"/>
      <c r="X210" s="4"/>
      <c r="Y210" s="4"/>
      <c r="Z210" s="4"/>
    </row>
    <row r="211" ht="15.75" customHeight="1">
      <c r="A211" s="1"/>
      <c r="B211" s="1"/>
      <c r="C211" s="1"/>
      <c r="D211" s="1"/>
      <c r="E211" s="1"/>
      <c r="F211" s="1"/>
      <c r="G211" s="1"/>
      <c r="H211" s="4"/>
      <c r="I211" s="4"/>
      <c r="J211" s="4"/>
      <c r="K211" s="4"/>
      <c r="L211" s="4"/>
      <c r="M211" s="4"/>
      <c r="N211" s="4"/>
      <c r="O211" s="4"/>
      <c r="P211" s="4"/>
      <c r="Q211" s="4"/>
      <c r="R211" s="4"/>
      <c r="S211" s="4"/>
      <c r="T211" s="4"/>
      <c r="U211" s="4"/>
      <c r="V211" s="4"/>
      <c r="W211" s="4"/>
      <c r="X211" s="4"/>
      <c r="Y211" s="4"/>
      <c r="Z211" s="4"/>
    </row>
    <row r="212" ht="15.75" customHeight="1">
      <c r="A212" s="1"/>
      <c r="B212" s="1"/>
      <c r="C212" s="1"/>
      <c r="D212" s="1"/>
      <c r="E212" s="1"/>
      <c r="F212" s="1"/>
      <c r="G212" s="1"/>
      <c r="H212" s="4"/>
      <c r="I212" s="4"/>
      <c r="J212" s="4"/>
      <c r="K212" s="4"/>
      <c r="L212" s="4"/>
      <c r="M212" s="4"/>
      <c r="N212" s="4"/>
      <c r="O212" s="4"/>
      <c r="P212" s="4"/>
      <c r="Q212" s="4"/>
      <c r="R212" s="4"/>
      <c r="S212" s="4"/>
      <c r="T212" s="4"/>
      <c r="U212" s="4"/>
      <c r="V212" s="4"/>
      <c r="W212" s="4"/>
      <c r="X212" s="4"/>
      <c r="Y212" s="4"/>
      <c r="Z212" s="4"/>
    </row>
    <row r="213" ht="15.75" customHeight="1">
      <c r="A213" s="1"/>
      <c r="B213" s="1"/>
      <c r="C213" s="1"/>
      <c r="D213" s="1"/>
      <c r="E213" s="1"/>
      <c r="F213" s="1"/>
      <c r="G213" s="1"/>
      <c r="H213" s="4"/>
      <c r="I213" s="4"/>
      <c r="J213" s="4"/>
      <c r="K213" s="4"/>
      <c r="L213" s="4"/>
      <c r="M213" s="4"/>
      <c r="N213" s="4"/>
      <c r="O213" s="4"/>
      <c r="P213" s="4"/>
      <c r="Q213" s="4"/>
      <c r="R213" s="4"/>
      <c r="S213" s="4"/>
      <c r="T213" s="4"/>
      <c r="U213" s="4"/>
      <c r="V213" s="4"/>
      <c r="W213" s="4"/>
      <c r="X213" s="4"/>
      <c r="Y213" s="4"/>
      <c r="Z213" s="4"/>
    </row>
    <row r="214" ht="15.75" customHeight="1">
      <c r="A214" s="1"/>
      <c r="B214" s="1"/>
      <c r="C214" s="1"/>
      <c r="D214" s="1"/>
      <c r="E214" s="1"/>
      <c r="F214" s="1"/>
      <c r="G214" s="1"/>
      <c r="H214" s="4"/>
      <c r="I214" s="4"/>
      <c r="J214" s="4"/>
      <c r="K214" s="4"/>
      <c r="L214" s="4"/>
      <c r="M214" s="4"/>
      <c r="N214" s="4"/>
      <c r="O214" s="4"/>
      <c r="P214" s="4"/>
      <c r="Q214" s="4"/>
      <c r="R214" s="4"/>
      <c r="S214" s="4"/>
      <c r="T214" s="4"/>
      <c r="U214" s="4"/>
      <c r="V214" s="4"/>
      <c r="W214" s="4"/>
      <c r="X214" s="4"/>
      <c r="Y214" s="4"/>
      <c r="Z214" s="4"/>
    </row>
    <row r="215" ht="15.75" customHeight="1">
      <c r="A215" s="1"/>
      <c r="B215" s="1"/>
      <c r="C215" s="1"/>
      <c r="D215" s="1"/>
      <c r="E215" s="1"/>
      <c r="F215" s="1"/>
      <c r="G215" s="1"/>
      <c r="H215" s="4"/>
      <c r="I215" s="4"/>
      <c r="J215" s="4"/>
      <c r="K215" s="4"/>
      <c r="L215" s="4"/>
      <c r="M215" s="4"/>
      <c r="N215" s="4"/>
      <c r="O215" s="4"/>
      <c r="P215" s="4"/>
      <c r="Q215" s="4"/>
      <c r="R215" s="4"/>
      <c r="S215" s="4"/>
      <c r="T215" s="4"/>
      <c r="U215" s="4"/>
      <c r="V215" s="4"/>
      <c r="W215" s="4"/>
      <c r="X215" s="4"/>
      <c r="Y215" s="4"/>
      <c r="Z215" s="4"/>
    </row>
    <row r="216" ht="15.75" customHeight="1">
      <c r="A216" s="1"/>
      <c r="B216" s="1"/>
      <c r="C216" s="1"/>
      <c r="D216" s="1"/>
      <c r="E216" s="1"/>
      <c r="F216" s="1"/>
      <c r="G216" s="1"/>
      <c r="H216" s="4"/>
      <c r="I216" s="4"/>
      <c r="J216" s="4"/>
      <c r="K216" s="4"/>
      <c r="L216" s="4"/>
      <c r="M216" s="4"/>
      <c r="N216" s="4"/>
      <c r="O216" s="4"/>
      <c r="P216" s="4"/>
      <c r="Q216" s="4"/>
      <c r="R216" s="4"/>
      <c r="S216" s="4"/>
      <c r="T216" s="4"/>
      <c r="U216" s="4"/>
      <c r="V216" s="4"/>
      <c r="W216" s="4"/>
      <c r="X216" s="4"/>
      <c r="Y216" s="4"/>
      <c r="Z216" s="4"/>
    </row>
    <row r="217" ht="15.75" customHeight="1">
      <c r="A217" s="1"/>
      <c r="B217" s="1"/>
      <c r="C217" s="1"/>
      <c r="D217" s="1"/>
      <c r="E217" s="1"/>
      <c r="F217" s="1"/>
      <c r="G217" s="1"/>
      <c r="H217" s="4"/>
      <c r="I217" s="4"/>
      <c r="J217" s="4"/>
      <c r="K217" s="4"/>
      <c r="L217" s="4"/>
      <c r="M217" s="4"/>
      <c r="N217" s="4"/>
      <c r="O217" s="4"/>
      <c r="P217" s="4"/>
      <c r="Q217" s="4"/>
      <c r="R217" s="4"/>
      <c r="S217" s="4"/>
      <c r="T217" s="4"/>
      <c r="U217" s="4"/>
      <c r="V217" s="4"/>
      <c r="W217" s="4"/>
      <c r="X217" s="4"/>
      <c r="Y217" s="4"/>
      <c r="Z217" s="4"/>
    </row>
    <row r="218" ht="15.75" customHeight="1">
      <c r="A218" s="1"/>
      <c r="B218" s="1"/>
      <c r="C218" s="1"/>
      <c r="D218" s="1"/>
      <c r="E218" s="1"/>
      <c r="F218" s="1"/>
      <c r="G218" s="1"/>
      <c r="H218" s="4"/>
      <c r="I218" s="4"/>
      <c r="J218" s="4"/>
      <c r="K218" s="4"/>
      <c r="L218" s="4"/>
      <c r="M218" s="4"/>
      <c r="N218" s="4"/>
      <c r="O218" s="4"/>
      <c r="P218" s="4"/>
      <c r="Q218" s="4"/>
      <c r="R218" s="4"/>
      <c r="S218" s="4"/>
      <c r="T218" s="4"/>
      <c r="U218" s="4"/>
      <c r="V218" s="4"/>
      <c r="W218" s="4"/>
      <c r="X218" s="4"/>
      <c r="Y218" s="4"/>
      <c r="Z218" s="4"/>
    </row>
    <row r="219" ht="15.75" customHeight="1">
      <c r="A219" s="1"/>
      <c r="B219" s="1"/>
      <c r="C219" s="1"/>
      <c r="D219" s="1"/>
      <c r="E219" s="1"/>
      <c r="F219" s="1"/>
      <c r="G219" s="1"/>
      <c r="H219" s="4"/>
      <c r="I219" s="4"/>
      <c r="J219" s="4"/>
      <c r="K219" s="4"/>
      <c r="L219" s="4"/>
      <c r="M219" s="4"/>
      <c r="N219" s="4"/>
      <c r="O219" s="4"/>
      <c r="P219" s="4"/>
      <c r="Q219" s="4"/>
      <c r="R219" s="4"/>
      <c r="S219" s="4"/>
      <c r="T219" s="4"/>
      <c r="U219" s="4"/>
      <c r="V219" s="4"/>
      <c r="W219" s="4"/>
      <c r="X219" s="4"/>
      <c r="Y219" s="4"/>
      <c r="Z219" s="4"/>
    </row>
    <row r="220" ht="15.75" customHeight="1">
      <c r="A220" s="1"/>
      <c r="B220" s="1"/>
      <c r="C220" s="1"/>
      <c r="D220" s="1"/>
      <c r="E220" s="1"/>
      <c r="F220" s="1"/>
      <c r="G220" s="1"/>
      <c r="H220" s="4"/>
      <c r="I220" s="4"/>
      <c r="J220" s="4"/>
      <c r="K220" s="4"/>
      <c r="L220" s="4"/>
      <c r="M220" s="4"/>
      <c r="N220" s="4"/>
      <c r="O220" s="4"/>
      <c r="P220" s="4"/>
      <c r="Q220" s="4"/>
      <c r="R220" s="4"/>
      <c r="S220" s="4"/>
      <c r="T220" s="4"/>
      <c r="U220" s="4"/>
      <c r="V220" s="4"/>
      <c r="W220" s="4"/>
      <c r="X220" s="4"/>
      <c r="Y220" s="4"/>
      <c r="Z220" s="4"/>
    </row>
    <row r="221" ht="15.75" customHeight="1">
      <c r="A221" s="1"/>
      <c r="B221" s="1"/>
      <c r="C221" s="1"/>
      <c r="D221" s="1"/>
      <c r="E221" s="1"/>
      <c r="F221" s="1"/>
      <c r="G221" s="1"/>
      <c r="H221" s="4"/>
      <c r="I221" s="4"/>
      <c r="J221" s="4"/>
      <c r="K221" s="4"/>
      <c r="L221" s="4"/>
      <c r="M221" s="4"/>
      <c r="N221" s="4"/>
      <c r="O221" s="4"/>
      <c r="P221" s="4"/>
      <c r="Q221" s="4"/>
      <c r="R221" s="4"/>
      <c r="S221" s="4"/>
      <c r="T221" s="4"/>
      <c r="U221" s="4"/>
      <c r="V221" s="4"/>
      <c r="W221" s="4"/>
      <c r="X221" s="4"/>
      <c r="Y221" s="4"/>
      <c r="Z221" s="4"/>
    </row>
    <row r="222" ht="15.75" customHeight="1">
      <c r="A222" s="1"/>
      <c r="B222" s="1"/>
      <c r="C222" s="1"/>
      <c r="D222" s="1"/>
      <c r="E222" s="1"/>
      <c r="F222" s="1"/>
      <c r="G222" s="1"/>
      <c r="H222" s="4"/>
      <c r="I222" s="4"/>
      <c r="J222" s="4"/>
      <c r="K222" s="4"/>
      <c r="L222" s="4"/>
      <c r="M222" s="4"/>
      <c r="N222" s="4"/>
      <c r="O222" s="4"/>
      <c r="P222" s="4"/>
      <c r="Q222" s="4"/>
      <c r="R222" s="4"/>
      <c r="S222" s="4"/>
      <c r="T222" s="4"/>
      <c r="U222" s="4"/>
      <c r="V222" s="4"/>
      <c r="W222" s="4"/>
      <c r="X222" s="4"/>
      <c r="Y222" s="4"/>
      <c r="Z222" s="4"/>
    </row>
    <row r="223" ht="15.75" customHeight="1">
      <c r="A223" s="1"/>
      <c r="B223" s="1"/>
      <c r="C223" s="1"/>
      <c r="D223" s="1"/>
      <c r="E223" s="1"/>
      <c r="F223" s="1"/>
      <c r="G223" s="1"/>
      <c r="H223" s="4"/>
      <c r="I223" s="4"/>
      <c r="J223" s="4"/>
      <c r="K223" s="4"/>
      <c r="L223" s="4"/>
      <c r="M223" s="4"/>
      <c r="N223" s="4"/>
      <c r="O223" s="4"/>
      <c r="P223" s="4"/>
      <c r="Q223" s="4"/>
      <c r="R223" s="4"/>
      <c r="S223" s="4"/>
      <c r="T223" s="4"/>
      <c r="U223" s="4"/>
      <c r="V223" s="4"/>
      <c r="W223" s="4"/>
      <c r="X223" s="4"/>
      <c r="Y223" s="4"/>
      <c r="Z223" s="4"/>
    </row>
    <row r="224" ht="15.75" customHeight="1">
      <c r="A224" s="1"/>
      <c r="B224" s="1"/>
      <c r="C224" s="1"/>
      <c r="D224" s="1"/>
      <c r="E224" s="1"/>
      <c r="F224" s="1"/>
      <c r="G224" s="1"/>
      <c r="H224" s="4"/>
      <c r="I224" s="4"/>
      <c r="J224" s="4"/>
      <c r="K224" s="4"/>
      <c r="L224" s="4"/>
      <c r="M224" s="4"/>
      <c r="N224" s="4"/>
      <c r="O224" s="4"/>
      <c r="P224" s="4"/>
      <c r="Q224" s="4"/>
      <c r="R224" s="4"/>
      <c r="S224" s="4"/>
      <c r="T224" s="4"/>
      <c r="U224" s="4"/>
      <c r="V224" s="4"/>
      <c r="W224" s="4"/>
      <c r="X224" s="4"/>
      <c r="Y224" s="4"/>
      <c r="Z224" s="4"/>
    </row>
    <row r="225" ht="15.75" customHeight="1">
      <c r="A225" s="1"/>
      <c r="B225" s="1"/>
      <c r="C225" s="1"/>
      <c r="D225" s="1"/>
      <c r="E225" s="1"/>
      <c r="F225" s="1"/>
      <c r="G225" s="1"/>
      <c r="H225" s="4"/>
      <c r="I225" s="4"/>
      <c r="J225" s="4"/>
      <c r="K225" s="4"/>
      <c r="L225" s="4"/>
      <c r="M225" s="4"/>
      <c r="N225" s="4"/>
      <c r="O225" s="4"/>
      <c r="P225" s="4"/>
      <c r="Q225" s="4"/>
      <c r="R225" s="4"/>
      <c r="S225" s="4"/>
      <c r="T225" s="4"/>
      <c r="U225" s="4"/>
      <c r="V225" s="4"/>
      <c r="W225" s="4"/>
      <c r="X225" s="4"/>
      <c r="Y225" s="4"/>
      <c r="Z225" s="4"/>
    </row>
    <row r="226" ht="15.75" customHeight="1">
      <c r="A226" s="1"/>
      <c r="B226" s="1"/>
      <c r="C226" s="1"/>
      <c r="D226" s="1"/>
      <c r="E226" s="1"/>
      <c r="F226" s="1"/>
      <c r="G226" s="1"/>
      <c r="H226" s="4"/>
      <c r="I226" s="4"/>
      <c r="J226" s="4"/>
      <c r="K226" s="4"/>
      <c r="L226" s="4"/>
      <c r="M226" s="4"/>
      <c r="N226" s="4"/>
      <c r="O226" s="4"/>
      <c r="P226" s="4"/>
      <c r="Q226" s="4"/>
      <c r="R226" s="4"/>
      <c r="S226" s="4"/>
      <c r="T226" s="4"/>
      <c r="U226" s="4"/>
      <c r="V226" s="4"/>
      <c r="W226" s="4"/>
      <c r="X226" s="4"/>
      <c r="Y226" s="4"/>
      <c r="Z226" s="4"/>
    </row>
    <row r="227" ht="15.75" customHeight="1">
      <c r="A227" s="1"/>
      <c r="B227" s="1"/>
      <c r="C227" s="1"/>
      <c r="D227" s="1"/>
      <c r="E227" s="1"/>
      <c r="F227" s="1"/>
      <c r="G227" s="1"/>
      <c r="H227" s="4"/>
      <c r="I227" s="4"/>
      <c r="J227" s="4"/>
      <c r="K227" s="4"/>
      <c r="L227" s="4"/>
      <c r="M227" s="4"/>
      <c r="N227" s="4"/>
      <c r="O227" s="4"/>
      <c r="P227" s="4"/>
      <c r="Q227" s="4"/>
      <c r="R227" s="4"/>
      <c r="S227" s="4"/>
      <c r="T227" s="4"/>
      <c r="U227" s="4"/>
      <c r="V227" s="4"/>
      <c r="W227" s="4"/>
      <c r="X227" s="4"/>
      <c r="Y227" s="4"/>
      <c r="Z227" s="4"/>
    </row>
    <row r="228" ht="15.75" customHeight="1">
      <c r="A228" s="1"/>
      <c r="B228" s="1"/>
      <c r="C228" s="1"/>
      <c r="D228" s="1"/>
      <c r="E228" s="1"/>
      <c r="F228" s="1"/>
      <c r="G228" s="1"/>
      <c r="H228" s="4"/>
      <c r="I228" s="4"/>
      <c r="J228" s="4"/>
      <c r="K228" s="4"/>
      <c r="L228" s="4"/>
      <c r="M228" s="4"/>
      <c r="N228" s="4"/>
      <c r="O228" s="4"/>
      <c r="P228" s="4"/>
      <c r="Q228" s="4"/>
      <c r="R228" s="4"/>
      <c r="S228" s="4"/>
      <c r="T228" s="4"/>
      <c r="U228" s="4"/>
      <c r="V228" s="4"/>
      <c r="W228" s="4"/>
      <c r="X228" s="4"/>
      <c r="Y228" s="4"/>
      <c r="Z228" s="4"/>
    </row>
    <row r="229" ht="15.75" customHeight="1">
      <c r="A229" s="1"/>
      <c r="B229" s="1"/>
      <c r="C229" s="1"/>
      <c r="D229" s="1"/>
      <c r="E229" s="1"/>
      <c r="F229" s="1"/>
      <c r="G229" s="1"/>
      <c r="H229" s="4"/>
      <c r="I229" s="4"/>
      <c r="J229" s="4"/>
      <c r="K229" s="4"/>
      <c r="L229" s="4"/>
      <c r="M229" s="4"/>
      <c r="N229" s="4"/>
      <c r="O229" s="4"/>
      <c r="P229" s="4"/>
      <c r="Q229" s="4"/>
      <c r="R229" s="4"/>
      <c r="S229" s="4"/>
      <c r="T229" s="4"/>
      <c r="U229" s="4"/>
      <c r="V229" s="4"/>
      <c r="W229" s="4"/>
      <c r="X229" s="4"/>
      <c r="Y229" s="4"/>
      <c r="Z229" s="4"/>
    </row>
    <row r="230" ht="15.75" customHeight="1">
      <c r="A230" s="1"/>
      <c r="B230" s="1"/>
      <c r="C230" s="1"/>
      <c r="D230" s="1"/>
      <c r="E230" s="1"/>
      <c r="F230" s="1"/>
      <c r="G230" s="1"/>
      <c r="H230" s="4"/>
      <c r="I230" s="4"/>
      <c r="J230" s="4"/>
      <c r="K230" s="4"/>
      <c r="L230" s="4"/>
      <c r="M230" s="4"/>
      <c r="N230" s="4"/>
      <c r="O230" s="4"/>
      <c r="P230" s="4"/>
      <c r="Q230" s="4"/>
      <c r="R230" s="4"/>
      <c r="S230" s="4"/>
      <c r="T230" s="4"/>
      <c r="U230" s="4"/>
      <c r="V230" s="4"/>
      <c r="W230" s="4"/>
      <c r="X230" s="4"/>
      <c r="Y230" s="4"/>
      <c r="Z230" s="4"/>
    </row>
    <row r="231" ht="15.75" customHeight="1">
      <c r="A231" s="1"/>
      <c r="B231" s="1"/>
      <c r="C231" s="1"/>
      <c r="D231" s="1"/>
      <c r="E231" s="1"/>
      <c r="F231" s="1"/>
      <c r="G231" s="1"/>
      <c r="H231" s="4"/>
      <c r="I231" s="4"/>
      <c r="J231" s="4"/>
      <c r="K231" s="4"/>
      <c r="L231" s="4"/>
      <c r="M231" s="4"/>
      <c r="N231" s="4"/>
      <c r="O231" s="4"/>
      <c r="P231" s="4"/>
      <c r="Q231" s="4"/>
      <c r="R231" s="4"/>
      <c r="S231" s="4"/>
      <c r="T231" s="4"/>
      <c r="U231" s="4"/>
      <c r="V231" s="4"/>
      <c r="W231" s="4"/>
      <c r="X231" s="4"/>
      <c r="Y231" s="4"/>
      <c r="Z231" s="4"/>
    </row>
    <row r="232" ht="15.75" customHeight="1">
      <c r="A232" s="1"/>
      <c r="B232" s="1"/>
      <c r="C232" s="1"/>
      <c r="D232" s="1"/>
      <c r="E232" s="1"/>
      <c r="F232" s="1"/>
      <c r="G232" s="1"/>
      <c r="H232" s="4"/>
      <c r="I232" s="4"/>
      <c r="J232" s="4"/>
      <c r="K232" s="4"/>
      <c r="L232" s="4"/>
      <c r="M232" s="4"/>
      <c r="N232" s="4"/>
      <c r="O232" s="4"/>
      <c r="P232" s="4"/>
      <c r="Q232" s="4"/>
      <c r="R232" s="4"/>
      <c r="S232" s="4"/>
      <c r="T232" s="4"/>
      <c r="U232" s="4"/>
      <c r="V232" s="4"/>
      <c r="W232" s="4"/>
      <c r="X232" s="4"/>
      <c r="Y232" s="4"/>
      <c r="Z232" s="4"/>
    </row>
    <row r="233" ht="15.75" customHeight="1">
      <c r="A233" s="1"/>
      <c r="B233" s="1"/>
      <c r="C233" s="1"/>
      <c r="D233" s="1"/>
      <c r="E233" s="1"/>
      <c r="F233" s="1"/>
      <c r="G233" s="1"/>
      <c r="H233" s="4"/>
      <c r="I233" s="4"/>
      <c r="J233" s="4"/>
      <c r="K233" s="4"/>
      <c r="L233" s="4"/>
      <c r="M233" s="4"/>
      <c r="N233" s="4"/>
      <c r="O233" s="4"/>
      <c r="P233" s="4"/>
      <c r="Q233" s="4"/>
      <c r="R233" s="4"/>
      <c r="S233" s="4"/>
      <c r="T233" s="4"/>
      <c r="U233" s="4"/>
      <c r="V233" s="4"/>
      <c r="W233" s="4"/>
      <c r="X233" s="4"/>
      <c r="Y233" s="4"/>
      <c r="Z233" s="4"/>
    </row>
    <row r="234" ht="15.75" customHeight="1">
      <c r="A234" s="1"/>
      <c r="B234" s="1"/>
      <c r="C234" s="1"/>
      <c r="D234" s="1"/>
      <c r="E234" s="1"/>
      <c r="F234" s="1"/>
      <c r="G234" s="1"/>
      <c r="H234" s="4"/>
      <c r="I234" s="4"/>
      <c r="J234" s="4"/>
      <c r="K234" s="4"/>
      <c r="L234" s="4"/>
      <c r="M234" s="4"/>
      <c r="N234" s="4"/>
      <c r="O234" s="4"/>
      <c r="P234" s="4"/>
      <c r="Q234" s="4"/>
      <c r="R234" s="4"/>
      <c r="S234" s="4"/>
      <c r="T234" s="4"/>
      <c r="U234" s="4"/>
      <c r="V234" s="4"/>
      <c r="W234" s="4"/>
      <c r="X234" s="4"/>
      <c r="Y234" s="4"/>
      <c r="Z234" s="4"/>
    </row>
    <row r="235" ht="15.75" customHeight="1">
      <c r="A235" s="1"/>
      <c r="B235" s="1"/>
      <c r="C235" s="1"/>
      <c r="D235" s="1"/>
      <c r="E235" s="1"/>
      <c r="F235" s="1"/>
      <c r="G235" s="1"/>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
    <mergeCell ref="A1:G1"/>
    <mergeCell ref="A2:G2"/>
    <mergeCell ref="A11:G11"/>
    <mergeCell ref="A18:G18"/>
    <mergeCell ref="A20:G20"/>
    <mergeCell ref="A29:G29"/>
    <mergeCell ref="A36:G36"/>
  </mergeCells>
  <dataValidations>
    <dataValidation type="list" allowBlank="1" sqref="D5:E8">
      <formula1>"1,2,3,4,5"</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8.0"/>
    <col customWidth="1" min="2" max="2" width="24.0"/>
    <col customWidth="1" min="3" max="3" width="22.0"/>
    <col customWidth="1" min="4" max="4" width="18.0"/>
    <col customWidth="1" min="5" max="5" width="14.0"/>
    <col customWidth="1" min="6" max="6" width="22.0"/>
    <col customWidth="1" min="7" max="7" width="26.0"/>
  </cols>
  <sheetData>
    <row r="1" ht="15.0" customHeight="1">
      <c r="A1" s="3" t="s">
        <v>545</v>
      </c>
      <c r="B1" s="5"/>
      <c r="C1" s="5"/>
      <c r="D1" s="5"/>
      <c r="E1" s="5"/>
      <c r="F1" s="5"/>
      <c r="G1" s="6"/>
      <c r="H1" s="4"/>
      <c r="I1" s="4"/>
      <c r="J1" s="4"/>
      <c r="K1" s="4"/>
      <c r="L1" s="4"/>
      <c r="M1" s="4"/>
      <c r="N1" s="4"/>
      <c r="O1" s="4"/>
      <c r="P1" s="4"/>
      <c r="Q1" s="4"/>
      <c r="R1" s="4"/>
      <c r="S1" s="4"/>
      <c r="T1" s="4"/>
      <c r="U1" s="4"/>
      <c r="V1" s="4"/>
      <c r="W1" s="4"/>
      <c r="X1" s="4"/>
      <c r="Y1" s="4"/>
      <c r="Z1" s="4"/>
    </row>
    <row r="2" ht="15.0" customHeight="1">
      <c r="A2" s="30" t="s">
        <v>546</v>
      </c>
      <c r="B2" s="5"/>
      <c r="C2" s="5"/>
      <c r="D2" s="5"/>
      <c r="E2" s="5"/>
      <c r="F2" s="5"/>
      <c r="G2" s="6"/>
      <c r="H2" s="4"/>
      <c r="I2" s="4"/>
      <c r="J2" s="4"/>
      <c r="K2" s="4"/>
      <c r="L2" s="4"/>
      <c r="M2" s="4"/>
      <c r="N2" s="4"/>
      <c r="O2" s="4"/>
      <c r="P2" s="4"/>
      <c r="Q2" s="4"/>
      <c r="R2" s="4"/>
      <c r="S2" s="4"/>
      <c r="T2" s="4"/>
      <c r="U2" s="4"/>
      <c r="V2" s="4"/>
      <c r="W2" s="4"/>
      <c r="X2" s="4"/>
      <c r="Y2" s="4"/>
      <c r="Z2" s="4"/>
    </row>
    <row r="3" ht="15.0" customHeight="1">
      <c r="A3" s="4"/>
      <c r="B3" s="4"/>
      <c r="C3" s="4"/>
      <c r="D3" s="4"/>
      <c r="E3" s="4"/>
      <c r="F3" s="4"/>
      <c r="G3" s="4"/>
      <c r="H3" s="4"/>
      <c r="I3" s="4"/>
      <c r="J3" s="4"/>
      <c r="K3" s="4"/>
      <c r="L3" s="4"/>
      <c r="M3" s="4"/>
      <c r="N3" s="4"/>
      <c r="O3" s="4"/>
      <c r="P3" s="4"/>
      <c r="Q3" s="4"/>
      <c r="R3" s="4"/>
      <c r="S3" s="4"/>
      <c r="T3" s="4"/>
      <c r="U3" s="4"/>
      <c r="V3" s="4"/>
      <c r="W3" s="4"/>
      <c r="X3" s="4"/>
      <c r="Y3" s="4"/>
      <c r="Z3" s="4"/>
    </row>
    <row r="4" ht="15.0" customHeight="1">
      <c r="A4" s="15" t="s">
        <v>547</v>
      </c>
      <c r="B4" s="5"/>
      <c r="C4" s="5"/>
      <c r="D4" s="5"/>
      <c r="E4" s="5"/>
      <c r="F4" s="5"/>
      <c r="G4" s="6"/>
      <c r="H4" s="4"/>
      <c r="I4" s="4"/>
      <c r="J4" s="4"/>
      <c r="K4" s="4"/>
      <c r="L4" s="4"/>
      <c r="M4" s="4"/>
      <c r="N4" s="4"/>
      <c r="O4" s="4"/>
      <c r="P4" s="4"/>
      <c r="Q4" s="4"/>
      <c r="R4" s="4"/>
      <c r="S4" s="4"/>
      <c r="T4" s="4"/>
      <c r="U4" s="4"/>
      <c r="V4" s="4"/>
      <c r="W4" s="4"/>
      <c r="X4" s="4"/>
      <c r="Y4" s="4"/>
      <c r="Z4" s="4"/>
    </row>
    <row r="5" ht="24.0" customHeight="1">
      <c r="A5" s="9" t="s">
        <v>548</v>
      </c>
      <c r="B5" s="9" t="s">
        <v>549</v>
      </c>
      <c r="C5" s="9" t="s">
        <v>550</v>
      </c>
      <c r="D5" s="9" t="s">
        <v>551</v>
      </c>
      <c r="E5" s="9" t="s">
        <v>552</v>
      </c>
      <c r="F5" s="9" t="s">
        <v>162</v>
      </c>
      <c r="G5" s="9" t="s">
        <v>163</v>
      </c>
      <c r="H5" s="4"/>
      <c r="I5" s="4"/>
      <c r="J5" s="4"/>
      <c r="K5" s="4"/>
      <c r="L5" s="4"/>
      <c r="M5" s="4"/>
      <c r="N5" s="4"/>
      <c r="O5" s="4"/>
      <c r="P5" s="4"/>
      <c r="Q5" s="4"/>
      <c r="R5" s="4"/>
      <c r="S5" s="4"/>
      <c r="T5" s="4"/>
      <c r="U5" s="4"/>
      <c r="V5" s="4"/>
      <c r="W5" s="4"/>
      <c r="X5" s="4"/>
      <c r="Y5" s="4"/>
      <c r="Z5" s="4"/>
    </row>
    <row r="6" ht="36.0" customHeight="1">
      <c r="A6" s="12" t="s">
        <v>553</v>
      </c>
      <c r="B6" s="12"/>
      <c r="C6" s="12"/>
      <c r="D6" s="115" t="str">
        <f t="shared" ref="D6:D9" si="1">IF(OR(B6="",C6="",B6&lt;=0),"",C6/B6)</f>
        <v/>
      </c>
      <c r="E6" s="12"/>
      <c r="F6" s="12" t="s">
        <v>554</v>
      </c>
      <c r="G6" s="12"/>
      <c r="H6" s="4"/>
      <c r="I6" s="4"/>
      <c r="J6" s="4"/>
      <c r="K6" s="4"/>
      <c r="L6" s="4"/>
      <c r="M6" s="4"/>
      <c r="N6" s="4"/>
      <c r="O6" s="4"/>
      <c r="P6" s="4"/>
      <c r="Q6" s="4"/>
      <c r="R6" s="4"/>
      <c r="S6" s="4"/>
      <c r="T6" s="4"/>
      <c r="U6" s="4"/>
      <c r="V6" s="4"/>
      <c r="W6" s="4"/>
      <c r="X6" s="4"/>
      <c r="Y6" s="4"/>
      <c r="Z6" s="4"/>
    </row>
    <row r="7" ht="36.0" customHeight="1">
      <c r="A7" s="16" t="s">
        <v>555</v>
      </c>
      <c r="B7" s="16"/>
      <c r="C7" s="16"/>
      <c r="D7" s="116" t="str">
        <f t="shared" si="1"/>
        <v/>
      </c>
      <c r="E7" s="16"/>
      <c r="F7" s="16" t="s">
        <v>554</v>
      </c>
      <c r="G7" s="16"/>
      <c r="H7" s="4"/>
      <c r="I7" s="4"/>
      <c r="J7" s="4"/>
      <c r="K7" s="4"/>
      <c r="L7" s="4"/>
      <c r="M7" s="4"/>
      <c r="N7" s="4"/>
      <c r="O7" s="4"/>
      <c r="P7" s="4"/>
      <c r="Q7" s="4"/>
      <c r="R7" s="4"/>
      <c r="S7" s="4"/>
      <c r="T7" s="4"/>
      <c r="U7" s="4"/>
      <c r="V7" s="4"/>
      <c r="W7" s="4"/>
      <c r="X7" s="4"/>
      <c r="Y7" s="4"/>
      <c r="Z7" s="4"/>
    </row>
    <row r="8" ht="36.0" customHeight="1">
      <c r="A8" s="12" t="s">
        <v>556</v>
      </c>
      <c r="B8" s="12"/>
      <c r="C8" s="12"/>
      <c r="D8" s="115" t="str">
        <f t="shared" si="1"/>
        <v/>
      </c>
      <c r="E8" s="12"/>
      <c r="F8" s="12" t="s">
        <v>554</v>
      </c>
      <c r="G8" s="12"/>
      <c r="H8" s="4"/>
      <c r="I8" s="4"/>
      <c r="J8" s="4"/>
      <c r="K8" s="4"/>
      <c r="L8" s="4"/>
      <c r="M8" s="4"/>
      <c r="N8" s="4"/>
      <c r="O8" s="4"/>
      <c r="P8" s="4"/>
      <c r="Q8" s="4"/>
      <c r="R8" s="4"/>
      <c r="S8" s="4"/>
      <c r="T8" s="4"/>
      <c r="U8" s="4"/>
      <c r="V8" s="4"/>
      <c r="W8" s="4"/>
      <c r="X8" s="4"/>
      <c r="Y8" s="4"/>
      <c r="Z8" s="4"/>
    </row>
    <row r="9" ht="36.0" customHeight="1">
      <c r="A9" s="16" t="s">
        <v>557</v>
      </c>
      <c r="B9" s="16"/>
      <c r="C9" s="16"/>
      <c r="D9" s="116" t="str">
        <f t="shared" si="1"/>
        <v/>
      </c>
      <c r="E9" s="16"/>
      <c r="F9" s="16" t="s">
        <v>554</v>
      </c>
      <c r="G9" s="16"/>
      <c r="H9" s="4"/>
      <c r="I9" s="4"/>
      <c r="J9" s="4"/>
      <c r="K9" s="4"/>
      <c r="L9" s="4"/>
      <c r="M9" s="4"/>
      <c r="N9" s="4"/>
      <c r="O9" s="4"/>
      <c r="P9" s="4"/>
      <c r="Q9" s="4"/>
      <c r="R9" s="4"/>
      <c r="S9" s="4"/>
      <c r="T9" s="4"/>
      <c r="U9" s="4"/>
      <c r="V9" s="4"/>
      <c r="W9" s="4"/>
      <c r="X9" s="4"/>
      <c r="Y9" s="4"/>
      <c r="Z9" s="4"/>
    </row>
    <row r="10" ht="15.0" customHeight="1">
      <c r="A10" s="4"/>
      <c r="B10" s="4"/>
      <c r="C10" s="4"/>
      <c r="D10" s="4"/>
      <c r="E10" s="4"/>
      <c r="F10" s="4"/>
      <c r="G10" s="4"/>
      <c r="H10" s="4"/>
      <c r="I10" s="4"/>
      <c r="J10" s="4"/>
      <c r="K10" s="4"/>
      <c r="L10" s="4"/>
      <c r="M10" s="4"/>
      <c r="N10" s="4"/>
      <c r="O10" s="4"/>
      <c r="P10" s="4"/>
      <c r="Q10" s="4"/>
      <c r="R10" s="4"/>
      <c r="S10" s="4"/>
      <c r="T10" s="4"/>
      <c r="U10" s="4"/>
      <c r="V10" s="4"/>
      <c r="W10" s="4"/>
      <c r="X10" s="4"/>
      <c r="Y10" s="4"/>
      <c r="Z10" s="4"/>
    </row>
    <row r="11" ht="15.0" customHeight="1">
      <c r="A11" s="15" t="s">
        <v>558</v>
      </c>
      <c r="B11" s="5"/>
      <c r="C11" s="5"/>
      <c r="D11" s="5"/>
      <c r="E11" s="5"/>
      <c r="F11" s="5"/>
      <c r="G11" s="6"/>
      <c r="H11" s="4"/>
      <c r="I11" s="4"/>
      <c r="J11" s="4"/>
      <c r="K11" s="4"/>
      <c r="L11" s="4"/>
      <c r="M11" s="4"/>
      <c r="N11" s="4"/>
      <c r="O11" s="4"/>
      <c r="P11" s="4"/>
      <c r="Q11" s="4"/>
      <c r="R11" s="4"/>
      <c r="S11" s="4"/>
      <c r="T11" s="4"/>
      <c r="U11" s="4"/>
      <c r="V11" s="4"/>
      <c r="W11" s="4"/>
      <c r="X11" s="4"/>
      <c r="Y11" s="4"/>
      <c r="Z11" s="4"/>
    </row>
    <row r="12" ht="24.0" customHeight="1">
      <c r="A12" s="9" t="s">
        <v>559</v>
      </c>
      <c r="B12" s="9" t="s">
        <v>560</v>
      </c>
      <c r="C12" s="9" t="s">
        <v>561</v>
      </c>
      <c r="D12" s="9" t="s">
        <v>562</v>
      </c>
      <c r="E12" s="9" t="s">
        <v>563</v>
      </c>
      <c r="F12" s="9" t="s">
        <v>564</v>
      </c>
      <c r="G12" s="9" t="s">
        <v>7</v>
      </c>
      <c r="H12" s="4"/>
      <c r="I12" s="4"/>
      <c r="J12" s="4"/>
      <c r="K12" s="4"/>
      <c r="L12" s="4"/>
      <c r="M12" s="4"/>
      <c r="N12" s="4"/>
      <c r="O12" s="4"/>
      <c r="P12" s="4"/>
      <c r="Q12" s="4"/>
      <c r="R12" s="4"/>
      <c r="S12" s="4"/>
      <c r="T12" s="4"/>
      <c r="U12" s="4"/>
      <c r="V12" s="4"/>
      <c r="W12" s="4"/>
      <c r="X12" s="4"/>
      <c r="Y12" s="4"/>
      <c r="Z12" s="4"/>
    </row>
    <row r="13" ht="15.0" customHeight="1">
      <c r="A13" s="12"/>
      <c r="B13" s="12"/>
      <c r="C13" s="12"/>
      <c r="D13" s="12"/>
      <c r="E13" s="12"/>
      <c r="F13" s="12"/>
      <c r="G13" s="12"/>
      <c r="H13" s="4"/>
      <c r="I13" s="4"/>
      <c r="J13" s="4"/>
      <c r="K13" s="4"/>
      <c r="L13" s="4"/>
      <c r="M13" s="4"/>
      <c r="N13" s="4"/>
      <c r="O13" s="4"/>
      <c r="P13" s="4"/>
      <c r="Q13" s="4"/>
      <c r="R13" s="4"/>
      <c r="S13" s="4"/>
      <c r="T13" s="4"/>
      <c r="U13" s="4"/>
      <c r="V13" s="4"/>
      <c r="W13" s="4"/>
      <c r="X13" s="4"/>
      <c r="Y13" s="4"/>
      <c r="Z13" s="4"/>
    </row>
    <row r="14" ht="15.0" customHeight="1">
      <c r="A14" s="16"/>
      <c r="B14" s="16"/>
      <c r="C14" s="16"/>
      <c r="D14" s="16"/>
      <c r="E14" s="16"/>
      <c r="F14" s="16"/>
      <c r="G14" s="16"/>
      <c r="H14" s="4"/>
      <c r="I14" s="4"/>
      <c r="J14" s="4"/>
      <c r="K14" s="4"/>
      <c r="L14" s="4"/>
      <c r="M14" s="4"/>
      <c r="N14" s="4"/>
      <c r="O14" s="4"/>
      <c r="P14" s="4"/>
      <c r="Q14" s="4"/>
      <c r="R14" s="4"/>
      <c r="S14" s="4"/>
      <c r="T14" s="4"/>
      <c r="U14" s="4"/>
      <c r="V14" s="4"/>
      <c r="W14" s="4"/>
      <c r="X14" s="4"/>
      <c r="Y14" s="4"/>
      <c r="Z14" s="4"/>
    </row>
    <row r="15" ht="15.0" customHeight="1">
      <c r="A15" s="12"/>
      <c r="B15" s="12"/>
      <c r="C15" s="12"/>
      <c r="D15" s="12"/>
      <c r="E15" s="12"/>
      <c r="F15" s="12"/>
      <c r="G15" s="12"/>
      <c r="H15" s="4"/>
      <c r="I15" s="4"/>
      <c r="J15" s="4"/>
      <c r="K15" s="4"/>
      <c r="L15" s="4"/>
      <c r="M15" s="4"/>
      <c r="N15" s="4"/>
      <c r="O15" s="4"/>
      <c r="P15" s="4"/>
      <c r="Q15" s="4"/>
      <c r="R15" s="4"/>
      <c r="S15" s="4"/>
      <c r="T15" s="4"/>
      <c r="U15" s="4"/>
      <c r="V15" s="4"/>
      <c r="W15" s="4"/>
      <c r="X15" s="4"/>
      <c r="Y15" s="4"/>
      <c r="Z15" s="4"/>
    </row>
    <row r="16" ht="15.0" customHeight="1">
      <c r="A16" s="16"/>
      <c r="B16" s="16"/>
      <c r="C16" s="16"/>
      <c r="D16" s="16"/>
      <c r="E16" s="16"/>
      <c r="F16" s="16"/>
      <c r="G16" s="16"/>
      <c r="H16" s="4"/>
      <c r="I16" s="4"/>
      <c r="J16" s="4"/>
      <c r="K16" s="4"/>
      <c r="L16" s="4"/>
      <c r="M16" s="4"/>
      <c r="N16" s="4"/>
      <c r="O16" s="4"/>
      <c r="P16" s="4"/>
      <c r="Q16" s="4"/>
      <c r="R16" s="4"/>
      <c r="S16" s="4"/>
      <c r="T16" s="4"/>
      <c r="U16" s="4"/>
      <c r="V16" s="4"/>
      <c r="W16" s="4"/>
      <c r="X16" s="4"/>
      <c r="Y16" s="4"/>
      <c r="Z16" s="4"/>
    </row>
    <row r="17" ht="15.0" customHeight="1">
      <c r="A17" s="4"/>
      <c r="B17" s="4"/>
      <c r="C17" s="4"/>
      <c r="D17" s="4"/>
      <c r="E17" s="4"/>
      <c r="F17" s="4"/>
      <c r="G17" s="4"/>
      <c r="H17" s="4"/>
      <c r="I17" s="4"/>
      <c r="J17" s="4"/>
      <c r="K17" s="4"/>
      <c r="L17" s="4"/>
      <c r="M17" s="4"/>
      <c r="N17" s="4"/>
      <c r="O17" s="4"/>
      <c r="P17" s="4"/>
      <c r="Q17" s="4"/>
      <c r="R17" s="4"/>
      <c r="S17" s="4"/>
      <c r="T17" s="4"/>
      <c r="U17" s="4"/>
      <c r="V17" s="4"/>
      <c r="W17" s="4"/>
      <c r="X17" s="4"/>
      <c r="Y17" s="4"/>
      <c r="Z17" s="4"/>
    </row>
    <row r="18" ht="27.75" customHeight="1">
      <c r="A18" s="117" t="s">
        <v>565</v>
      </c>
      <c r="B18" s="5"/>
      <c r="C18" s="5"/>
      <c r="D18" s="5"/>
      <c r="E18" s="5"/>
      <c r="F18" s="5"/>
      <c r="G18" s="6"/>
      <c r="H18" s="4"/>
      <c r="I18" s="4"/>
      <c r="J18" s="4"/>
      <c r="K18" s="4"/>
      <c r="L18" s="4"/>
      <c r="M18" s="4"/>
      <c r="N18" s="4"/>
      <c r="O18" s="4"/>
      <c r="P18" s="4"/>
      <c r="Q18" s="4"/>
      <c r="R18" s="4"/>
      <c r="S18" s="4"/>
      <c r="T18" s="4"/>
      <c r="U18" s="4"/>
      <c r="V18" s="4"/>
      <c r="W18" s="4"/>
      <c r="X18" s="4"/>
      <c r="Y18" s="4"/>
      <c r="Z18" s="4"/>
    </row>
    <row r="19" ht="36.0" customHeight="1">
      <c r="A19" s="75" t="s">
        <v>566</v>
      </c>
      <c r="B19" s="75" t="s">
        <v>567</v>
      </c>
      <c r="C19" s="75" t="s">
        <v>568</v>
      </c>
      <c r="D19" s="75" t="s">
        <v>569</v>
      </c>
      <c r="E19" s="75" t="s">
        <v>163</v>
      </c>
      <c r="F19" s="75" t="s">
        <v>570</v>
      </c>
      <c r="G19" s="75" t="s">
        <v>571</v>
      </c>
      <c r="H19" s="4"/>
      <c r="I19" s="4"/>
      <c r="J19" s="4"/>
      <c r="K19" s="4"/>
      <c r="L19" s="4"/>
      <c r="M19" s="4"/>
      <c r="N19" s="4"/>
      <c r="O19" s="4"/>
      <c r="P19" s="4"/>
      <c r="Q19" s="4"/>
      <c r="R19" s="4"/>
      <c r="S19" s="4"/>
      <c r="T19" s="4"/>
      <c r="U19" s="4"/>
      <c r="V19" s="4"/>
      <c r="W19" s="4"/>
      <c r="X19" s="4"/>
      <c r="Y19" s="4"/>
      <c r="Z19" s="4"/>
    </row>
    <row r="20" ht="24.0" customHeight="1">
      <c r="A20" s="34" t="s">
        <v>572</v>
      </c>
      <c r="B20" s="118"/>
      <c r="C20" s="118"/>
      <c r="D20" s="119" t="str">
        <f>IF(OR(C20="",'A — Scorecard Identity'!B15=""),"",'A — Scorecard Identity'!B15-C20)</f>
        <v/>
      </c>
      <c r="E20" s="120" t="str">
        <f t="shared" ref="E20:E24" si="2">IF(OR(B20="",B20="MISSING",B20&lt;&gt;"PASS",C20="",D20="",D20&lt;0,F20="",D20&gt;F20),"BREACH","PASS")</f>
        <v>BREACH</v>
      </c>
      <c r="F20" s="121">
        <v>90.0</v>
      </c>
      <c r="G20" s="76"/>
      <c r="H20" s="4"/>
      <c r="I20" s="4"/>
      <c r="J20" s="4"/>
      <c r="K20" s="4"/>
      <c r="L20" s="4"/>
      <c r="M20" s="4"/>
      <c r="N20" s="4"/>
      <c r="O20" s="4"/>
      <c r="P20" s="4"/>
      <c r="Q20" s="4"/>
      <c r="R20" s="4"/>
      <c r="S20" s="4"/>
      <c r="T20" s="4"/>
      <c r="U20" s="4"/>
      <c r="V20" s="4"/>
      <c r="W20" s="4"/>
      <c r="X20" s="4"/>
      <c r="Y20" s="4"/>
      <c r="Z20" s="4"/>
    </row>
    <row r="21" ht="24.0" customHeight="1">
      <c r="A21" s="77" t="s">
        <v>573</v>
      </c>
      <c r="B21" s="77"/>
      <c r="C21" s="122"/>
      <c r="D21" s="123" t="str">
        <f>IF(OR(C21="",'A — Scorecard Identity'!B15=""),"",'A — Scorecard Identity'!B15-C21)</f>
        <v/>
      </c>
      <c r="E21" s="124" t="str">
        <f t="shared" si="2"/>
        <v>BREACH</v>
      </c>
      <c r="F21" s="125">
        <v>90.0</v>
      </c>
      <c r="G21" s="78"/>
      <c r="H21" s="4"/>
      <c r="I21" s="4"/>
      <c r="J21" s="4"/>
      <c r="K21" s="4"/>
      <c r="L21" s="4"/>
      <c r="M21" s="4"/>
      <c r="N21" s="4"/>
      <c r="O21" s="4"/>
      <c r="P21" s="4"/>
      <c r="Q21" s="4"/>
      <c r="R21" s="4"/>
      <c r="S21" s="4"/>
      <c r="T21" s="4"/>
      <c r="U21" s="4"/>
      <c r="V21" s="4"/>
      <c r="W21" s="4"/>
      <c r="X21" s="4"/>
      <c r="Y21" s="4"/>
      <c r="Z21" s="4"/>
    </row>
    <row r="22" ht="24.0" customHeight="1">
      <c r="A22" s="34" t="s">
        <v>574</v>
      </c>
      <c r="B22" s="118"/>
      <c r="C22" s="118"/>
      <c r="D22" s="119" t="str">
        <f>IF(OR(C22="",'A — Scorecard Identity'!B15=""),"",'A — Scorecard Identity'!B15-C22)</f>
        <v/>
      </c>
      <c r="E22" s="120" t="str">
        <f t="shared" si="2"/>
        <v>BREACH</v>
      </c>
      <c r="F22" s="121">
        <v>90.0</v>
      </c>
      <c r="G22" s="76"/>
      <c r="H22" s="4"/>
      <c r="I22" s="4"/>
      <c r="J22" s="4"/>
      <c r="K22" s="4"/>
      <c r="L22" s="4"/>
      <c r="M22" s="4"/>
      <c r="N22" s="4"/>
      <c r="O22" s="4"/>
      <c r="P22" s="4"/>
      <c r="Q22" s="4"/>
      <c r="R22" s="4"/>
      <c r="S22" s="4"/>
      <c r="T22" s="4"/>
      <c r="U22" s="4"/>
      <c r="V22" s="4"/>
      <c r="W22" s="4"/>
      <c r="X22" s="4"/>
      <c r="Y22" s="4"/>
      <c r="Z22" s="4"/>
    </row>
    <row r="23" ht="24.0" customHeight="1">
      <c r="A23" s="126" t="s">
        <v>575</v>
      </c>
      <c r="B23" s="127"/>
      <c r="C23" s="128"/>
      <c r="D23" s="129" t="str">
        <f>IF(OR(C23="",'A — Scorecard Identity'!B15=""),"",'A — Scorecard Identity'!B15-C23)</f>
        <v/>
      </c>
      <c r="E23" s="130" t="str">
        <f t="shared" si="2"/>
        <v>BREACH</v>
      </c>
      <c r="F23" s="130">
        <v>90.0</v>
      </c>
      <c r="G23" s="131"/>
      <c r="H23" s="4"/>
      <c r="I23" s="4"/>
      <c r="J23" s="4"/>
      <c r="K23" s="4"/>
      <c r="L23" s="4"/>
      <c r="M23" s="4"/>
      <c r="N23" s="4"/>
      <c r="O23" s="4"/>
      <c r="P23" s="4"/>
      <c r="Q23" s="4"/>
      <c r="R23" s="4"/>
      <c r="S23" s="4"/>
      <c r="T23" s="4"/>
      <c r="U23" s="4"/>
      <c r="V23" s="4"/>
      <c r="W23" s="4"/>
      <c r="X23" s="4"/>
      <c r="Y23" s="4"/>
      <c r="Z23" s="4"/>
    </row>
    <row r="24" ht="24.0" customHeight="1">
      <c r="A24" s="34" t="s">
        <v>576</v>
      </c>
      <c r="B24" s="132"/>
      <c r="C24" s="133"/>
      <c r="D24" s="134" t="str">
        <f>IF(OR(C24="",'A — Scorecard Identity'!B15=""),"",'A — Scorecard Identity'!B15-C24)</f>
        <v/>
      </c>
      <c r="E24" s="135" t="str">
        <f t="shared" si="2"/>
        <v>BREACH</v>
      </c>
      <c r="F24" s="135">
        <v>90.0</v>
      </c>
      <c r="G24" s="136"/>
      <c r="H24" s="4"/>
      <c r="I24" s="4"/>
      <c r="J24" s="4"/>
      <c r="K24" s="4"/>
      <c r="L24" s="4"/>
      <c r="M24" s="4"/>
      <c r="N24" s="4"/>
      <c r="O24" s="4"/>
      <c r="P24" s="4"/>
      <c r="Q24" s="4"/>
      <c r="R24" s="4"/>
      <c r="S24" s="4"/>
      <c r="T24" s="4"/>
      <c r="U24" s="4"/>
      <c r="V24" s="4"/>
      <c r="W24" s="4"/>
      <c r="X24" s="4"/>
      <c r="Y24" s="4"/>
      <c r="Z24" s="4"/>
    </row>
    <row r="25" ht="24.0" customHeight="1">
      <c r="A25" s="137" t="s">
        <v>577</v>
      </c>
      <c r="B25" s="137"/>
      <c r="C25" s="137"/>
      <c r="D25" s="137"/>
      <c r="E25" s="137" t="str">
        <f>IF(COUNTIF(E20:E24,"PASS")=5,"PASS","BREACH")</f>
        <v>BREACH</v>
      </c>
      <c r="F25" s="138" t="s">
        <v>578</v>
      </c>
      <c r="G25" s="138"/>
      <c r="H25" s="4"/>
      <c r="I25" s="4"/>
      <c r="J25" s="4"/>
      <c r="K25" s="4"/>
      <c r="L25" s="4"/>
      <c r="M25" s="4"/>
      <c r="N25" s="4"/>
      <c r="O25" s="4"/>
      <c r="P25" s="4"/>
      <c r="Q25" s="4"/>
      <c r="R25" s="4"/>
      <c r="S25" s="4"/>
      <c r="T25" s="4"/>
      <c r="U25" s="4"/>
      <c r="V25" s="4"/>
      <c r="W25" s="4"/>
      <c r="X25" s="4"/>
      <c r="Y25" s="4"/>
      <c r="Z25" s="4"/>
    </row>
    <row r="26" ht="75.75" customHeight="1">
      <c r="A26" s="76" t="s">
        <v>579</v>
      </c>
      <c r="H26" s="4"/>
      <c r="I26" s="4"/>
      <c r="J26" s="4"/>
      <c r="K26" s="4"/>
      <c r="L26" s="4"/>
      <c r="M26" s="4"/>
      <c r="N26" s="4"/>
      <c r="O26" s="4"/>
      <c r="P26" s="4"/>
      <c r="Q26" s="4"/>
      <c r="R26" s="4"/>
      <c r="S26" s="4"/>
      <c r="T26" s="4"/>
      <c r="U26" s="4"/>
      <c r="V26" s="4"/>
      <c r="W26" s="4"/>
      <c r="X26" s="4"/>
      <c r="Y26" s="4"/>
      <c r="Z26" s="4"/>
    </row>
    <row r="27" ht="27.75" customHeight="1">
      <c r="A27" s="78" t="s">
        <v>580</v>
      </c>
      <c r="H27" s="4"/>
      <c r="I27" s="4"/>
      <c r="J27" s="4"/>
      <c r="K27" s="4"/>
      <c r="L27" s="4"/>
      <c r="M27" s="4"/>
      <c r="N27" s="4"/>
      <c r="O27" s="4"/>
      <c r="P27" s="4"/>
      <c r="Q27" s="4"/>
      <c r="R27" s="4"/>
      <c r="S27" s="4"/>
      <c r="T27" s="4"/>
      <c r="U27" s="4"/>
      <c r="V27" s="4"/>
      <c r="W27" s="4"/>
      <c r="X27" s="4"/>
      <c r="Y27" s="4"/>
      <c r="Z27" s="4"/>
    </row>
    <row r="28" ht="24.0" customHeight="1">
      <c r="A28" s="76"/>
      <c r="B28" s="139"/>
      <c r="C28" s="139"/>
      <c r="D28" s="76"/>
      <c r="E28" s="76"/>
      <c r="F28" s="4"/>
      <c r="G28" s="4"/>
      <c r="H28" s="4"/>
      <c r="I28" s="4"/>
      <c r="J28" s="4"/>
      <c r="K28" s="4"/>
      <c r="L28" s="4"/>
      <c r="M28" s="4"/>
      <c r="N28" s="4"/>
      <c r="O28" s="4"/>
      <c r="P28" s="4"/>
      <c r="Q28" s="4"/>
      <c r="R28" s="4"/>
      <c r="S28" s="4"/>
      <c r="T28" s="4"/>
      <c r="U28" s="4"/>
      <c r="V28" s="4"/>
      <c r="W28" s="4"/>
      <c r="X28" s="4"/>
      <c r="Y28" s="4"/>
      <c r="Z28" s="4"/>
    </row>
    <row r="29" ht="24.0" customHeight="1">
      <c r="A29" s="78"/>
      <c r="B29" s="78"/>
      <c r="C29" s="78"/>
      <c r="D29" s="78"/>
      <c r="E29" s="78"/>
      <c r="F29" s="4"/>
      <c r="G29" s="4"/>
      <c r="H29" s="4"/>
      <c r="I29" s="4"/>
      <c r="J29" s="4"/>
      <c r="K29" s="4"/>
      <c r="L29" s="4"/>
      <c r="M29" s="4"/>
      <c r="N29" s="4"/>
      <c r="O29" s="4"/>
      <c r="P29" s="4"/>
      <c r="Q29" s="4"/>
      <c r="R29" s="4"/>
      <c r="S29" s="4"/>
      <c r="T29" s="4"/>
      <c r="U29" s="4"/>
      <c r="V29" s="4"/>
      <c r="W29" s="4"/>
      <c r="X29" s="4"/>
      <c r="Y29" s="4"/>
      <c r="Z29" s="4"/>
    </row>
    <row r="30" ht="36.0" customHeight="1">
      <c r="A30" s="76"/>
      <c r="B30" s="76"/>
      <c r="C30" s="76"/>
      <c r="D30" s="76"/>
      <c r="E30" s="76"/>
      <c r="F30" s="4"/>
      <c r="G30" s="4"/>
      <c r="H30" s="4"/>
      <c r="I30" s="4"/>
      <c r="J30" s="4"/>
      <c r="K30" s="4"/>
      <c r="L30" s="4"/>
      <c r="M30" s="4"/>
      <c r="N30" s="4"/>
      <c r="O30" s="4"/>
      <c r="P30" s="4"/>
      <c r="Q30" s="4"/>
      <c r="R30" s="4"/>
      <c r="S30" s="4"/>
      <c r="T30" s="4"/>
      <c r="U30" s="4"/>
      <c r="V30" s="4"/>
      <c r="W30" s="4"/>
      <c r="X30" s="4"/>
      <c r="Y30" s="4"/>
      <c r="Z30" s="4"/>
    </row>
    <row r="31" ht="78.0" customHeight="1">
      <c r="A31" s="41"/>
      <c r="B31" s="41"/>
      <c r="C31" s="41"/>
      <c r="D31" s="41"/>
      <c r="E31" s="41"/>
      <c r="F31" s="41"/>
      <c r="G31" s="41"/>
      <c r="H31" s="4"/>
      <c r="I31" s="4"/>
      <c r="J31" s="4"/>
      <c r="K31" s="4"/>
      <c r="L31" s="4"/>
      <c r="M31" s="4"/>
      <c r="N31" s="4"/>
      <c r="O31" s="4"/>
      <c r="P31" s="4"/>
      <c r="Q31" s="4"/>
      <c r="R31" s="4"/>
      <c r="S31" s="4"/>
      <c r="T31" s="4"/>
      <c r="U31" s="4"/>
      <c r="V31" s="4"/>
      <c r="W31" s="4"/>
      <c r="X31" s="4"/>
      <c r="Y31" s="4"/>
      <c r="Z31" s="4"/>
    </row>
    <row r="32" ht="27.75" customHeight="1">
      <c r="A32" s="41"/>
      <c r="B32" s="41"/>
      <c r="C32" s="41"/>
      <c r="D32" s="41"/>
      <c r="E32" s="41"/>
      <c r="F32" s="41"/>
      <c r="G32" s="41"/>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
    <mergeCell ref="A1:G1"/>
    <mergeCell ref="A2:G2"/>
    <mergeCell ref="A4:G4"/>
    <mergeCell ref="A11:G11"/>
    <mergeCell ref="A18:G18"/>
    <mergeCell ref="A26:G26"/>
    <mergeCell ref="A27:G27"/>
  </mergeCells>
  <dataValidations>
    <dataValidation type="list" allowBlank="1" sqref="B20:B24">
      <formula1>"PASS,FAIL,MISSING"</formula1>
    </dataValidation>
    <dataValidation type="list" allowBlank="1" showErrorMessage="1" sqref="G6:G9">
      <formula1>"PASS,FAIL,N/A"</formula1>
    </dataValidation>
    <dataValidation type="list" allowBlank="1" sqref="E29:E30">
      <formula1>"PASS,BREACH,N/A"</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8.86"/>
    <col customWidth="1" min="2" max="2" width="35.0"/>
    <col customWidth="1" min="3" max="5" width="22.0"/>
    <col customWidth="1" min="6" max="7" width="20.0"/>
    <col customWidth="1" min="8" max="8" width="28.0"/>
    <col customWidth="1" min="9" max="9" width="8.71"/>
  </cols>
  <sheetData>
    <row r="1" ht="21.75" customHeight="1">
      <c r="A1" s="39" t="s">
        <v>581</v>
      </c>
      <c r="I1" s="1"/>
      <c r="J1" s="4"/>
      <c r="K1" s="4"/>
      <c r="L1" s="4"/>
      <c r="M1" s="4"/>
      <c r="N1" s="4"/>
      <c r="O1" s="4"/>
      <c r="P1" s="4"/>
      <c r="Q1" s="4"/>
      <c r="R1" s="4"/>
      <c r="S1" s="4"/>
      <c r="T1" s="4"/>
      <c r="U1" s="4"/>
      <c r="V1" s="4"/>
      <c r="W1" s="4"/>
      <c r="X1" s="4"/>
      <c r="Y1" s="4"/>
      <c r="Z1" s="4"/>
    </row>
    <row r="2" ht="31.5" customHeight="1">
      <c r="A2" s="54" t="s">
        <v>582</v>
      </c>
      <c r="I2" s="1"/>
      <c r="J2" s="4"/>
      <c r="K2" s="4"/>
      <c r="L2" s="4"/>
      <c r="M2" s="4"/>
      <c r="N2" s="4"/>
      <c r="O2" s="4"/>
      <c r="P2" s="4"/>
      <c r="Q2" s="4"/>
      <c r="R2" s="4"/>
      <c r="S2" s="4"/>
      <c r="T2" s="4"/>
      <c r="U2" s="4"/>
      <c r="V2" s="4"/>
      <c r="W2" s="4"/>
      <c r="X2" s="4"/>
      <c r="Y2" s="4"/>
      <c r="Z2" s="4"/>
    </row>
    <row r="3">
      <c r="A3" s="2"/>
      <c r="B3" s="2"/>
      <c r="C3" s="2"/>
      <c r="D3" s="2"/>
      <c r="E3" s="2"/>
      <c r="F3" s="2"/>
      <c r="G3" s="2"/>
      <c r="H3" s="2"/>
      <c r="I3" s="1"/>
      <c r="J3" s="4"/>
      <c r="K3" s="4"/>
      <c r="L3" s="4"/>
      <c r="M3" s="4"/>
      <c r="N3" s="4"/>
      <c r="O3" s="4"/>
      <c r="P3" s="4"/>
      <c r="Q3" s="4"/>
      <c r="R3" s="4"/>
      <c r="S3" s="4"/>
      <c r="T3" s="4"/>
      <c r="U3" s="4"/>
      <c r="V3" s="4"/>
      <c r="W3" s="4"/>
      <c r="X3" s="4"/>
      <c r="Y3" s="4"/>
      <c r="Z3" s="4"/>
    </row>
    <row r="4" ht="21.75" customHeight="1">
      <c r="A4" s="44" t="s">
        <v>583</v>
      </c>
      <c r="I4" s="1"/>
      <c r="J4" s="4"/>
      <c r="K4" s="4"/>
      <c r="L4" s="4"/>
      <c r="M4" s="4"/>
      <c r="N4" s="4"/>
      <c r="O4" s="4"/>
      <c r="P4" s="4"/>
      <c r="Q4" s="4"/>
      <c r="R4" s="4"/>
      <c r="S4" s="4"/>
      <c r="T4" s="4"/>
      <c r="U4" s="4"/>
      <c r="V4" s="4"/>
      <c r="W4" s="4"/>
      <c r="X4" s="4"/>
      <c r="Y4" s="4"/>
      <c r="Z4" s="4"/>
    </row>
    <row r="5" ht="30.0" customHeight="1">
      <c r="A5" s="9"/>
      <c r="B5" s="9" t="s">
        <v>584</v>
      </c>
      <c r="C5" s="9" t="s">
        <v>585</v>
      </c>
      <c r="D5" s="9" t="s">
        <v>586</v>
      </c>
      <c r="E5" s="9" t="s">
        <v>587</v>
      </c>
      <c r="F5" s="9" t="s">
        <v>588</v>
      </c>
      <c r="G5" s="9" t="s">
        <v>589</v>
      </c>
      <c r="H5" s="2" t="s">
        <v>590</v>
      </c>
      <c r="I5" s="1"/>
      <c r="J5" s="4"/>
      <c r="K5" s="4"/>
      <c r="L5" s="4"/>
      <c r="M5" s="4"/>
      <c r="N5" s="4"/>
      <c r="O5" s="4"/>
      <c r="P5" s="4"/>
      <c r="Q5" s="4"/>
      <c r="R5" s="4"/>
      <c r="S5" s="4"/>
      <c r="T5" s="4"/>
      <c r="U5" s="4"/>
      <c r="V5" s="4"/>
      <c r="W5" s="4"/>
      <c r="X5" s="4"/>
      <c r="Y5" s="4"/>
      <c r="Z5" s="4"/>
    </row>
    <row r="6" ht="21.75" customHeight="1">
      <c r="A6" s="2"/>
      <c r="B6" s="51" t="s">
        <v>591</v>
      </c>
      <c r="C6" s="52"/>
      <c r="D6" s="52"/>
      <c r="E6" s="52"/>
      <c r="F6" s="141" t="str">
        <f t="shared" ref="F6:F14" si="1">IF(AND(ISNUMBER(C6),ISNUMBER(D6)),C6-D6,"")</f>
        <v/>
      </c>
      <c r="G6" s="52" t="str">
        <f t="shared" ref="G6:G12" si="2">IF(AND(ISNUMBER(C6),ISNUMBER(E6)),C6-E6,"")</f>
        <v/>
      </c>
      <c r="H6" s="2" t="s">
        <v>593</v>
      </c>
      <c r="I6" s="1"/>
      <c r="J6" s="4"/>
      <c r="K6" s="4"/>
      <c r="L6" s="4"/>
      <c r="M6" s="4"/>
      <c r="N6" s="4"/>
      <c r="O6" s="4"/>
      <c r="P6" s="4"/>
      <c r="Q6" s="4"/>
      <c r="R6" s="4"/>
      <c r="S6" s="4"/>
      <c r="T6" s="4"/>
      <c r="U6" s="4"/>
      <c r="V6" s="4"/>
      <c r="W6" s="4"/>
      <c r="X6" s="4"/>
      <c r="Y6" s="4"/>
      <c r="Z6" s="4"/>
    </row>
    <row r="7" ht="21.75" customHeight="1">
      <c r="A7" s="2"/>
      <c r="B7" s="56" t="s">
        <v>595</v>
      </c>
      <c r="C7" s="57"/>
      <c r="D7" s="57"/>
      <c r="E7" s="57"/>
      <c r="F7" s="142" t="str">
        <f t="shared" si="1"/>
        <v/>
      </c>
      <c r="G7" s="57" t="str">
        <f t="shared" si="2"/>
        <v/>
      </c>
      <c r="H7" s="2" t="s">
        <v>593</v>
      </c>
      <c r="I7" s="1"/>
      <c r="J7" s="4"/>
      <c r="K7" s="4"/>
      <c r="L7" s="4"/>
      <c r="M7" s="4"/>
      <c r="N7" s="4"/>
      <c r="O7" s="4"/>
      <c r="P7" s="4"/>
      <c r="Q7" s="4"/>
      <c r="R7" s="4"/>
      <c r="S7" s="4"/>
      <c r="T7" s="4"/>
      <c r="U7" s="4"/>
      <c r="V7" s="4"/>
      <c r="W7" s="4"/>
      <c r="X7" s="4"/>
      <c r="Y7" s="4"/>
      <c r="Z7" s="4"/>
    </row>
    <row r="8" ht="21.75" customHeight="1">
      <c r="A8" s="2"/>
      <c r="B8" s="51" t="s">
        <v>598</v>
      </c>
      <c r="C8" s="52"/>
      <c r="D8" s="52"/>
      <c r="E8" s="52"/>
      <c r="F8" s="141" t="str">
        <f t="shared" si="1"/>
        <v/>
      </c>
      <c r="G8" s="52" t="str">
        <f t="shared" si="2"/>
        <v/>
      </c>
      <c r="H8" s="2" t="s">
        <v>593</v>
      </c>
      <c r="I8" s="1"/>
      <c r="J8" s="4"/>
      <c r="K8" s="4"/>
      <c r="L8" s="4"/>
      <c r="M8" s="4"/>
      <c r="N8" s="4"/>
      <c r="O8" s="4"/>
      <c r="P8" s="4"/>
      <c r="Q8" s="4"/>
      <c r="R8" s="4"/>
      <c r="S8" s="4"/>
      <c r="T8" s="4"/>
      <c r="U8" s="4"/>
      <c r="V8" s="4"/>
      <c r="W8" s="4"/>
      <c r="X8" s="4"/>
      <c r="Y8" s="4"/>
      <c r="Z8" s="4"/>
    </row>
    <row r="9" ht="21.75" customHeight="1">
      <c r="A9" s="2"/>
      <c r="B9" s="56" t="s">
        <v>602</v>
      </c>
      <c r="C9" s="57"/>
      <c r="D9" s="57"/>
      <c r="E9" s="57"/>
      <c r="F9" s="142" t="str">
        <f t="shared" si="1"/>
        <v/>
      </c>
      <c r="G9" s="57" t="str">
        <f t="shared" si="2"/>
        <v/>
      </c>
      <c r="H9" s="2" t="s">
        <v>593</v>
      </c>
      <c r="I9" s="1"/>
      <c r="J9" s="4"/>
      <c r="K9" s="4"/>
      <c r="L9" s="4"/>
      <c r="M9" s="4"/>
      <c r="N9" s="4"/>
      <c r="O9" s="4"/>
      <c r="P9" s="4"/>
      <c r="Q9" s="4"/>
      <c r="R9" s="4"/>
      <c r="S9" s="4"/>
      <c r="T9" s="4"/>
      <c r="U9" s="4"/>
      <c r="V9" s="4"/>
      <c r="W9" s="4"/>
      <c r="X9" s="4"/>
      <c r="Y9" s="4"/>
      <c r="Z9" s="4"/>
    </row>
    <row r="10" ht="21.75" customHeight="1">
      <c r="A10" s="2"/>
      <c r="B10" s="51" t="s">
        <v>607</v>
      </c>
      <c r="C10" s="52"/>
      <c r="D10" s="52"/>
      <c r="E10" s="52"/>
      <c r="F10" s="141" t="str">
        <f t="shared" si="1"/>
        <v/>
      </c>
      <c r="G10" s="52" t="str">
        <f t="shared" si="2"/>
        <v/>
      </c>
      <c r="H10" s="2" t="s">
        <v>593</v>
      </c>
      <c r="I10" s="1"/>
      <c r="J10" s="4"/>
      <c r="K10" s="4"/>
      <c r="L10" s="4"/>
      <c r="M10" s="4"/>
      <c r="N10" s="4"/>
      <c r="O10" s="4"/>
      <c r="P10" s="4"/>
      <c r="Q10" s="4"/>
      <c r="R10" s="4"/>
      <c r="S10" s="4"/>
      <c r="T10" s="4"/>
      <c r="U10" s="4"/>
      <c r="V10" s="4"/>
      <c r="W10" s="4"/>
      <c r="X10" s="4"/>
      <c r="Y10" s="4"/>
      <c r="Z10" s="4"/>
    </row>
    <row r="11" ht="21.75" customHeight="1">
      <c r="A11" s="2"/>
      <c r="B11" s="56" t="s">
        <v>612</v>
      </c>
      <c r="C11" s="57"/>
      <c r="D11" s="57"/>
      <c r="E11" s="57"/>
      <c r="F11" s="142" t="str">
        <f t="shared" si="1"/>
        <v/>
      </c>
      <c r="G11" s="57" t="str">
        <f t="shared" si="2"/>
        <v/>
      </c>
      <c r="H11" s="2" t="s">
        <v>593</v>
      </c>
      <c r="I11" s="1"/>
      <c r="J11" s="4"/>
      <c r="K11" s="4"/>
      <c r="L11" s="4"/>
      <c r="M11" s="4"/>
      <c r="N11" s="4"/>
      <c r="O11" s="4"/>
      <c r="P11" s="4"/>
      <c r="Q11" s="4"/>
      <c r="R11" s="4"/>
      <c r="S11" s="4"/>
      <c r="T11" s="4"/>
      <c r="U11" s="4"/>
      <c r="V11" s="4"/>
      <c r="W11" s="4"/>
      <c r="X11" s="4"/>
      <c r="Y11" s="4"/>
      <c r="Z11" s="4"/>
    </row>
    <row r="12" ht="21.75" customHeight="1">
      <c r="A12" s="2"/>
      <c r="B12" s="51" t="s">
        <v>614</v>
      </c>
      <c r="C12" s="52"/>
      <c r="D12" s="52"/>
      <c r="E12" s="52"/>
      <c r="F12" s="141" t="str">
        <f t="shared" si="1"/>
        <v/>
      </c>
      <c r="G12" s="52" t="str">
        <f t="shared" si="2"/>
        <v/>
      </c>
      <c r="H12" s="2" t="str">
        <f>IF(ISNUMBER(C12),"Tier: "&amp;IF(C12&gt;=5,"Optimized",IF(C12&gt;=4,"Managed",IF(C12&gt;=3,"Moderate",IF(C12&gt;=2,"High","Critical")))),"")</f>
        <v/>
      </c>
      <c r="I12" s="1"/>
      <c r="J12" s="4"/>
      <c r="K12" s="4"/>
      <c r="L12" s="4"/>
      <c r="M12" s="4"/>
      <c r="N12" s="4"/>
      <c r="O12" s="4"/>
      <c r="P12" s="4"/>
      <c r="Q12" s="4"/>
      <c r="R12" s="4"/>
      <c r="S12" s="4"/>
      <c r="T12" s="4"/>
      <c r="U12" s="4"/>
      <c r="V12" s="4"/>
      <c r="W12" s="4"/>
      <c r="X12" s="4"/>
      <c r="Y12" s="4"/>
      <c r="Z12" s="4"/>
    </row>
    <row r="13" ht="21.75" customHeight="1">
      <c r="A13" s="2"/>
      <c r="B13" s="56"/>
      <c r="C13" s="57"/>
      <c r="D13" s="57"/>
      <c r="E13" s="57"/>
      <c r="F13" s="142" t="str">
        <f t="shared" si="1"/>
        <v/>
      </c>
      <c r="G13" s="57"/>
      <c r="H13" s="2"/>
      <c r="I13" s="1"/>
      <c r="J13" s="4"/>
      <c r="K13" s="4"/>
      <c r="L13" s="4"/>
      <c r="M13" s="4"/>
      <c r="N13" s="4"/>
      <c r="O13" s="4"/>
      <c r="P13" s="4"/>
      <c r="Q13" s="4"/>
      <c r="R13" s="4"/>
      <c r="S13" s="4"/>
      <c r="T13" s="4"/>
      <c r="U13" s="4"/>
      <c r="V13" s="4"/>
      <c r="W13" s="4"/>
      <c r="X13" s="4"/>
      <c r="Y13" s="4"/>
      <c r="Z13" s="4"/>
    </row>
    <row r="14" ht="21.75" customHeight="1">
      <c r="A14" s="2"/>
      <c r="B14" s="60"/>
      <c r="C14" s="52"/>
      <c r="D14" s="52"/>
      <c r="E14" s="52"/>
      <c r="F14" s="141" t="str">
        <f t="shared" si="1"/>
        <v/>
      </c>
      <c r="G14" s="52"/>
      <c r="H14" s="2"/>
      <c r="I14" s="1"/>
      <c r="J14" s="4"/>
      <c r="K14" s="4"/>
      <c r="L14" s="4"/>
      <c r="M14" s="4"/>
      <c r="N14" s="4"/>
      <c r="O14" s="4"/>
      <c r="P14" s="4"/>
      <c r="Q14" s="4"/>
      <c r="R14" s="4"/>
      <c r="S14" s="4"/>
      <c r="T14" s="4"/>
      <c r="U14" s="4"/>
      <c r="V14" s="4"/>
      <c r="W14" s="4"/>
      <c r="X14" s="4"/>
      <c r="Y14" s="4"/>
      <c r="Z14" s="4"/>
    </row>
    <row r="15">
      <c r="A15" s="2"/>
      <c r="B15" s="2" t="s">
        <v>626</v>
      </c>
      <c r="C15" s="2" t="s">
        <v>627</v>
      </c>
      <c r="D15" s="2" t="s">
        <v>628</v>
      </c>
      <c r="E15" s="2" t="s">
        <v>629</v>
      </c>
      <c r="F15" s="2" t="s">
        <v>630</v>
      </c>
      <c r="G15" s="2" t="s">
        <v>631</v>
      </c>
      <c r="H15" s="2" t="s">
        <v>632</v>
      </c>
      <c r="I15" s="1"/>
      <c r="J15" s="4"/>
      <c r="K15" s="4"/>
      <c r="L15" s="4"/>
      <c r="M15" s="4"/>
      <c r="N15" s="4"/>
      <c r="O15" s="4"/>
      <c r="P15" s="4"/>
      <c r="Q15" s="4"/>
      <c r="R15" s="4"/>
      <c r="S15" s="4"/>
      <c r="T15" s="4"/>
      <c r="U15" s="4"/>
      <c r="V15" s="4"/>
      <c r="W15" s="4"/>
      <c r="X15" s="4"/>
      <c r="Y15" s="4"/>
      <c r="Z15" s="4"/>
    </row>
    <row r="16" ht="9.75" customHeight="1">
      <c r="A16" s="2"/>
      <c r="B16" s="2"/>
      <c r="C16" s="2"/>
      <c r="D16" s="2"/>
      <c r="E16" s="2"/>
      <c r="F16" s="2" t="str">
        <f>COUNT(C6:C11)&amp;" of 6"</f>
        <v>0 of 6</v>
      </c>
      <c r="G16" s="2"/>
      <c r="H16" s="2" t="str">
        <f>IF(ISNUMBER(C12),IF(C12&gt;=5,"Optimized",IF(C12&gt;=4,"Managed",IF(C12&gt;=3,"Moderate",IF(C12&gt;=2,"High","Critical")))),"")</f>
        <v/>
      </c>
      <c r="I16" s="1"/>
      <c r="J16" s="4"/>
      <c r="K16" s="4"/>
      <c r="L16" s="4"/>
      <c r="M16" s="4"/>
      <c r="N16" s="4"/>
      <c r="O16" s="4"/>
      <c r="P16" s="4"/>
      <c r="Q16" s="4"/>
      <c r="R16" s="4"/>
      <c r="S16" s="4"/>
      <c r="T16" s="4"/>
      <c r="U16" s="4"/>
      <c r="V16" s="4"/>
      <c r="W16" s="4"/>
      <c r="X16" s="4"/>
      <c r="Y16" s="4"/>
      <c r="Z16" s="4"/>
    </row>
    <row r="17" ht="21.75" customHeight="1">
      <c r="A17" s="44" t="s">
        <v>638</v>
      </c>
      <c r="I17" s="1"/>
      <c r="J17" s="4"/>
      <c r="K17" s="4"/>
      <c r="L17" s="4"/>
      <c r="M17" s="4"/>
      <c r="N17" s="4"/>
      <c r="O17" s="4"/>
      <c r="P17" s="4"/>
      <c r="Q17" s="4"/>
      <c r="R17" s="4"/>
      <c r="S17" s="4"/>
      <c r="T17" s="4"/>
      <c r="U17" s="4"/>
      <c r="V17" s="4"/>
      <c r="W17" s="4"/>
      <c r="X17" s="4"/>
      <c r="Y17" s="4"/>
      <c r="Z17" s="4"/>
    </row>
    <row r="18" ht="30.0" customHeight="1">
      <c r="A18" s="9"/>
      <c r="B18" s="9" t="s">
        <v>584</v>
      </c>
      <c r="C18" s="9" t="s">
        <v>643</v>
      </c>
      <c r="D18" s="9" t="s">
        <v>644</v>
      </c>
      <c r="E18" s="9" t="s">
        <v>645</v>
      </c>
      <c r="F18" s="9" t="s">
        <v>646</v>
      </c>
      <c r="G18" s="9" t="s">
        <v>647</v>
      </c>
      <c r="H18" s="2"/>
      <c r="I18" s="1"/>
      <c r="J18" s="4"/>
      <c r="K18" s="4"/>
      <c r="L18" s="4"/>
      <c r="M18" s="4"/>
      <c r="N18" s="4"/>
      <c r="O18" s="4"/>
      <c r="P18" s="4"/>
      <c r="Q18" s="4"/>
      <c r="R18" s="4"/>
      <c r="S18" s="4"/>
      <c r="T18" s="4"/>
      <c r="U18" s="4"/>
      <c r="V18" s="4"/>
      <c r="W18" s="4"/>
      <c r="X18" s="4"/>
      <c r="Y18" s="4"/>
      <c r="Z18" s="4"/>
    </row>
    <row r="19" ht="21.75" customHeight="1">
      <c r="A19" s="2"/>
      <c r="B19" s="51" t="s">
        <v>591</v>
      </c>
      <c r="C19" s="52"/>
      <c r="D19" s="52"/>
      <c r="E19" s="52"/>
      <c r="F19" s="52"/>
      <c r="G19" s="52" t="str">
        <f t="shared" ref="G19:G25" si="3">IF(AND(ISNUMBER(F19),ISNUMBER(E19)),IF(F19&gt;E19,"Improving",IF(F19&lt;E19,"Degrading","Stable")),"")</f>
        <v/>
      </c>
      <c r="H19" s="2"/>
      <c r="I19" s="1"/>
      <c r="J19" s="4"/>
      <c r="K19" s="4"/>
      <c r="L19" s="4"/>
      <c r="M19" s="4"/>
      <c r="N19" s="4"/>
      <c r="O19" s="4"/>
      <c r="P19" s="4"/>
      <c r="Q19" s="4"/>
      <c r="R19" s="4"/>
      <c r="S19" s="4"/>
      <c r="T19" s="4"/>
      <c r="U19" s="4"/>
      <c r="V19" s="4"/>
      <c r="W19" s="4"/>
      <c r="X19" s="4"/>
      <c r="Y19" s="4"/>
      <c r="Z19" s="4"/>
    </row>
    <row r="20" ht="21.75" customHeight="1">
      <c r="A20" s="2"/>
      <c r="B20" s="56" t="s">
        <v>595</v>
      </c>
      <c r="C20" s="57"/>
      <c r="D20" s="57"/>
      <c r="E20" s="57"/>
      <c r="F20" s="57"/>
      <c r="G20" s="57" t="str">
        <f t="shared" si="3"/>
        <v/>
      </c>
      <c r="H20" s="2"/>
      <c r="I20" s="1"/>
      <c r="J20" s="4"/>
      <c r="K20" s="4"/>
      <c r="L20" s="4"/>
      <c r="M20" s="4"/>
      <c r="N20" s="4"/>
      <c r="O20" s="4"/>
      <c r="P20" s="4"/>
      <c r="Q20" s="4"/>
      <c r="R20" s="4"/>
      <c r="S20" s="4"/>
      <c r="T20" s="4"/>
      <c r="U20" s="4"/>
      <c r="V20" s="4"/>
      <c r="W20" s="4"/>
      <c r="X20" s="4"/>
      <c r="Y20" s="4"/>
      <c r="Z20" s="4"/>
    </row>
    <row r="21" ht="21.75" customHeight="1">
      <c r="A21" s="2"/>
      <c r="B21" s="51" t="s">
        <v>598</v>
      </c>
      <c r="C21" s="52"/>
      <c r="D21" s="52"/>
      <c r="E21" s="52"/>
      <c r="F21" s="52"/>
      <c r="G21" s="52" t="str">
        <f t="shared" si="3"/>
        <v/>
      </c>
      <c r="H21" s="2"/>
      <c r="I21" s="1"/>
      <c r="J21" s="4"/>
      <c r="K21" s="4"/>
      <c r="L21" s="4"/>
      <c r="M21" s="4"/>
      <c r="N21" s="4"/>
      <c r="O21" s="4"/>
      <c r="P21" s="4"/>
      <c r="Q21" s="4"/>
      <c r="R21" s="4"/>
      <c r="S21" s="4"/>
      <c r="T21" s="4"/>
      <c r="U21" s="4"/>
      <c r="V21" s="4"/>
      <c r="W21" s="4"/>
      <c r="X21" s="4"/>
      <c r="Y21" s="4"/>
      <c r="Z21" s="4"/>
    </row>
    <row r="22" ht="21.75" customHeight="1">
      <c r="A22" s="2"/>
      <c r="B22" s="56" t="s">
        <v>602</v>
      </c>
      <c r="C22" s="57"/>
      <c r="D22" s="57"/>
      <c r="E22" s="57"/>
      <c r="F22" s="57"/>
      <c r="G22" s="57" t="str">
        <f t="shared" si="3"/>
        <v/>
      </c>
      <c r="H22" s="2"/>
      <c r="I22" s="1"/>
      <c r="J22" s="4"/>
      <c r="K22" s="4"/>
      <c r="L22" s="4"/>
      <c r="M22" s="4"/>
      <c r="N22" s="4"/>
      <c r="O22" s="4"/>
      <c r="P22" s="4"/>
      <c r="Q22" s="4"/>
      <c r="R22" s="4"/>
      <c r="S22" s="4"/>
      <c r="T22" s="4"/>
      <c r="U22" s="4"/>
      <c r="V22" s="4"/>
      <c r="W22" s="4"/>
      <c r="X22" s="4"/>
      <c r="Y22" s="4"/>
      <c r="Z22" s="4"/>
    </row>
    <row r="23" ht="21.75" customHeight="1">
      <c r="A23" s="2"/>
      <c r="B23" s="51" t="s">
        <v>607</v>
      </c>
      <c r="C23" s="52"/>
      <c r="D23" s="52"/>
      <c r="E23" s="52"/>
      <c r="F23" s="52"/>
      <c r="G23" s="52" t="str">
        <f t="shared" si="3"/>
        <v/>
      </c>
      <c r="H23" s="2"/>
      <c r="I23" s="1"/>
      <c r="J23" s="4"/>
      <c r="K23" s="4"/>
      <c r="L23" s="4"/>
      <c r="M23" s="4"/>
      <c r="N23" s="4"/>
      <c r="O23" s="4"/>
      <c r="P23" s="4"/>
      <c r="Q23" s="4"/>
      <c r="R23" s="4"/>
      <c r="S23" s="4"/>
      <c r="T23" s="4"/>
      <c r="U23" s="4"/>
      <c r="V23" s="4"/>
      <c r="W23" s="4"/>
      <c r="X23" s="4"/>
      <c r="Y23" s="4"/>
      <c r="Z23" s="4"/>
    </row>
    <row r="24" ht="21.75" customHeight="1">
      <c r="A24" s="2"/>
      <c r="B24" s="56" t="s">
        <v>612</v>
      </c>
      <c r="C24" s="57"/>
      <c r="D24" s="57"/>
      <c r="E24" s="57"/>
      <c r="F24" s="57"/>
      <c r="G24" s="57" t="str">
        <f t="shared" si="3"/>
        <v/>
      </c>
      <c r="H24" s="2"/>
      <c r="I24" s="1"/>
      <c r="J24" s="4"/>
      <c r="K24" s="4"/>
      <c r="L24" s="4"/>
      <c r="M24" s="4"/>
      <c r="N24" s="4"/>
      <c r="O24" s="4"/>
      <c r="P24" s="4"/>
      <c r="Q24" s="4"/>
      <c r="R24" s="4"/>
      <c r="S24" s="4"/>
      <c r="T24" s="4"/>
      <c r="U24" s="4"/>
      <c r="V24" s="4"/>
      <c r="W24" s="4"/>
      <c r="X24" s="4"/>
      <c r="Y24" s="4"/>
      <c r="Z24" s="4"/>
    </row>
    <row r="25" ht="21.75" customHeight="1">
      <c r="A25" s="2"/>
      <c r="B25" s="51" t="s">
        <v>614</v>
      </c>
      <c r="C25" s="52"/>
      <c r="D25" s="52"/>
      <c r="E25" s="52"/>
      <c r="F25" s="52"/>
      <c r="G25" s="52" t="str">
        <f t="shared" si="3"/>
        <v/>
      </c>
      <c r="H25" s="2"/>
      <c r="I25" s="1"/>
      <c r="J25" s="4"/>
      <c r="K25" s="4"/>
      <c r="L25" s="4"/>
      <c r="M25" s="4"/>
      <c r="N25" s="4"/>
      <c r="O25" s="4"/>
      <c r="P25" s="4"/>
      <c r="Q25" s="4"/>
      <c r="R25" s="4"/>
      <c r="S25" s="4"/>
      <c r="T25" s="4"/>
      <c r="U25" s="4"/>
      <c r="V25" s="4"/>
      <c r="W25" s="4"/>
      <c r="X25" s="4"/>
      <c r="Y25" s="4"/>
      <c r="Z25" s="4"/>
    </row>
    <row r="26" ht="21.75" customHeight="1">
      <c r="A26" s="2"/>
      <c r="B26" s="56"/>
      <c r="C26" s="57"/>
      <c r="D26" s="57"/>
      <c r="E26" s="57"/>
      <c r="F26" s="57"/>
      <c r="G26" s="57"/>
      <c r="H26" s="2"/>
      <c r="I26" s="1"/>
      <c r="J26" s="4"/>
      <c r="K26" s="4"/>
      <c r="L26" s="4"/>
      <c r="M26" s="4"/>
      <c r="N26" s="4"/>
      <c r="O26" s="4"/>
      <c r="P26" s="4"/>
      <c r="Q26" s="4"/>
      <c r="R26" s="4"/>
      <c r="S26" s="4"/>
      <c r="T26" s="4"/>
      <c r="U26" s="4"/>
      <c r="V26" s="4"/>
      <c r="W26" s="4"/>
      <c r="X26" s="4"/>
      <c r="Y26" s="4"/>
      <c r="Z26" s="4"/>
    </row>
    <row r="27" ht="21.75" customHeight="1">
      <c r="A27" s="2"/>
      <c r="B27" s="51"/>
      <c r="C27" s="52"/>
      <c r="D27" s="52"/>
      <c r="E27" s="52"/>
      <c r="F27" s="52"/>
      <c r="G27" s="52"/>
      <c r="H27" s="2"/>
      <c r="I27" s="1"/>
      <c r="J27" s="4"/>
      <c r="K27" s="4"/>
      <c r="L27" s="4"/>
      <c r="M27" s="4"/>
      <c r="N27" s="4"/>
      <c r="O27" s="4"/>
      <c r="P27" s="4"/>
      <c r="Q27" s="4"/>
      <c r="R27" s="4"/>
      <c r="S27" s="4"/>
      <c r="T27" s="4"/>
      <c r="U27" s="4"/>
      <c r="V27" s="4"/>
      <c r="W27" s="4"/>
      <c r="X27" s="4"/>
      <c r="Y27" s="4"/>
      <c r="Z27" s="4"/>
    </row>
    <row r="28" ht="15.75" customHeight="1">
      <c r="A28" s="2"/>
      <c r="B28" s="2"/>
      <c r="C28" s="2"/>
      <c r="D28" s="2"/>
      <c r="E28" s="2"/>
      <c r="F28" s="2"/>
      <c r="G28" s="2"/>
      <c r="H28" s="2"/>
      <c r="I28" s="1"/>
      <c r="J28" s="4"/>
      <c r="K28" s="4"/>
      <c r="L28" s="4"/>
      <c r="M28" s="4"/>
      <c r="N28" s="4"/>
      <c r="O28" s="4"/>
      <c r="P28" s="4"/>
      <c r="Q28" s="4"/>
      <c r="R28" s="4"/>
      <c r="S28" s="4"/>
      <c r="T28" s="4"/>
      <c r="U28" s="4"/>
      <c r="V28" s="4"/>
      <c r="W28" s="4"/>
      <c r="X28" s="4"/>
      <c r="Y28" s="4"/>
      <c r="Z28" s="4"/>
    </row>
    <row r="29" ht="9.75" customHeight="1">
      <c r="A29" s="2"/>
      <c r="B29" s="2"/>
      <c r="C29" s="2"/>
      <c r="D29" s="2"/>
      <c r="E29" s="2"/>
      <c r="F29" s="2"/>
      <c r="G29" s="2"/>
      <c r="H29" s="2"/>
      <c r="I29" s="1"/>
      <c r="J29" s="4"/>
      <c r="K29" s="4"/>
      <c r="L29" s="4"/>
      <c r="M29" s="4"/>
      <c r="N29" s="4"/>
      <c r="O29" s="4"/>
      <c r="P29" s="4"/>
      <c r="Q29" s="4"/>
      <c r="R29" s="4"/>
      <c r="S29" s="4"/>
      <c r="T29" s="4"/>
      <c r="U29" s="4"/>
      <c r="V29" s="4"/>
      <c r="W29" s="4"/>
      <c r="X29" s="4"/>
      <c r="Y29" s="4"/>
      <c r="Z29" s="4"/>
    </row>
    <row r="30" ht="21.75" customHeight="1">
      <c r="A30" s="44" t="s">
        <v>677</v>
      </c>
      <c r="I30" s="1"/>
      <c r="J30" s="4"/>
      <c r="K30" s="4"/>
      <c r="L30" s="4"/>
      <c r="M30" s="4"/>
      <c r="N30" s="4"/>
      <c r="O30" s="4"/>
      <c r="P30" s="4"/>
      <c r="Q30" s="4"/>
      <c r="R30" s="4"/>
      <c r="S30" s="4"/>
      <c r="T30" s="4"/>
      <c r="U30" s="4"/>
      <c r="V30" s="4"/>
      <c r="W30" s="4"/>
      <c r="X30" s="4"/>
      <c r="Y30" s="4"/>
      <c r="Z30" s="4"/>
    </row>
    <row r="31" ht="31.5" customHeight="1">
      <c r="A31" s="45" t="s">
        <v>681</v>
      </c>
      <c r="I31" s="1"/>
      <c r="J31" s="4"/>
      <c r="K31" s="4"/>
      <c r="L31" s="4"/>
      <c r="M31" s="4"/>
      <c r="N31" s="4"/>
      <c r="O31" s="4"/>
      <c r="P31" s="4"/>
      <c r="Q31" s="4"/>
      <c r="R31" s="4"/>
      <c r="S31" s="4"/>
      <c r="T31" s="4"/>
      <c r="U31" s="4"/>
      <c r="V31" s="4"/>
      <c r="W31" s="4"/>
      <c r="X31" s="4"/>
      <c r="Y31" s="4"/>
      <c r="Z31" s="4"/>
    </row>
    <row r="32" ht="30.0" customHeight="1">
      <c r="A32" s="9"/>
      <c r="B32" s="9" t="s">
        <v>687</v>
      </c>
      <c r="C32" s="9" t="s">
        <v>688</v>
      </c>
      <c r="D32" s="9" t="s">
        <v>689</v>
      </c>
      <c r="E32" s="2" t="s">
        <v>690</v>
      </c>
      <c r="F32" s="2"/>
      <c r="G32" s="2"/>
      <c r="H32" s="2"/>
      <c r="I32" s="1"/>
      <c r="J32" s="4"/>
      <c r="K32" s="4"/>
      <c r="L32" s="4"/>
      <c r="M32" s="4"/>
      <c r="N32" s="4"/>
      <c r="O32" s="4"/>
      <c r="P32" s="4"/>
      <c r="Q32" s="4"/>
      <c r="R32" s="4"/>
      <c r="S32" s="4"/>
      <c r="T32" s="4"/>
      <c r="U32" s="4"/>
      <c r="V32" s="4"/>
      <c r="W32" s="4"/>
      <c r="X32" s="4"/>
      <c r="Y32" s="4"/>
      <c r="Z32" s="4"/>
    </row>
    <row r="33" ht="31.5" customHeight="1">
      <c r="A33" s="12"/>
      <c r="B33" s="12" t="s">
        <v>694</v>
      </c>
      <c r="C33" s="12"/>
      <c r="D33" s="12"/>
      <c r="E33" s="2"/>
      <c r="F33" s="2"/>
      <c r="G33" s="2"/>
      <c r="H33" s="2"/>
      <c r="I33" s="1"/>
      <c r="J33" s="4"/>
      <c r="K33" s="4"/>
      <c r="L33" s="4"/>
      <c r="M33" s="4"/>
      <c r="N33" s="4"/>
      <c r="O33" s="4"/>
      <c r="P33" s="4"/>
      <c r="Q33" s="4"/>
      <c r="R33" s="4"/>
      <c r="S33" s="4"/>
      <c r="T33" s="4"/>
      <c r="U33" s="4"/>
      <c r="V33" s="4"/>
      <c r="W33" s="4"/>
      <c r="X33" s="4"/>
      <c r="Y33" s="4"/>
      <c r="Z33" s="4"/>
    </row>
    <row r="34" ht="30.0" customHeight="1">
      <c r="A34" s="16"/>
      <c r="B34" s="16" t="s">
        <v>696</v>
      </c>
      <c r="C34" s="16"/>
      <c r="D34" s="16"/>
      <c r="E34" s="2"/>
      <c r="F34" s="2"/>
      <c r="G34" s="2"/>
      <c r="H34" s="2"/>
      <c r="I34" s="1"/>
      <c r="J34" s="4"/>
      <c r="K34" s="4"/>
      <c r="L34" s="4"/>
      <c r="M34" s="4"/>
      <c r="N34" s="4"/>
      <c r="O34" s="4"/>
      <c r="P34" s="4"/>
      <c r="Q34" s="4"/>
      <c r="R34" s="4"/>
      <c r="S34" s="4"/>
      <c r="T34" s="4"/>
      <c r="U34" s="4"/>
      <c r="V34" s="4"/>
      <c r="W34" s="4"/>
      <c r="X34" s="4"/>
      <c r="Y34" s="4"/>
      <c r="Z34" s="4"/>
    </row>
    <row r="35" ht="31.5" customHeight="1">
      <c r="A35" s="12"/>
      <c r="B35" s="12" t="s">
        <v>699</v>
      </c>
      <c r="C35" s="12"/>
      <c r="D35" s="12"/>
      <c r="E35" s="2"/>
      <c r="F35" s="2"/>
      <c r="G35" s="2"/>
      <c r="H35" s="2"/>
      <c r="I35" s="1"/>
      <c r="J35" s="4"/>
      <c r="K35" s="4"/>
      <c r="L35" s="4"/>
      <c r="M35" s="4"/>
      <c r="N35" s="4"/>
      <c r="O35" s="4"/>
      <c r="P35" s="4"/>
      <c r="Q35" s="4"/>
      <c r="R35" s="4"/>
      <c r="S35" s="4"/>
      <c r="T35" s="4"/>
      <c r="U35" s="4"/>
      <c r="V35" s="4"/>
      <c r="W35" s="4"/>
      <c r="X35" s="4"/>
      <c r="Y35" s="4"/>
      <c r="Z35" s="4"/>
    </row>
    <row r="36" ht="26.25" customHeight="1">
      <c r="A36" s="16"/>
      <c r="B36" s="16" t="s">
        <v>704</v>
      </c>
      <c r="C36" s="16"/>
      <c r="D36" s="16"/>
      <c r="E36" s="2"/>
      <c r="F36" s="2"/>
      <c r="G36" s="2"/>
      <c r="H36" s="2"/>
      <c r="I36" s="1"/>
      <c r="J36" s="4"/>
      <c r="K36" s="4"/>
      <c r="L36" s="4"/>
      <c r="M36" s="4"/>
      <c r="N36" s="4"/>
      <c r="O36" s="4"/>
      <c r="P36" s="4"/>
      <c r="Q36" s="4"/>
      <c r="R36" s="4"/>
      <c r="S36" s="4"/>
      <c r="T36" s="4"/>
      <c r="U36" s="4"/>
      <c r="V36" s="4"/>
      <c r="W36" s="4"/>
      <c r="X36" s="4"/>
      <c r="Y36" s="4"/>
      <c r="Z36" s="4"/>
    </row>
    <row r="37" ht="26.25" customHeight="1">
      <c r="A37" s="12"/>
      <c r="B37" s="12" t="s">
        <v>707</v>
      </c>
      <c r="C37" s="12"/>
      <c r="D37" s="12"/>
      <c r="E37" s="2"/>
      <c r="F37" s="2"/>
      <c r="G37" s="2"/>
      <c r="H37" s="2"/>
      <c r="I37" s="1"/>
      <c r="J37" s="4"/>
      <c r="K37" s="4"/>
      <c r="L37" s="4"/>
      <c r="M37" s="4"/>
      <c r="N37" s="4"/>
      <c r="O37" s="4"/>
      <c r="P37" s="4"/>
      <c r="Q37" s="4"/>
      <c r="R37" s="4"/>
      <c r="S37" s="4"/>
      <c r="T37" s="4"/>
      <c r="U37" s="4"/>
      <c r="V37" s="4"/>
      <c r="W37" s="4"/>
      <c r="X37" s="4"/>
      <c r="Y37" s="4"/>
      <c r="Z37" s="4"/>
    </row>
    <row r="38" ht="34.5" customHeight="1">
      <c r="A38" s="16"/>
      <c r="B38" s="16" t="s">
        <v>714</v>
      </c>
      <c r="C38" s="16"/>
      <c r="D38" s="16"/>
      <c r="E38" s="2"/>
      <c r="F38" s="2"/>
      <c r="G38" s="2"/>
      <c r="H38" s="2"/>
      <c r="I38" s="1"/>
      <c r="J38" s="4"/>
      <c r="K38" s="4"/>
      <c r="L38" s="4"/>
      <c r="M38" s="4"/>
      <c r="N38" s="4"/>
      <c r="O38" s="4"/>
      <c r="P38" s="4"/>
      <c r="Q38" s="4"/>
      <c r="R38" s="4"/>
      <c r="S38" s="4"/>
      <c r="T38" s="4"/>
      <c r="U38" s="4"/>
      <c r="V38" s="4"/>
      <c r="W38" s="4"/>
      <c r="X38" s="4"/>
      <c r="Y38" s="4"/>
      <c r="Z38" s="4"/>
    </row>
    <row r="39" ht="15.75" customHeight="1">
      <c r="A39" s="1"/>
      <c r="B39" s="1"/>
      <c r="C39" s="1"/>
      <c r="D39" s="1"/>
      <c r="E39" s="1"/>
      <c r="F39" s="1"/>
      <c r="G39" s="1"/>
      <c r="H39" s="1"/>
      <c r="I39" s="1"/>
      <c r="J39" s="4"/>
      <c r="K39" s="4"/>
      <c r="L39" s="4"/>
      <c r="M39" s="4"/>
      <c r="N39" s="4"/>
      <c r="O39" s="4"/>
      <c r="P39" s="4"/>
      <c r="Q39" s="4"/>
      <c r="R39" s="4"/>
      <c r="S39" s="4"/>
      <c r="T39" s="4"/>
      <c r="U39" s="4"/>
      <c r="V39" s="4"/>
      <c r="W39" s="4"/>
      <c r="X39" s="4"/>
      <c r="Y39" s="4"/>
      <c r="Z39" s="4"/>
    </row>
    <row r="40" ht="15.75" customHeight="1">
      <c r="A40" s="1"/>
      <c r="B40" s="1"/>
      <c r="C40" s="1"/>
      <c r="D40" s="1"/>
      <c r="E40" s="1"/>
      <c r="F40" s="1"/>
      <c r="G40" s="1"/>
      <c r="H40" s="1"/>
      <c r="I40" s="1"/>
      <c r="J40" s="4"/>
      <c r="K40" s="4"/>
      <c r="L40" s="4"/>
      <c r="M40" s="4"/>
      <c r="N40" s="4"/>
      <c r="O40" s="4"/>
      <c r="P40" s="4"/>
      <c r="Q40" s="4"/>
      <c r="R40" s="4"/>
      <c r="S40" s="4"/>
      <c r="T40" s="4"/>
      <c r="U40" s="4"/>
      <c r="V40" s="4"/>
      <c r="W40" s="4"/>
      <c r="X40" s="4"/>
      <c r="Y40" s="4"/>
      <c r="Z40" s="4"/>
    </row>
    <row r="41" ht="15.75" customHeight="1">
      <c r="A41" s="1"/>
      <c r="B41" s="1"/>
      <c r="C41" s="1"/>
      <c r="D41" s="1"/>
      <c r="E41" s="1"/>
      <c r="F41" s="1"/>
      <c r="G41" s="1"/>
      <c r="H41" s="1"/>
      <c r="I41" s="1"/>
      <c r="J41" s="4"/>
      <c r="K41" s="4"/>
      <c r="L41" s="4"/>
      <c r="M41" s="4"/>
      <c r="N41" s="4"/>
      <c r="O41" s="4"/>
      <c r="P41" s="4"/>
      <c r="Q41" s="4"/>
      <c r="R41" s="4"/>
      <c r="S41" s="4"/>
      <c r="T41" s="4"/>
      <c r="U41" s="4"/>
      <c r="V41" s="4"/>
      <c r="W41" s="4"/>
      <c r="X41" s="4"/>
      <c r="Y41" s="4"/>
      <c r="Z41" s="4"/>
    </row>
    <row r="42" ht="15.75" customHeight="1">
      <c r="A42" s="1"/>
      <c r="B42" s="1"/>
      <c r="C42" s="1"/>
      <c r="D42" s="1"/>
      <c r="E42" s="1"/>
      <c r="F42" s="1"/>
      <c r="G42" s="1"/>
      <c r="H42" s="1"/>
      <c r="I42" s="1"/>
      <c r="J42" s="4"/>
      <c r="K42" s="4"/>
      <c r="L42" s="4"/>
      <c r="M42" s="4"/>
      <c r="N42" s="4"/>
      <c r="O42" s="4"/>
      <c r="P42" s="4"/>
      <c r="Q42" s="4"/>
      <c r="R42" s="4"/>
      <c r="S42" s="4"/>
      <c r="T42" s="4"/>
      <c r="U42" s="4"/>
      <c r="V42" s="4"/>
      <c r="W42" s="4"/>
      <c r="X42" s="4"/>
      <c r="Y42" s="4"/>
      <c r="Z42" s="4"/>
    </row>
    <row r="43" ht="15.75" customHeight="1">
      <c r="A43" s="1"/>
      <c r="B43" s="1"/>
      <c r="C43" s="1"/>
      <c r="D43" s="1"/>
      <c r="E43" s="1"/>
      <c r="F43" s="1"/>
      <c r="G43" s="1"/>
      <c r="H43" s="1"/>
      <c r="I43" s="1"/>
      <c r="J43" s="4"/>
      <c r="K43" s="4"/>
      <c r="L43" s="4"/>
      <c r="M43" s="4"/>
      <c r="N43" s="4"/>
      <c r="O43" s="4"/>
      <c r="P43" s="4"/>
      <c r="Q43" s="4"/>
      <c r="R43" s="4"/>
      <c r="S43" s="4"/>
      <c r="T43" s="4"/>
      <c r="U43" s="4"/>
      <c r="V43" s="4"/>
      <c r="W43" s="4"/>
      <c r="X43" s="4"/>
      <c r="Y43" s="4"/>
      <c r="Z43" s="4"/>
    </row>
    <row r="44" ht="15.75" customHeight="1">
      <c r="A44" s="1"/>
      <c r="B44" s="1"/>
      <c r="C44" s="1"/>
      <c r="D44" s="1"/>
      <c r="E44" s="1"/>
      <c r="F44" s="1"/>
      <c r="G44" s="1"/>
      <c r="H44" s="1"/>
      <c r="I44" s="1"/>
      <c r="J44" s="4"/>
      <c r="K44" s="4"/>
      <c r="L44" s="4"/>
      <c r="M44" s="4"/>
      <c r="N44" s="4"/>
      <c r="O44" s="4"/>
      <c r="P44" s="4"/>
      <c r="Q44" s="4"/>
      <c r="R44" s="4"/>
      <c r="S44" s="4"/>
      <c r="T44" s="4"/>
      <c r="U44" s="4"/>
      <c r="V44" s="4"/>
      <c r="W44" s="4"/>
      <c r="X44" s="4"/>
      <c r="Y44" s="4"/>
      <c r="Z44" s="4"/>
    </row>
    <row r="45" ht="15.75" customHeight="1">
      <c r="A45" s="1"/>
      <c r="B45" s="1"/>
      <c r="C45" s="1"/>
      <c r="D45" s="1"/>
      <c r="E45" s="1"/>
      <c r="F45" s="1"/>
      <c r="G45" s="1"/>
      <c r="H45" s="1"/>
      <c r="I45" s="1"/>
      <c r="J45" s="4"/>
      <c r="K45" s="4"/>
      <c r="L45" s="4"/>
      <c r="M45" s="4"/>
      <c r="N45" s="4"/>
      <c r="O45" s="4"/>
      <c r="P45" s="4"/>
      <c r="Q45" s="4"/>
      <c r="R45" s="4"/>
      <c r="S45" s="4"/>
      <c r="T45" s="4"/>
      <c r="U45" s="4"/>
      <c r="V45" s="4"/>
      <c r="W45" s="4"/>
      <c r="X45" s="4"/>
      <c r="Y45" s="4"/>
      <c r="Z45" s="4"/>
    </row>
    <row r="46" ht="15.75" customHeight="1">
      <c r="A46" s="1"/>
      <c r="B46" s="1"/>
      <c r="C46" s="1"/>
      <c r="D46" s="1"/>
      <c r="E46" s="1"/>
      <c r="F46" s="1"/>
      <c r="G46" s="1"/>
      <c r="H46" s="1"/>
      <c r="I46" s="1"/>
      <c r="J46" s="4"/>
      <c r="K46" s="4"/>
      <c r="L46" s="4"/>
      <c r="M46" s="4"/>
      <c r="N46" s="4"/>
      <c r="O46" s="4"/>
      <c r="P46" s="4"/>
      <c r="Q46" s="4"/>
      <c r="R46" s="4"/>
      <c r="S46" s="4"/>
      <c r="T46" s="4"/>
      <c r="U46" s="4"/>
      <c r="V46" s="4"/>
      <c r="W46" s="4"/>
      <c r="X46" s="4"/>
      <c r="Y46" s="4"/>
      <c r="Z46" s="4"/>
    </row>
    <row r="47" ht="15.75" customHeight="1">
      <c r="A47" s="1"/>
      <c r="B47" s="1"/>
      <c r="C47" s="1"/>
      <c r="D47" s="1"/>
      <c r="E47" s="1"/>
      <c r="F47" s="1"/>
      <c r="G47" s="1"/>
      <c r="H47" s="1"/>
      <c r="I47" s="1"/>
      <c r="J47" s="4"/>
      <c r="K47" s="4"/>
      <c r="L47" s="4"/>
      <c r="M47" s="4"/>
      <c r="N47" s="4"/>
      <c r="O47" s="4"/>
      <c r="P47" s="4"/>
      <c r="Q47" s="4"/>
      <c r="R47" s="4"/>
      <c r="S47" s="4"/>
      <c r="T47" s="4"/>
      <c r="U47" s="4"/>
      <c r="V47" s="4"/>
      <c r="W47" s="4"/>
      <c r="X47" s="4"/>
      <c r="Y47" s="4"/>
      <c r="Z47" s="4"/>
    </row>
    <row r="48" ht="15.75" customHeight="1">
      <c r="A48" s="1"/>
      <c r="B48" s="1"/>
      <c r="C48" s="1"/>
      <c r="D48" s="1"/>
      <c r="E48" s="1"/>
      <c r="F48" s="1"/>
      <c r="G48" s="1"/>
      <c r="H48" s="1"/>
      <c r="I48" s="1"/>
      <c r="J48" s="4"/>
      <c r="K48" s="4"/>
      <c r="L48" s="4"/>
      <c r="M48" s="4"/>
      <c r="N48" s="4"/>
      <c r="O48" s="4"/>
      <c r="P48" s="4"/>
      <c r="Q48" s="4"/>
      <c r="R48" s="4"/>
      <c r="S48" s="4"/>
      <c r="T48" s="4"/>
      <c r="U48" s="4"/>
      <c r="V48" s="4"/>
      <c r="W48" s="4"/>
      <c r="X48" s="4"/>
      <c r="Y48" s="4"/>
      <c r="Z48" s="4"/>
    </row>
    <row r="49" ht="15.75" customHeight="1">
      <c r="A49" s="1"/>
      <c r="B49" s="1"/>
      <c r="C49" s="1"/>
      <c r="D49" s="1"/>
      <c r="E49" s="1"/>
      <c r="F49" s="1"/>
      <c r="G49" s="1"/>
      <c r="H49" s="1"/>
      <c r="I49" s="1"/>
      <c r="J49" s="4"/>
      <c r="K49" s="4"/>
      <c r="L49" s="4"/>
      <c r="M49" s="4"/>
      <c r="N49" s="4"/>
      <c r="O49" s="4"/>
      <c r="P49" s="4"/>
      <c r="Q49" s="4"/>
      <c r="R49" s="4"/>
      <c r="S49" s="4"/>
      <c r="T49" s="4"/>
      <c r="U49" s="4"/>
      <c r="V49" s="4"/>
      <c r="W49" s="4"/>
      <c r="X49" s="4"/>
      <c r="Y49" s="4"/>
      <c r="Z49" s="4"/>
    </row>
    <row r="50" ht="15.75" customHeight="1">
      <c r="A50" s="1"/>
      <c r="B50" s="1"/>
      <c r="C50" s="1"/>
      <c r="D50" s="1"/>
      <c r="E50" s="1"/>
      <c r="F50" s="1"/>
      <c r="G50" s="1"/>
      <c r="H50" s="1"/>
      <c r="I50" s="1"/>
      <c r="J50" s="4"/>
      <c r="K50" s="4"/>
      <c r="L50" s="4"/>
      <c r="M50" s="4"/>
      <c r="N50" s="4"/>
      <c r="O50" s="4"/>
      <c r="P50" s="4"/>
      <c r="Q50" s="4"/>
      <c r="R50" s="4"/>
      <c r="S50" s="4"/>
      <c r="T50" s="4"/>
      <c r="U50" s="4"/>
      <c r="V50" s="4"/>
      <c r="W50" s="4"/>
      <c r="X50" s="4"/>
      <c r="Y50" s="4"/>
      <c r="Z50" s="4"/>
    </row>
    <row r="51" ht="15.75" customHeight="1">
      <c r="A51" s="1"/>
      <c r="B51" s="1"/>
      <c r="C51" s="1"/>
      <c r="D51" s="1"/>
      <c r="E51" s="1"/>
      <c r="F51" s="1"/>
      <c r="G51" s="1"/>
      <c r="H51" s="1"/>
      <c r="I51" s="1"/>
      <c r="J51" s="4"/>
      <c r="K51" s="4"/>
      <c r="L51" s="4"/>
      <c r="M51" s="4"/>
      <c r="N51" s="4"/>
      <c r="O51" s="4"/>
      <c r="P51" s="4"/>
      <c r="Q51" s="4"/>
      <c r="R51" s="4"/>
      <c r="S51" s="4"/>
      <c r="T51" s="4"/>
      <c r="U51" s="4"/>
      <c r="V51" s="4"/>
      <c r="W51" s="4"/>
      <c r="X51" s="4"/>
      <c r="Y51" s="4"/>
      <c r="Z51" s="4"/>
    </row>
    <row r="52" ht="15.75" customHeight="1">
      <c r="A52" s="1"/>
      <c r="B52" s="1"/>
      <c r="C52" s="1"/>
      <c r="D52" s="1"/>
      <c r="E52" s="1"/>
      <c r="F52" s="1"/>
      <c r="G52" s="1"/>
      <c r="H52" s="1"/>
      <c r="I52" s="1"/>
      <c r="J52" s="4"/>
      <c r="K52" s="4"/>
      <c r="L52" s="4"/>
      <c r="M52" s="4"/>
      <c r="N52" s="4"/>
      <c r="O52" s="4"/>
      <c r="P52" s="4"/>
      <c r="Q52" s="4"/>
      <c r="R52" s="4"/>
      <c r="S52" s="4"/>
      <c r="T52" s="4"/>
      <c r="U52" s="4"/>
      <c r="V52" s="4"/>
      <c r="W52" s="4"/>
      <c r="X52" s="4"/>
      <c r="Y52" s="4"/>
      <c r="Z52" s="4"/>
    </row>
    <row r="53" ht="15.75" customHeight="1">
      <c r="A53" s="1"/>
      <c r="B53" s="1"/>
      <c r="C53" s="1"/>
      <c r="D53" s="1"/>
      <c r="E53" s="1"/>
      <c r="F53" s="1"/>
      <c r="G53" s="1"/>
      <c r="H53" s="1"/>
      <c r="I53" s="1"/>
      <c r="J53" s="4"/>
      <c r="K53" s="4"/>
      <c r="L53" s="4"/>
      <c r="M53" s="4"/>
      <c r="N53" s="4"/>
      <c r="O53" s="4"/>
      <c r="P53" s="4"/>
      <c r="Q53" s="4"/>
      <c r="R53" s="4"/>
      <c r="S53" s="4"/>
      <c r="T53" s="4"/>
      <c r="U53" s="4"/>
      <c r="V53" s="4"/>
      <c r="W53" s="4"/>
      <c r="X53" s="4"/>
      <c r="Y53" s="4"/>
      <c r="Z53" s="4"/>
    </row>
    <row r="54" ht="15.75" customHeight="1">
      <c r="A54" s="1"/>
      <c r="B54" s="1"/>
      <c r="C54" s="1"/>
      <c r="D54" s="1"/>
      <c r="E54" s="1"/>
      <c r="F54" s="1"/>
      <c r="G54" s="1"/>
      <c r="H54" s="1"/>
      <c r="I54" s="1"/>
      <c r="J54" s="4"/>
      <c r="K54" s="4"/>
      <c r="L54" s="4"/>
      <c r="M54" s="4"/>
      <c r="N54" s="4"/>
      <c r="O54" s="4"/>
      <c r="P54" s="4"/>
      <c r="Q54" s="4"/>
      <c r="R54" s="4"/>
      <c r="S54" s="4"/>
      <c r="T54" s="4"/>
      <c r="U54" s="4"/>
      <c r="V54" s="4"/>
      <c r="W54" s="4"/>
      <c r="X54" s="4"/>
      <c r="Y54" s="4"/>
      <c r="Z54" s="4"/>
    </row>
    <row r="55" ht="15.75" customHeight="1">
      <c r="A55" s="1"/>
      <c r="B55" s="1"/>
      <c r="C55" s="1"/>
      <c r="D55" s="1"/>
      <c r="E55" s="1"/>
      <c r="F55" s="1"/>
      <c r="G55" s="1"/>
      <c r="H55" s="1"/>
      <c r="I55" s="1"/>
      <c r="J55" s="4"/>
      <c r="K55" s="4"/>
      <c r="L55" s="4"/>
      <c r="M55" s="4"/>
      <c r="N55" s="4"/>
      <c r="O55" s="4"/>
      <c r="P55" s="4"/>
      <c r="Q55" s="4"/>
      <c r="R55" s="4"/>
      <c r="S55" s="4"/>
      <c r="T55" s="4"/>
      <c r="U55" s="4"/>
      <c r="V55" s="4"/>
      <c r="W55" s="4"/>
      <c r="X55" s="4"/>
      <c r="Y55" s="4"/>
      <c r="Z55" s="4"/>
    </row>
    <row r="56" ht="15.75" customHeight="1">
      <c r="A56" s="1"/>
      <c r="B56" s="1"/>
      <c r="C56" s="1"/>
      <c r="D56" s="1"/>
      <c r="E56" s="1"/>
      <c r="F56" s="1"/>
      <c r="G56" s="1"/>
      <c r="H56" s="1"/>
      <c r="I56" s="1"/>
      <c r="J56" s="4"/>
      <c r="K56" s="4"/>
      <c r="L56" s="4"/>
      <c r="M56" s="4"/>
      <c r="N56" s="4"/>
      <c r="O56" s="4"/>
      <c r="P56" s="4"/>
      <c r="Q56" s="4"/>
      <c r="R56" s="4"/>
      <c r="S56" s="4"/>
      <c r="T56" s="4"/>
      <c r="U56" s="4"/>
      <c r="V56" s="4"/>
      <c r="W56" s="4"/>
      <c r="X56" s="4"/>
      <c r="Y56" s="4"/>
      <c r="Z56" s="4"/>
    </row>
    <row r="57" ht="15.75" customHeight="1">
      <c r="A57" s="1"/>
      <c r="B57" s="1"/>
      <c r="C57" s="1"/>
      <c r="D57" s="1"/>
      <c r="E57" s="1"/>
      <c r="F57" s="1"/>
      <c r="G57" s="1"/>
      <c r="H57" s="1"/>
      <c r="I57" s="1"/>
      <c r="J57" s="4"/>
      <c r="K57" s="4"/>
      <c r="L57" s="4"/>
      <c r="M57" s="4"/>
      <c r="N57" s="4"/>
      <c r="O57" s="4"/>
      <c r="P57" s="4"/>
      <c r="Q57" s="4"/>
      <c r="R57" s="4"/>
      <c r="S57" s="4"/>
      <c r="T57" s="4"/>
      <c r="U57" s="4"/>
      <c r="V57" s="4"/>
      <c r="W57" s="4"/>
      <c r="X57" s="4"/>
      <c r="Y57" s="4"/>
      <c r="Z57" s="4"/>
    </row>
    <row r="58" ht="15.75" customHeight="1">
      <c r="A58" s="1"/>
      <c r="B58" s="1"/>
      <c r="C58" s="1"/>
      <c r="D58" s="1"/>
      <c r="E58" s="1"/>
      <c r="F58" s="1"/>
      <c r="G58" s="1"/>
      <c r="H58" s="1"/>
      <c r="I58" s="1"/>
      <c r="J58" s="4"/>
      <c r="K58" s="4"/>
      <c r="L58" s="4"/>
      <c r="M58" s="4"/>
      <c r="N58" s="4"/>
      <c r="O58" s="4"/>
      <c r="P58" s="4"/>
      <c r="Q58" s="4"/>
      <c r="R58" s="4"/>
      <c r="S58" s="4"/>
      <c r="T58" s="4"/>
      <c r="U58" s="4"/>
      <c r="V58" s="4"/>
      <c r="W58" s="4"/>
      <c r="X58" s="4"/>
      <c r="Y58" s="4"/>
      <c r="Z58" s="4"/>
    </row>
    <row r="59" ht="15.75" customHeight="1">
      <c r="A59" s="1"/>
      <c r="B59" s="1"/>
      <c r="C59" s="1"/>
      <c r="D59" s="1"/>
      <c r="E59" s="1"/>
      <c r="F59" s="1"/>
      <c r="G59" s="1"/>
      <c r="H59" s="1"/>
      <c r="I59" s="1"/>
      <c r="J59" s="4"/>
      <c r="K59" s="4"/>
      <c r="L59" s="4"/>
      <c r="M59" s="4"/>
      <c r="N59" s="4"/>
      <c r="O59" s="4"/>
      <c r="P59" s="4"/>
      <c r="Q59" s="4"/>
      <c r="R59" s="4"/>
      <c r="S59" s="4"/>
      <c r="T59" s="4"/>
      <c r="U59" s="4"/>
      <c r="V59" s="4"/>
      <c r="W59" s="4"/>
      <c r="X59" s="4"/>
      <c r="Y59" s="4"/>
      <c r="Z59" s="4"/>
    </row>
    <row r="60" ht="15.75" customHeight="1">
      <c r="A60" s="1"/>
      <c r="B60" s="1"/>
      <c r="C60" s="1"/>
      <c r="D60" s="1"/>
      <c r="E60" s="1"/>
      <c r="F60" s="1"/>
      <c r="G60" s="1"/>
      <c r="H60" s="1"/>
      <c r="I60" s="1"/>
      <c r="J60" s="4"/>
      <c r="K60" s="4"/>
      <c r="L60" s="4"/>
      <c r="M60" s="4"/>
      <c r="N60" s="4"/>
      <c r="O60" s="4"/>
      <c r="P60" s="4"/>
      <c r="Q60" s="4"/>
      <c r="R60" s="4"/>
      <c r="S60" s="4"/>
      <c r="T60" s="4"/>
      <c r="U60" s="4"/>
      <c r="V60" s="4"/>
      <c r="W60" s="4"/>
      <c r="X60" s="4"/>
      <c r="Y60" s="4"/>
      <c r="Z60" s="4"/>
    </row>
    <row r="61" ht="15.75" customHeight="1">
      <c r="A61" s="1"/>
      <c r="B61" s="1"/>
      <c r="C61" s="1"/>
      <c r="D61" s="1"/>
      <c r="E61" s="1"/>
      <c r="F61" s="1"/>
      <c r="G61" s="1"/>
      <c r="H61" s="1"/>
      <c r="I61" s="1"/>
      <c r="J61" s="4"/>
      <c r="K61" s="4"/>
      <c r="L61" s="4"/>
      <c r="M61" s="4"/>
      <c r="N61" s="4"/>
      <c r="O61" s="4"/>
      <c r="P61" s="4"/>
      <c r="Q61" s="4"/>
      <c r="R61" s="4"/>
      <c r="S61" s="4"/>
      <c r="T61" s="4"/>
      <c r="U61" s="4"/>
      <c r="V61" s="4"/>
      <c r="W61" s="4"/>
      <c r="X61" s="4"/>
      <c r="Y61" s="4"/>
      <c r="Z61" s="4"/>
    </row>
    <row r="62" ht="15.75" customHeight="1">
      <c r="A62" s="1"/>
      <c r="B62" s="1"/>
      <c r="C62" s="1"/>
      <c r="D62" s="1"/>
      <c r="E62" s="1"/>
      <c r="F62" s="1"/>
      <c r="G62" s="1"/>
      <c r="H62" s="1"/>
      <c r="I62" s="1"/>
      <c r="J62" s="4"/>
      <c r="K62" s="4"/>
      <c r="L62" s="4"/>
      <c r="M62" s="4"/>
      <c r="N62" s="4"/>
      <c r="O62" s="4"/>
      <c r="P62" s="4"/>
      <c r="Q62" s="4"/>
      <c r="R62" s="4"/>
      <c r="S62" s="4"/>
      <c r="T62" s="4"/>
      <c r="U62" s="4"/>
      <c r="V62" s="4"/>
      <c r="W62" s="4"/>
      <c r="X62" s="4"/>
      <c r="Y62" s="4"/>
      <c r="Z62" s="4"/>
    </row>
    <row r="63" ht="15.75" customHeight="1">
      <c r="A63" s="1"/>
      <c r="B63" s="1"/>
      <c r="C63" s="1"/>
      <c r="D63" s="1"/>
      <c r="E63" s="1"/>
      <c r="F63" s="1"/>
      <c r="G63" s="1"/>
      <c r="H63" s="1"/>
      <c r="I63" s="1"/>
      <c r="J63" s="4"/>
      <c r="K63" s="4"/>
      <c r="L63" s="4"/>
      <c r="M63" s="4"/>
      <c r="N63" s="4"/>
      <c r="O63" s="4"/>
      <c r="P63" s="4"/>
      <c r="Q63" s="4"/>
      <c r="R63" s="4"/>
      <c r="S63" s="4"/>
      <c r="T63" s="4"/>
      <c r="U63" s="4"/>
      <c r="V63" s="4"/>
      <c r="W63" s="4"/>
      <c r="X63" s="4"/>
      <c r="Y63" s="4"/>
      <c r="Z63" s="4"/>
    </row>
    <row r="64" ht="15.75" customHeight="1">
      <c r="A64" s="1"/>
      <c r="B64" s="1"/>
      <c r="C64" s="1"/>
      <c r="D64" s="1"/>
      <c r="E64" s="1"/>
      <c r="F64" s="1"/>
      <c r="G64" s="1"/>
      <c r="H64" s="1"/>
      <c r="I64" s="1"/>
      <c r="J64" s="4"/>
      <c r="K64" s="4"/>
      <c r="L64" s="4"/>
      <c r="M64" s="4"/>
      <c r="N64" s="4"/>
      <c r="O64" s="4"/>
      <c r="P64" s="4"/>
      <c r="Q64" s="4"/>
      <c r="R64" s="4"/>
      <c r="S64" s="4"/>
      <c r="T64" s="4"/>
      <c r="U64" s="4"/>
      <c r="V64" s="4"/>
      <c r="W64" s="4"/>
      <c r="X64" s="4"/>
      <c r="Y64" s="4"/>
      <c r="Z64" s="4"/>
    </row>
    <row r="65" ht="15.75" customHeight="1">
      <c r="A65" s="1"/>
      <c r="B65" s="1"/>
      <c r="C65" s="1"/>
      <c r="D65" s="1"/>
      <c r="E65" s="1"/>
      <c r="F65" s="1"/>
      <c r="G65" s="1"/>
      <c r="H65" s="1"/>
      <c r="I65" s="1"/>
      <c r="J65" s="4"/>
      <c r="K65" s="4"/>
      <c r="L65" s="4"/>
      <c r="M65" s="4"/>
      <c r="N65" s="4"/>
      <c r="O65" s="4"/>
      <c r="P65" s="4"/>
      <c r="Q65" s="4"/>
      <c r="R65" s="4"/>
      <c r="S65" s="4"/>
      <c r="T65" s="4"/>
      <c r="U65" s="4"/>
      <c r="V65" s="4"/>
      <c r="W65" s="4"/>
      <c r="X65" s="4"/>
      <c r="Y65" s="4"/>
      <c r="Z65" s="4"/>
    </row>
    <row r="66" ht="15.75" customHeight="1">
      <c r="A66" s="1"/>
      <c r="B66" s="1"/>
      <c r="C66" s="1"/>
      <c r="D66" s="1"/>
      <c r="E66" s="1"/>
      <c r="F66" s="1"/>
      <c r="G66" s="1"/>
      <c r="H66" s="1"/>
      <c r="I66" s="1"/>
      <c r="J66" s="4"/>
      <c r="K66" s="4"/>
      <c r="L66" s="4"/>
      <c r="M66" s="4"/>
      <c r="N66" s="4"/>
      <c r="O66" s="4"/>
      <c r="P66" s="4"/>
      <c r="Q66" s="4"/>
      <c r="R66" s="4"/>
      <c r="S66" s="4"/>
      <c r="T66" s="4"/>
      <c r="U66" s="4"/>
      <c r="V66" s="4"/>
      <c r="W66" s="4"/>
      <c r="X66" s="4"/>
      <c r="Y66" s="4"/>
      <c r="Z66" s="4"/>
    </row>
    <row r="67" ht="15.75" customHeight="1">
      <c r="A67" s="1"/>
      <c r="B67" s="1"/>
      <c r="C67" s="1"/>
      <c r="D67" s="1"/>
      <c r="E67" s="1"/>
      <c r="F67" s="1"/>
      <c r="G67" s="1"/>
      <c r="H67" s="1"/>
      <c r="I67" s="1"/>
      <c r="J67" s="4"/>
      <c r="K67" s="4"/>
      <c r="L67" s="4"/>
      <c r="M67" s="4"/>
      <c r="N67" s="4"/>
      <c r="O67" s="4"/>
      <c r="P67" s="4"/>
      <c r="Q67" s="4"/>
      <c r="R67" s="4"/>
      <c r="S67" s="4"/>
      <c r="T67" s="4"/>
      <c r="U67" s="4"/>
      <c r="V67" s="4"/>
      <c r="W67" s="4"/>
      <c r="X67" s="4"/>
      <c r="Y67" s="4"/>
      <c r="Z67" s="4"/>
    </row>
    <row r="68" ht="15.75" customHeight="1">
      <c r="A68" s="1"/>
      <c r="B68" s="1"/>
      <c r="C68" s="1"/>
      <c r="D68" s="1"/>
      <c r="E68" s="1"/>
      <c r="F68" s="1"/>
      <c r="G68" s="1"/>
      <c r="H68" s="1"/>
      <c r="I68" s="1"/>
      <c r="J68" s="4"/>
      <c r="K68" s="4"/>
      <c r="L68" s="4"/>
      <c r="M68" s="4"/>
      <c r="N68" s="4"/>
      <c r="O68" s="4"/>
      <c r="P68" s="4"/>
      <c r="Q68" s="4"/>
      <c r="R68" s="4"/>
      <c r="S68" s="4"/>
      <c r="T68" s="4"/>
      <c r="U68" s="4"/>
      <c r="V68" s="4"/>
      <c r="W68" s="4"/>
      <c r="X68" s="4"/>
      <c r="Y68" s="4"/>
      <c r="Z68" s="4"/>
    </row>
    <row r="69" ht="15.75" customHeight="1">
      <c r="A69" s="1"/>
      <c r="B69" s="1"/>
      <c r="C69" s="1"/>
      <c r="D69" s="1"/>
      <c r="E69" s="1"/>
      <c r="F69" s="1"/>
      <c r="G69" s="1"/>
      <c r="H69" s="1"/>
      <c r="I69" s="1"/>
      <c r="J69" s="4"/>
      <c r="K69" s="4"/>
      <c r="L69" s="4"/>
      <c r="M69" s="4"/>
      <c r="N69" s="4"/>
      <c r="O69" s="4"/>
      <c r="P69" s="4"/>
      <c r="Q69" s="4"/>
      <c r="R69" s="4"/>
      <c r="S69" s="4"/>
      <c r="T69" s="4"/>
      <c r="U69" s="4"/>
      <c r="V69" s="4"/>
      <c r="W69" s="4"/>
      <c r="X69" s="4"/>
      <c r="Y69" s="4"/>
      <c r="Z69" s="4"/>
    </row>
    <row r="70" ht="15.75" customHeight="1">
      <c r="A70" s="1"/>
      <c r="B70" s="1"/>
      <c r="C70" s="1"/>
      <c r="D70" s="1"/>
      <c r="E70" s="1"/>
      <c r="F70" s="1"/>
      <c r="G70" s="1"/>
      <c r="H70" s="1"/>
      <c r="I70" s="1"/>
      <c r="J70" s="4"/>
      <c r="K70" s="4"/>
      <c r="L70" s="4"/>
      <c r="M70" s="4"/>
      <c r="N70" s="4"/>
      <c r="O70" s="4"/>
      <c r="P70" s="4"/>
      <c r="Q70" s="4"/>
      <c r="R70" s="4"/>
      <c r="S70" s="4"/>
      <c r="T70" s="4"/>
      <c r="U70" s="4"/>
      <c r="V70" s="4"/>
      <c r="W70" s="4"/>
      <c r="X70" s="4"/>
      <c r="Y70" s="4"/>
      <c r="Z70" s="4"/>
    </row>
    <row r="71" ht="15.75" customHeight="1">
      <c r="A71" s="1"/>
      <c r="B71" s="1"/>
      <c r="C71" s="1"/>
      <c r="D71" s="1"/>
      <c r="E71" s="1"/>
      <c r="F71" s="1"/>
      <c r="G71" s="1"/>
      <c r="H71" s="1"/>
      <c r="I71" s="1"/>
      <c r="J71" s="4"/>
      <c r="K71" s="4"/>
      <c r="L71" s="4"/>
      <c r="M71" s="4"/>
      <c r="N71" s="4"/>
      <c r="O71" s="4"/>
      <c r="P71" s="4"/>
      <c r="Q71" s="4"/>
      <c r="R71" s="4"/>
      <c r="S71" s="4"/>
      <c r="T71" s="4"/>
      <c r="U71" s="4"/>
      <c r="V71" s="4"/>
      <c r="W71" s="4"/>
      <c r="X71" s="4"/>
      <c r="Y71" s="4"/>
      <c r="Z71" s="4"/>
    </row>
    <row r="72" ht="15.75" customHeight="1">
      <c r="A72" s="1"/>
      <c r="B72" s="1"/>
      <c r="C72" s="1"/>
      <c r="D72" s="1"/>
      <c r="E72" s="1"/>
      <c r="F72" s="1"/>
      <c r="G72" s="1"/>
      <c r="H72" s="1"/>
      <c r="I72" s="1"/>
      <c r="J72" s="4"/>
      <c r="K72" s="4"/>
      <c r="L72" s="4"/>
      <c r="M72" s="4"/>
      <c r="N72" s="4"/>
      <c r="O72" s="4"/>
      <c r="P72" s="4"/>
      <c r="Q72" s="4"/>
      <c r="R72" s="4"/>
      <c r="S72" s="4"/>
      <c r="T72" s="4"/>
      <c r="U72" s="4"/>
      <c r="V72" s="4"/>
      <c r="W72" s="4"/>
      <c r="X72" s="4"/>
      <c r="Y72" s="4"/>
      <c r="Z72" s="4"/>
    </row>
    <row r="73" ht="15.75" customHeight="1">
      <c r="A73" s="1"/>
      <c r="B73" s="1"/>
      <c r="C73" s="1"/>
      <c r="D73" s="1"/>
      <c r="E73" s="1"/>
      <c r="F73" s="1"/>
      <c r="G73" s="1"/>
      <c r="H73" s="1"/>
      <c r="I73" s="1"/>
      <c r="J73" s="4"/>
      <c r="K73" s="4"/>
      <c r="L73" s="4"/>
      <c r="M73" s="4"/>
      <c r="N73" s="4"/>
      <c r="O73" s="4"/>
      <c r="P73" s="4"/>
      <c r="Q73" s="4"/>
      <c r="R73" s="4"/>
      <c r="S73" s="4"/>
      <c r="T73" s="4"/>
      <c r="U73" s="4"/>
      <c r="V73" s="4"/>
      <c r="W73" s="4"/>
      <c r="X73" s="4"/>
      <c r="Y73" s="4"/>
      <c r="Z73" s="4"/>
    </row>
    <row r="74" ht="15.75" customHeight="1">
      <c r="A74" s="1"/>
      <c r="B74" s="1"/>
      <c r="C74" s="1"/>
      <c r="D74" s="1"/>
      <c r="E74" s="1"/>
      <c r="F74" s="1"/>
      <c r="G74" s="1"/>
      <c r="H74" s="1"/>
      <c r="I74" s="1"/>
      <c r="J74" s="4"/>
      <c r="K74" s="4"/>
      <c r="L74" s="4"/>
      <c r="M74" s="4"/>
      <c r="N74" s="4"/>
      <c r="O74" s="4"/>
      <c r="P74" s="4"/>
      <c r="Q74" s="4"/>
      <c r="R74" s="4"/>
      <c r="S74" s="4"/>
      <c r="T74" s="4"/>
      <c r="U74" s="4"/>
      <c r="V74" s="4"/>
      <c r="W74" s="4"/>
      <c r="X74" s="4"/>
      <c r="Y74" s="4"/>
      <c r="Z74" s="4"/>
    </row>
    <row r="75" ht="15.75" customHeight="1">
      <c r="A75" s="1"/>
      <c r="B75" s="1"/>
      <c r="C75" s="1"/>
      <c r="D75" s="1"/>
      <c r="E75" s="1"/>
      <c r="F75" s="1"/>
      <c r="G75" s="1"/>
      <c r="H75" s="1"/>
      <c r="I75" s="1"/>
      <c r="J75" s="4"/>
      <c r="K75" s="4"/>
      <c r="L75" s="4"/>
      <c r="M75" s="4"/>
      <c r="N75" s="4"/>
      <c r="O75" s="4"/>
      <c r="P75" s="4"/>
      <c r="Q75" s="4"/>
      <c r="R75" s="4"/>
      <c r="S75" s="4"/>
      <c r="T75" s="4"/>
      <c r="U75" s="4"/>
      <c r="V75" s="4"/>
      <c r="W75" s="4"/>
      <c r="X75" s="4"/>
      <c r="Y75" s="4"/>
      <c r="Z75" s="4"/>
    </row>
    <row r="76" ht="15.75" customHeight="1">
      <c r="A76" s="1"/>
      <c r="B76" s="1"/>
      <c r="C76" s="1"/>
      <c r="D76" s="1"/>
      <c r="E76" s="1"/>
      <c r="F76" s="1"/>
      <c r="G76" s="1"/>
      <c r="H76" s="1"/>
      <c r="I76" s="1"/>
      <c r="J76" s="4"/>
      <c r="K76" s="4"/>
      <c r="L76" s="4"/>
      <c r="M76" s="4"/>
      <c r="N76" s="4"/>
      <c r="O76" s="4"/>
      <c r="P76" s="4"/>
      <c r="Q76" s="4"/>
      <c r="R76" s="4"/>
      <c r="S76" s="4"/>
      <c r="T76" s="4"/>
      <c r="U76" s="4"/>
      <c r="V76" s="4"/>
      <c r="W76" s="4"/>
      <c r="X76" s="4"/>
      <c r="Y76" s="4"/>
      <c r="Z76" s="4"/>
    </row>
    <row r="77" ht="15.75" customHeight="1">
      <c r="A77" s="1"/>
      <c r="B77" s="1"/>
      <c r="C77" s="1"/>
      <c r="D77" s="1"/>
      <c r="E77" s="1"/>
      <c r="F77" s="1"/>
      <c r="G77" s="1"/>
      <c r="H77" s="1"/>
      <c r="I77" s="1"/>
      <c r="J77" s="4"/>
      <c r="K77" s="4"/>
      <c r="L77" s="4"/>
      <c r="M77" s="4"/>
      <c r="N77" s="4"/>
      <c r="O77" s="4"/>
      <c r="P77" s="4"/>
      <c r="Q77" s="4"/>
      <c r="R77" s="4"/>
      <c r="S77" s="4"/>
      <c r="T77" s="4"/>
      <c r="U77" s="4"/>
      <c r="V77" s="4"/>
      <c r="W77" s="4"/>
      <c r="X77" s="4"/>
      <c r="Y77" s="4"/>
      <c r="Z77" s="4"/>
    </row>
    <row r="78" ht="15.75" customHeight="1">
      <c r="A78" s="1"/>
      <c r="B78" s="1"/>
      <c r="C78" s="1"/>
      <c r="D78" s="1"/>
      <c r="E78" s="1"/>
      <c r="F78" s="1"/>
      <c r="G78" s="1"/>
      <c r="H78" s="1"/>
      <c r="I78" s="1"/>
      <c r="J78" s="4"/>
      <c r="K78" s="4"/>
      <c r="L78" s="4"/>
      <c r="M78" s="4"/>
      <c r="N78" s="4"/>
      <c r="O78" s="4"/>
      <c r="P78" s="4"/>
      <c r="Q78" s="4"/>
      <c r="R78" s="4"/>
      <c r="S78" s="4"/>
      <c r="T78" s="4"/>
      <c r="U78" s="4"/>
      <c r="V78" s="4"/>
      <c r="W78" s="4"/>
      <c r="X78" s="4"/>
      <c r="Y78" s="4"/>
      <c r="Z78" s="4"/>
    </row>
    <row r="79" ht="15.75" customHeight="1">
      <c r="A79" s="1"/>
      <c r="B79" s="1"/>
      <c r="C79" s="1"/>
      <c r="D79" s="1"/>
      <c r="E79" s="1"/>
      <c r="F79" s="1"/>
      <c r="G79" s="1"/>
      <c r="H79" s="1"/>
      <c r="I79" s="1"/>
      <c r="J79" s="4"/>
      <c r="K79" s="4"/>
      <c r="L79" s="4"/>
      <c r="M79" s="4"/>
      <c r="N79" s="4"/>
      <c r="O79" s="4"/>
      <c r="P79" s="4"/>
      <c r="Q79" s="4"/>
      <c r="R79" s="4"/>
      <c r="S79" s="4"/>
      <c r="T79" s="4"/>
      <c r="U79" s="4"/>
      <c r="V79" s="4"/>
      <c r="W79" s="4"/>
      <c r="X79" s="4"/>
      <c r="Y79" s="4"/>
      <c r="Z79" s="4"/>
    </row>
    <row r="80" ht="15.75" customHeight="1">
      <c r="A80" s="1"/>
      <c r="B80" s="1"/>
      <c r="C80" s="1"/>
      <c r="D80" s="1"/>
      <c r="E80" s="1"/>
      <c r="F80" s="1"/>
      <c r="G80" s="1"/>
      <c r="H80" s="1"/>
      <c r="I80" s="1"/>
      <c r="J80" s="4"/>
      <c r="K80" s="4"/>
      <c r="L80" s="4"/>
      <c r="M80" s="4"/>
      <c r="N80" s="4"/>
      <c r="O80" s="4"/>
      <c r="P80" s="4"/>
      <c r="Q80" s="4"/>
      <c r="R80" s="4"/>
      <c r="S80" s="4"/>
      <c r="T80" s="4"/>
      <c r="U80" s="4"/>
      <c r="V80" s="4"/>
      <c r="W80" s="4"/>
      <c r="X80" s="4"/>
      <c r="Y80" s="4"/>
      <c r="Z80" s="4"/>
    </row>
    <row r="81" ht="15.75" customHeight="1">
      <c r="A81" s="1"/>
      <c r="B81" s="1"/>
      <c r="C81" s="1"/>
      <c r="D81" s="1"/>
      <c r="E81" s="1"/>
      <c r="F81" s="1"/>
      <c r="G81" s="1"/>
      <c r="H81" s="1"/>
      <c r="I81" s="1"/>
      <c r="J81" s="4"/>
      <c r="K81" s="4"/>
      <c r="L81" s="4"/>
      <c r="M81" s="4"/>
      <c r="N81" s="4"/>
      <c r="O81" s="4"/>
      <c r="P81" s="4"/>
      <c r="Q81" s="4"/>
      <c r="R81" s="4"/>
      <c r="S81" s="4"/>
      <c r="T81" s="4"/>
      <c r="U81" s="4"/>
      <c r="V81" s="4"/>
      <c r="W81" s="4"/>
      <c r="X81" s="4"/>
      <c r="Y81" s="4"/>
      <c r="Z81" s="4"/>
    </row>
    <row r="82" ht="15.75" customHeight="1">
      <c r="A82" s="1"/>
      <c r="B82" s="1"/>
      <c r="C82" s="1"/>
      <c r="D82" s="1"/>
      <c r="E82" s="1"/>
      <c r="F82" s="1"/>
      <c r="G82" s="1"/>
      <c r="H82" s="1"/>
      <c r="I82" s="1"/>
      <c r="J82" s="4"/>
      <c r="K82" s="4"/>
      <c r="L82" s="4"/>
      <c r="M82" s="4"/>
      <c r="N82" s="4"/>
      <c r="O82" s="4"/>
      <c r="P82" s="4"/>
      <c r="Q82" s="4"/>
      <c r="R82" s="4"/>
      <c r="S82" s="4"/>
      <c r="T82" s="4"/>
      <c r="U82" s="4"/>
      <c r="V82" s="4"/>
      <c r="W82" s="4"/>
      <c r="X82" s="4"/>
      <c r="Y82" s="4"/>
      <c r="Z82" s="4"/>
    </row>
    <row r="83" ht="15.75" customHeight="1">
      <c r="A83" s="1"/>
      <c r="B83" s="1"/>
      <c r="C83" s="1"/>
      <c r="D83" s="1"/>
      <c r="E83" s="1"/>
      <c r="F83" s="1"/>
      <c r="G83" s="1"/>
      <c r="H83" s="1"/>
      <c r="I83" s="1"/>
      <c r="J83" s="4"/>
      <c r="K83" s="4"/>
      <c r="L83" s="4"/>
      <c r="M83" s="4"/>
      <c r="N83" s="4"/>
      <c r="O83" s="4"/>
      <c r="P83" s="4"/>
      <c r="Q83" s="4"/>
      <c r="R83" s="4"/>
      <c r="S83" s="4"/>
      <c r="T83" s="4"/>
      <c r="U83" s="4"/>
      <c r="V83" s="4"/>
      <c r="W83" s="4"/>
      <c r="X83" s="4"/>
      <c r="Y83" s="4"/>
      <c r="Z83" s="4"/>
    </row>
    <row r="84" ht="15.75" customHeight="1">
      <c r="A84" s="1"/>
      <c r="B84" s="1"/>
      <c r="C84" s="1"/>
      <c r="D84" s="1"/>
      <c r="E84" s="1"/>
      <c r="F84" s="1"/>
      <c r="G84" s="1"/>
      <c r="H84" s="1"/>
      <c r="I84" s="1"/>
      <c r="J84" s="4"/>
      <c r="K84" s="4"/>
      <c r="L84" s="4"/>
      <c r="M84" s="4"/>
      <c r="N84" s="4"/>
      <c r="O84" s="4"/>
      <c r="P84" s="4"/>
      <c r="Q84" s="4"/>
      <c r="R84" s="4"/>
      <c r="S84" s="4"/>
      <c r="T84" s="4"/>
      <c r="U84" s="4"/>
      <c r="V84" s="4"/>
      <c r="W84" s="4"/>
      <c r="X84" s="4"/>
      <c r="Y84" s="4"/>
      <c r="Z84" s="4"/>
    </row>
    <row r="85" ht="15.75" customHeight="1">
      <c r="A85" s="1"/>
      <c r="B85" s="1"/>
      <c r="C85" s="1"/>
      <c r="D85" s="1"/>
      <c r="E85" s="1"/>
      <c r="F85" s="1"/>
      <c r="G85" s="1"/>
      <c r="H85" s="1"/>
      <c r="I85" s="1"/>
      <c r="J85" s="4"/>
      <c r="K85" s="4"/>
      <c r="L85" s="4"/>
      <c r="M85" s="4"/>
      <c r="N85" s="4"/>
      <c r="O85" s="4"/>
      <c r="P85" s="4"/>
      <c r="Q85" s="4"/>
      <c r="R85" s="4"/>
      <c r="S85" s="4"/>
      <c r="T85" s="4"/>
      <c r="U85" s="4"/>
      <c r="V85" s="4"/>
      <c r="W85" s="4"/>
      <c r="X85" s="4"/>
      <c r="Y85" s="4"/>
      <c r="Z85" s="4"/>
    </row>
    <row r="86" ht="15.75" customHeight="1">
      <c r="A86" s="1"/>
      <c r="B86" s="1"/>
      <c r="C86" s="1"/>
      <c r="D86" s="1"/>
      <c r="E86" s="1"/>
      <c r="F86" s="1"/>
      <c r="G86" s="1"/>
      <c r="H86" s="1"/>
      <c r="I86" s="1"/>
      <c r="J86" s="4"/>
      <c r="K86" s="4"/>
      <c r="L86" s="4"/>
      <c r="M86" s="4"/>
      <c r="N86" s="4"/>
      <c r="O86" s="4"/>
      <c r="P86" s="4"/>
      <c r="Q86" s="4"/>
      <c r="R86" s="4"/>
      <c r="S86" s="4"/>
      <c r="T86" s="4"/>
      <c r="U86" s="4"/>
      <c r="V86" s="4"/>
      <c r="W86" s="4"/>
      <c r="X86" s="4"/>
      <c r="Y86" s="4"/>
      <c r="Z86" s="4"/>
    </row>
    <row r="87" ht="15.75" customHeight="1">
      <c r="A87" s="1"/>
      <c r="B87" s="1"/>
      <c r="C87" s="1"/>
      <c r="D87" s="1"/>
      <c r="E87" s="1"/>
      <c r="F87" s="1"/>
      <c r="G87" s="1"/>
      <c r="H87" s="1"/>
      <c r="I87" s="1"/>
      <c r="J87" s="4"/>
      <c r="K87" s="4"/>
      <c r="L87" s="4"/>
      <c r="M87" s="4"/>
      <c r="N87" s="4"/>
      <c r="O87" s="4"/>
      <c r="P87" s="4"/>
      <c r="Q87" s="4"/>
      <c r="R87" s="4"/>
      <c r="S87" s="4"/>
      <c r="T87" s="4"/>
      <c r="U87" s="4"/>
      <c r="V87" s="4"/>
      <c r="W87" s="4"/>
      <c r="X87" s="4"/>
      <c r="Y87" s="4"/>
      <c r="Z87" s="4"/>
    </row>
    <row r="88" ht="15.75" customHeight="1">
      <c r="A88" s="1"/>
      <c r="B88" s="1"/>
      <c r="C88" s="1"/>
      <c r="D88" s="1"/>
      <c r="E88" s="1"/>
      <c r="F88" s="1"/>
      <c r="G88" s="1"/>
      <c r="H88" s="1"/>
      <c r="I88" s="1"/>
      <c r="J88" s="4"/>
      <c r="K88" s="4"/>
      <c r="L88" s="4"/>
      <c r="M88" s="4"/>
      <c r="N88" s="4"/>
      <c r="O88" s="4"/>
      <c r="P88" s="4"/>
      <c r="Q88" s="4"/>
      <c r="R88" s="4"/>
      <c r="S88" s="4"/>
      <c r="T88" s="4"/>
      <c r="U88" s="4"/>
      <c r="V88" s="4"/>
      <c r="W88" s="4"/>
      <c r="X88" s="4"/>
      <c r="Y88" s="4"/>
      <c r="Z88" s="4"/>
    </row>
    <row r="89" ht="15.75" customHeight="1">
      <c r="A89" s="1"/>
      <c r="B89" s="1"/>
      <c r="C89" s="1"/>
      <c r="D89" s="1"/>
      <c r="E89" s="1"/>
      <c r="F89" s="1"/>
      <c r="G89" s="1"/>
      <c r="H89" s="1"/>
      <c r="I89" s="1"/>
      <c r="J89" s="4"/>
      <c r="K89" s="4"/>
      <c r="L89" s="4"/>
      <c r="M89" s="4"/>
      <c r="N89" s="4"/>
      <c r="O89" s="4"/>
      <c r="P89" s="4"/>
      <c r="Q89" s="4"/>
      <c r="R89" s="4"/>
      <c r="S89" s="4"/>
      <c r="T89" s="4"/>
      <c r="U89" s="4"/>
      <c r="V89" s="4"/>
      <c r="W89" s="4"/>
      <c r="X89" s="4"/>
      <c r="Y89" s="4"/>
      <c r="Z89" s="4"/>
    </row>
    <row r="90" ht="15.75" customHeight="1">
      <c r="A90" s="1"/>
      <c r="B90" s="1"/>
      <c r="C90" s="1"/>
      <c r="D90" s="1"/>
      <c r="E90" s="1"/>
      <c r="F90" s="1"/>
      <c r="G90" s="1"/>
      <c r="H90" s="1"/>
      <c r="I90" s="1"/>
      <c r="J90" s="4"/>
      <c r="K90" s="4"/>
      <c r="L90" s="4"/>
      <c r="M90" s="4"/>
      <c r="N90" s="4"/>
      <c r="O90" s="4"/>
      <c r="P90" s="4"/>
      <c r="Q90" s="4"/>
      <c r="R90" s="4"/>
      <c r="S90" s="4"/>
      <c r="T90" s="4"/>
      <c r="U90" s="4"/>
      <c r="V90" s="4"/>
      <c r="W90" s="4"/>
      <c r="X90" s="4"/>
      <c r="Y90" s="4"/>
      <c r="Z90" s="4"/>
    </row>
    <row r="91" ht="15.75" customHeight="1">
      <c r="A91" s="1"/>
      <c r="B91" s="1"/>
      <c r="C91" s="1"/>
      <c r="D91" s="1"/>
      <c r="E91" s="1"/>
      <c r="F91" s="1"/>
      <c r="G91" s="1"/>
      <c r="H91" s="1"/>
      <c r="I91" s="1"/>
      <c r="J91" s="4"/>
      <c r="K91" s="4"/>
      <c r="L91" s="4"/>
      <c r="M91" s="4"/>
      <c r="N91" s="4"/>
      <c r="O91" s="4"/>
      <c r="P91" s="4"/>
      <c r="Q91" s="4"/>
      <c r="R91" s="4"/>
      <c r="S91" s="4"/>
      <c r="T91" s="4"/>
      <c r="U91" s="4"/>
      <c r="V91" s="4"/>
      <c r="W91" s="4"/>
      <c r="X91" s="4"/>
      <c r="Y91" s="4"/>
      <c r="Z91" s="4"/>
    </row>
    <row r="92" ht="15.75" customHeight="1">
      <c r="A92" s="1"/>
      <c r="B92" s="1"/>
      <c r="C92" s="1"/>
      <c r="D92" s="1"/>
      <c r="E92" s="1"/>
      <c r="F92" s="1"/>
      <c r="G92" s="1"/>
      <c r="H92" s="1"/>
      <c r="I92" s="1"/>
      <c r="J92" s="4"/>
      <c r="K92" s="4"/>
      <c r="L92" s="4"/>
      <c r="M92" s="4"/>
      <c r="N92" s="4"/>
      <c r="O92" s="4"/>
      <c r="P92" s="4"/>
      <c r="Q92" s="4"/>
      <c r="R92" s="4"/>
      <c r="S92" s="4"/>
      <c r="T92" s="4"/>
      <c r="U92" s="4"/>
      <c r="V92" s="4"/>
      <c r="W92" s="4"/>
      <c r="X92" s="4"/>
      <c r="Y92" s="4"/>
      <c r="Z92" s="4"/>
    </row>
    <row r="93" ht="15.75" customHeight="1">
      <c r="A93" s="1"/>
      <c r="B93" s="1"/>
      <c r="C93" s="1"/>
      <c r="D93" s="1"/>
      <c r="E93" s="1"/>
      <c r="F93" s="1"/>
      <c r="G93" s="1"/>
      <c r="H93" s="1"/>
      <c r="I93" s="1"/>
      <c r="J93" s="4"/>
      <c r="K93" s="4"/>
      <c r="L93" s="4"/>
      <c r="M93" s="4"/>
      <c r="N93" s="4"/>
      <c r="O93" s="4"/>
      <c r="P93" s="4"/>
      <c r="Q93" s="4"/>
      <c r="R93" s="4"/>
      <c r="S93" s="4"/>
      <c r="T93" s="4"/>
      <c r="U93" s="4"/>
      <c r="V93" s="4"/>
      <c r="W93" s="4"/>
      <c r="X93" s="4"/>
      <c r="Y93" s="4"/>
      <c r="Z93" s="4"/>
    </row>
    <row r="94" ht="15.75" customHeight="1">
      <c r="A94" s="1"/>
      <c r="B94" s="1"/>
      <c r="C94" s="1"/>
      <c r="D94" s="1"/>
      <c r="E94" s="1"/>
      <c r="F94" s="1"/>
      <c r="G94" s="1"/>
      <c r="H94" s="1"/>
      <c r="I94" s="1"/>
      <c r="J94" s="4"/>
      <c r="K94" s="4"/>
      <c r="L94" s="4"/>
      <c r="M94" s="4"/>
      <c r="N94" s="4"/>
      <c r="O94" s="4"/>
      <c r="P94" s="4"/>
      <c r="Q94" s="4"/>
      <c r="R94" s="4"/>
      <c r="S94" s="4"/>
      <c r="T94" s="4"/>
      <c r="U94" s="4"/>
      <c r="V94" s="4"/>
      <c r="W94" s="4"/>
      <c r="X94" s="4"/>
      <c r="Y94" s="4"/>
      <c r="Z94" s="4"/>
    </row>
    <row r="95" ht="15.75" customHeight="1">
      <c r="A95" s="1"/>
      <c r="B95" s="1"/>
      <c r="C95" s="1"/>
      <c r="D95" s="1"/>
      <c r="E95" s="1"/>
      <c r="F95" s="1"/>
      <c r="G95" s="1"/>
      <c r="H95" s="1"/>
      <c r="I95" s="1"/>
      <c r="J95" s="4"/>
      <c r="K95" s="4"/>
      <c r="L95" s="4"/>
      <c r="M95" s="4"/>
      <c r="N95" s="4"/>
      <c r="O95" s="4"/>
      <c r="P95" s="4"/>
      <c r="Q95" s="4"/>
      <c r="R95" s="4"/>
      <c r="S95" s="4"/>
      <c r="T95" s="4"/>
      <c r="U95" s="4"/>
      <c r="V95" s="4"/>
      <c r="W95" s="4"/>
      <c r="X95" s="4"/>
      <c r="Y95" s="4"/>
      <c r="Z95" s="4"/>
    </row>
    <row r="96" ht="15.75" customHeight="1">
      <c r="A96" s="1"/>
      <c r="B96" s="1"/>
      <c r="C96" s="1"/>
      <c r="D96" s="1"/>
      <c r="E96" s="1"/>
      <c r="F96" s="1"/>
      <c r="G96" s="1"/>
      <c r="H96" s="1"/>
      <c r="I96" s="1"/>
      <c r="J96" s="4"/>
      <c r="K96" s="4"/>
      <c r="L96" s="4"/>
      <c r="M96" s="4"/>
      <c r="N96" s="4"/>
      <c r="O96" s="4"/>
      <c r="P96" s="4"/>
      <c r="Q96" s="4"/>
      <c r="R96" s="4"/>
      <c r="S96" s="4"/>
      <c r="T96" s="4"/>
      <c r="U96" s="4"/>
      <c r="V96" s="4"/>
      <c r="W96" s="4"/>
      <c r="X96" s="4"/>
      <c r="Y96" s="4"/>
      <c r="Z96" s="4"/>
    </row>
    <row r="97" ht="15.75" customHeight="1">
      <c r="A97" s="1"/>
      <c r="B97" s="1"/>
      <c r="C97" s="1"/>
      <c r="D97" s="1"/>
      <c r="E97" s="1"/>
      <c r="F97" s="1"/>
      <c r="G97" s="1"/>
      <c r="H97" s="1"/>
      <c r="I97" s="1"/>
      <c r="J97" s="4"/>
      <c r="K97" s="4"/>
      <c r="L97" s="4"/>
      <c r="M97" s="4"/>
      <c r="N97" s="4"/>
      <c r="O97" s="4"/>
      <c r="P97" s="4"/>
      <c r="Q97" s="4"/>
      <c r="R97" s="4"/>
      <c r="S97" s="4"/>
      <c r="T97" s="4"/>
      <c r="U97" s="4"/>
      <c r="V97" s="4"/>
      <c r="W97" s="4"/>
      <c r="X97" s="4"/>
      <c r="Y97" s="4"/>
      <c r="Z97" s="4"/>
    </row>
    <row r="98" ht="15.75" customHeight="1">
      <c r="A98" s="1"/>
      <c r="B98" s="1"/>
      <c r="C98" s="1"/>
      <c r="D98" s="1"/>
      <c r="E98" s="1"/>
      <c r="F98" s="1"/>
      <c r="G98" s="1"/>
      <c r="H98" s="1"/>
      <c r="I98" s="1"/>
      <c r="J98" s="4"/>
      <c r="K98" s="4"/>
      <c r="L98" s="4"/>
      <c r="M98" s="4"/>
      <c r="N98" s="4"/>
      <c r="O98" s="4"/>
      <c r="P98" s="4"/>
      <c r="Q98" s="4"/>
      <c r="R98" s="4"/>
      <c r="S98" s="4"/>
      <c r="T98" s="4"/>
      <c r="U98" s="4"/>
      <c r="V98" s="4"/>
      <c r="W98" s="4"/>
      <c r="X98" s="4"/>
      <c r="Y98" s="4"/>
      <c r="Z98" s="4"/>
    </row>
    <row r="99" ht="15.75" customHeight="1">
      <c r="A99" s="1"/>
      <c r="B99" s="1"/>
      <c r="C99" s="1"/>
      <c r="D99" s="1"/>
      <c r="E99" s="1"/>
      <c r="F99" s="1"/>
      <c r="G99" s="1"/>
      <c r="H99" s="1"/>
      <c r="I99" s="1"/>
      <c r="J99" s="4"/>
      <c r="K99" s="4"/>
      <c r="L99" s="4"/>
      <c r="M99" s="4"/>
      <c r="N99" s="4"/>
      <c r="O99" s="4"/>
      <c r="P99" s="4"/>
      <c r="Q99" s="4"/>
      <c r="R99" s="4"/>
      <c r="S99" s="4"/>
      <c r="T99" s="4"/>
      <c r="U99" s="4"/>
      <c r="V99" s="4"/>
      <c r="W99" s="4"/>
      <c r="X99" s="4"/>
      <c r="Y99" s="4"/>
      <c r="Z99" s="4"/>
    </row>
    <row r="100" ht="15.75" customHeight="1">
      <c r="A100" s="1"/>
      <c r="B100" s="1"/>
      <c r="C100" s="1"/>
      <c r="D100" s="1"/>
      <c r="E100" s="1"/>
      <c r="F100" s="1"/>
      <c r="G100" s="1"/>
      <c r="H100" s="1"/>
      <c r="I100" s="1"/>
      <c r="J100" s="4"/>
      <c r="K100" s="4"/>
      <c r="L100" s="4"/>
      <c r="M100" s="4"/>
      <c r="N100" s="4"/>
      <c r="O100" s="4"/>
      <c r="P100" s="4"/>
      <c r="Q100" s="4"/>
      <c r="R100" s="4"/>
      <c r="S100" s="4"/>
      <c r="T100" s="4"/>
      <c r="U100" s="4"/>
      <c r="V100" s="4"/>
      <c r="W100" s="4"/>
      <c r="X100" s="4"/>
      <c r="Y100" s="4"/>
      <c r="Z100" s="4"/>
    </row>
    <row r="101" ht="15.75" customHeight="1">
      <c r="A101" s="1"/>
      <c r="B101" s="1"/>
      <c r="C101" s="1"/>
      <c r="D101" s="1"/>
      <c r="E101" s="1"/>
      <c r="F101" s="1"/>
      <c r="G101" s="1"/>
      <c r="H101" s="1"/>
      <c r="I101" s="1"/>
      <c r="J101" s="4"/>
      <c r="K101" s="4"/>
      <c r="L101" s="4"/>
      <c r="M101" s="4"/>
      <c r="N101" s="4"/>
      <c r="O101" s="4"/>
      <c r="P101" s="4"/>
      <c r="Q101" s="4"/>
      <c r="R101" s="4"/>
      <c r="S101" s="4"/>
      <c r="T101" s="4"/>
      <c r="U101" s="4"/>
      <c r="V101" s="4"/>
      <c r="W101" s="4"/>
      <c r="X101" s="4"/>
      <c r="Y101" s="4"/>
      <c r="Z101" s="4"/>
    </row>
    <row r="102" ht="15.75" customHeight="1">
      <c r="A102" s="1"/>
      <c r="B102" s="1"/>
      <c r="C102" s="1"/>
      <c r="D102" s="1"/>
      <c r="E102" s="1"/>
      <c r="F102" s="1"/>
      <c r="G102" s="1"/>
      <c r="H102" s="1"/>
      <c r="I102" s="1"/>
      <c r="J102" s="4"/>
      <c r="K102" s="4"/>
      <c r="L102" s="4"/>
      <c r="M102" s="4"/>
      <c r="N102" s="4"/>
      <c r="O102" s="4"/>
      <c r="P102" s="4"/>
      <c r="Q102" s="4"/>
      <c r="R102" s="4"/>
      <c r="S102" s="4"/>
      <c r="T102" s="4"/>
      <c r="U102" s="4"/>
      <c r="V102" s="4"/>
      <c r="W102" s="4"/>
      <c r="X102" s="4"/>
      <c r="Y102" s="4"/>
      <c r="Z102" s="4"/>
    </row>
    <row r="103" ht="15.75" customHeight="1">
      <c r="A103" s="1"/>
      <c r="B103" s="1"/>
      <c r="C103" s="1"/>
      <c r="D103" s="1"/>
      <c r="E103" s="1"/>
      <c r="F103" s="1"/>
      <c r="G103" s="1"/>
      <c r="H103" s="1"/>
      <c r="I103" s="1"/>
      <c r="J103" s="4"/>
      <c r="K103" s="4"/>
      <c r="L103" s="4"/>
      <c r="M103" s="4"/>
      <c r="N103" s="4"/>
      <c r="O103" s="4"/>
      <c r="P103" s="4"/>
      <c r="Q103" s="4"/>
      <c r="R103" s="4"/>
      <c r="S103" s="4"/>
      <c r="T103" s="4"/>
      <c r="U103" s="4"/>
      <c r="V103" s="4"/>
      <c r="W103" s="4"/>
      <c r="X103" s="4"/>
      <c r="Y103" s="4"/>
      <c r="Z103" s="4"/>
    </row>
    <row r="104" ht="15.75" customHeight="1">
      <c r="A104" s="1"/>
      <c r="B104" s="1"/>
      <c r="C104" s="1"/>
      <c r="D104" s="1"/>
      <c r="E104" s="1"/>
      <c r="F104" s="1"/>
      <c r="G104" s="1"/>
      <c r="H104" s="1"/>
      <c r="I104" s="1"/>
      <c r="J104" s="4"/>
      <c r="K104" s="4"/>
      <c r="L104" s="4"/>
      <c r="M104" s="4"/>
      <c r="N104" s="4"/>
      <c r="O104" s="4"/>
      <c r="P104" s="4"/>
      <c r="Q104" s="4"/>
      <c r="R104" s="4"/>
      <c r="S104" s="4"/>
      <c r="T104" s="4"/>
      <c r="U104" s="4"/>
      <c r="V104" s="4"/>
      <c r="W104" s="4"/>
      <c r="X104" s="4"/>
      <c r="Y104" s="4"/>
      <c r="Z104" s="4"/>
    </row>
    <row r="105" ht="15.75" customHeight="1">
      <c r="A105" s="1"/>
      <c r="B105" s="1"/>
      <c r="C105" s="1"/>
      <c r="D105" s="1"/>
      <c r="E105" s="1"/>
      <c r="F105" s="1"/>
      <c r="G105" s="1"/>
      <c r="H105" s="1"/>
      <c r="I105" s="1"/>
      <c r="J105" s="4"/>
      <c r="K105" s="4"/>
      <c r="L105" s="4"/>
      <c r="M105" s="4"/>
      <c r="N105" s="4"/>
      <c r="O105" s="4"/>
      <c r="P105" s="4"/>
      <c r="Q105" s="4"/>
      <c r="R105" s="4"/>
      <c r="S105" s="4"/>
      <c r="T105" s="4"/>
      <c r="U105" s="4"/>
      <c r="V105" s="4"/>
      <c r="W105" s="4"/>
      <c r="X105" s="4"/>
      <c r="Y105" s="4"/>
      <c r="Z105" s="4"/>
    </row>
    <row r="106" ht="15.75" customHeight="1">
      <c r="A106" s="1"/>
      <c r="B106" s="1"/>
      <c r="C106" s="1"/>
      <c r="D106" s="1"/>
      <c r="E106" s="1"/>
      <c r="F106" s="1"/>
      <c r="G106" s="1"/>
      <c r="H106" s="1"/>
      <c r="I106" s="1"/>
      <c r="J106" s="4"/>
      <c r="K106" s="4"/>
      <c r="L106" s="4"/>
      <c r="M106" s="4"/>
      <c r="N106" s="4"/>
      <c r="O106" s="4"/>
      <c r="P106" s="4"/>
      <c r="Q106" s="4"/>
      <c r="R106" s="4"/>
      <c r="S106" s="4"/>
      <c r="T106" s="4"/>
      <c r="U106" s="4"/>
      <c r="V106" s="4"/>
      <c r="W106" s="4"/>
      <c r="X106" s="4"/>
      <c r="Y106" s="4"/>
      <c r="Z106" s="4"/>
    </row>
    <row r="107" ht="15.75" customHeight="1">
      <c r="A107" s="1"/>
      <c r="B107" s="1"/>
      <c r="C107" s="1"/>
      <c r="D107" s="1"/>
      <c r="E107" s="1"/>
      <c r="F107" s="1"/>
      <c r="G107" s="1"/>
      <c r="H107" s="1"/>
      <c r="I107" s="1"/>
      <c r="J107" s="4"/>
      <c r="K107" s="4"/>
      <c r="L107" s="4"/>
      <c r="M107" s="4"/>
      <c r="N107" s="4"/>
      <c r="O107" s="4"/>
      <c r="P107" s="4"/>
      <c r="Q107" s="4"/>
      <c r="R107" s="4"/>
      <c r="S107" s="4"/>
      <c r="T107" s="4"/>
      <c r="U107" s="4"/>
      <c r="V107" s="4"/>
      <c r="W107" s="4"/>
      <c r="X107" s="4"/>
      <c r="Y107" s="4"/>
      <c r="Z107" s="4"/>
    </row>
    <row r="108" ht="15.75" customHeight="1">
      <c r="A108" s="1"/>
      <c r="B108" s="1"/>
      <c r="C108" s="1"/>
      <c r="D108" s="1"/>
      <c r="E108" s="1"/>
      <c r="F108" s="1"/>
      <c r="G108" s="1"/>
      <c r="H108" s="1"/>
      <c r="I108" s="1"/>
      <c r="J108" s="4"/>
      <c r="K108" s="4"/>
      <c r="L108" s="4"/>
      <c r="M108" s="4"/>
      <c r="N108" s="4"/>
      <c r="O108" s="4"/>
      <c r="P108" s="4"/>
      <c r="Q108" s="4"/>
      <c r="R108" s="4"/>
      <c r="S108" s="4"/>
      <c r="T108" s="4"/>
      <c r="U108" s="4"/>
      <c r="V108" s="4"/>
      <c r="W108" s="4"/>
      <c r="X108" s="4"/>
      <c r="Y108" s="4"/>
      <c r="Z108" s="4"/>
    </row>
    <row r="109" ht="15.75" customHeight="1">
      <c r="A109" s="1"/>
      <c r="B109" s="1"/>
      <c r="C109" s="1"/>
      <c r="D109" s="1"/>
      <c r="E109" s="1"/>
      <c r="F109" s="1"/>
      <c r="G109" s="1"/>
      <c r="H109" s="1"/>
      <c r="I109" s="1"/>
      <c r="J109" s="4"/>
      <c r="K109" s="4"/>
      <c r="L109" s="4"/>
      <c r="M109" s="4"/>
      <c r="N109" s="4"/>
      <c r="O109" s="4"/>
      <c r="P109" s="4"/>
      <c r="Q109" s="4"/>
      <c r="R109" s="4"/>
      <c r="S109" s="4"/>
      <c r="T109" s="4"/>
      <c r="U109" s="4"/>
      <c r="V109" s="4"/>
      <c r="W109" s="4"/>
      <c r="X109" s="4"/>
      <c r="Y109" s="4"/>
      <c r="Z109" s="4"/>
    </row>
    <row r="110" ht="15.75" customHeight="1">
      <c r="A110" s="1"/>
      <c r="B110" s="1"/>
      <c r="C110" s="1"/>
      <c r="D110" s="1"/>
      <c r="E110" s="1"/>
      <c r="F110" s="1"/>
      <c r="G110" s="1"/>
      <c r="H110" s="1"/>
      <c r="I110" s="1"/>
      <c r="J110" s="4"/>
      <c r="K110" s="4"/>
      <c r="L110" s="4"/>
      <c r="M110" s="4"/>
      <c r="N110" s="4"/>
      <c r="O110" s="4"/>
      <c r="P110" s="4"/>
      <c r="Q110" s="4"/>
      <c r="R110" s="4"/>
      <c r="S110" s="4"/>
      <c r="T110" s="4"/>
      <c r="U110" s="4"/>
      <c r="V110" s="4"/>
      <c r="W110" s="4"/>
      <c r="X110" s="4"/>
      <c r="Y110" s="4"/>
      <c r="Z110" s="4"/>
    </row>
    <row r="111" ht="15.75" customHeight="1">
      <c r="A111" s="1"/>
      <c r="B111" s="1"/>
      <c r="C111" s="1"/>
      <c r="D111" s="1"/>
      <c r="E111" s="1"/>
      <c r="F111" s="1"/>
      <c r="G111" s="1"/>
      <c r="H111" s="1"/>
      <c r="I111" s="1"/>
      <c r="J111" s="4"/>
      <c r="K111" s="4"/>
      <c r="L111" s="4"/>
      <c r="M111" s="4"/>
      <c r="N111" s="4"/>
      <c r="O111" s="4"/>
      <c r="P111" s="4"/>
      <c r="Q111" s="4"/>
      <c r="R111" s="4"/>
      <c r="S111" s="4"/>
      <c r="T111" s="4"/>
      <c r="U111" s="4"/>
      <c r="V111" s="4"/>
      <c r="W111" s="4"/>
      <c r="X111" s="4"/>
      <c r="Y111" s="4"/>
      <c r="Z111" s="4"/>
    </row>
    <row r="112" ht="15.75" customHeight="1">
      <c r="A112" s="1"/>
      <c r="B112" s="1"/>
      <c r="C112" s="1"/>
      <c r="D112" s="1"/>
      <c r="E112" s="1"/>
      <c r="F112" s="1"/>
      <c r="G112" s="1"/>
      <c r="H112" s="1"/>
      <c r="I112" s="1"/>
      <c r="J112" s="4"/>
      <c r="K112" s="4"/>
      <c r="L112" s="4"/>
      <c r="M112" s="4"/>
      <c r="N112" s="4"/>
      <c r="O112" s="4"/>
      <c r="P112" s="4"/>
      <c r="Q112" s="4"/>
      <c r="R112" s="4"/>
      <c r="S112" s="4"/>
      <c r="T112" s="4"/>
      <c r="U112" s="4"/>
      <c r="V112" s="4"/>
      <c r="W112" s="4"/>
      <c r="X112" s="4"/>
      <c r="Y112" s="4"/>
      <c r="Z112" s="4"/>
    </row>
    <row r="113" ht="15.75" customHeight="1">
      <c r="A113" s="1"/>
      <c r="B113" s="1"/>
      <c r="C113" s="1"/>
      <c r="D113" s="1"/>
      <c r="E113" s="1"/>
      <c r="F113" s="1"/>
      <c r="G113" s="1"/>
      <c r="H113" s="1"/>
      <c r="I113" s="1"/>
      <c r="J113" s="4"/>
      <c r="K113" s="4"/>
      <c r="L113" s="4"/>
      <c r="M113" s="4"/>
      <c r="N113" s="4"/>
      <c r="O113" s="4"/>
      <c r="P113" s="4"/>
      <c r="Q113" s="4"/>
      <c r="R113" s="4"/>
      <c r="S113" s="4"/>
      <c r="T113" s="4"/>
      <c r="U113" s="4"/>
      <c r="V113" s="4"/>
      <c r="W113" s="4"/>
      <c r="X113" s="4"/>
      <c r="Y113" s="4"/>
      <c r="Z113" s="4"/>
    </row>
    <row r="114" ht="15.75" customHeight="1">
      <c r="A114" s="1"/>
      <c r="B114" s="1"/>
      <c r="C114" s="1"/>
      <c r="D114" s="1"/>
      <c r="E114" s="1"/>
      <c r="F114" s="1"/>
      <c r="G114" s="1"/>
      <c r="H114" s="1"/>
      <c r="I114" s="1"/>
      <c r="J114" s="4"/>
      <c r="K114" s="4"/>
      <c r="L114" s="4"/>
      <c r="M114" s="4"/>
      <c r="N114" s="4"/>
      <c r="O114" s="4"/>
      <c r="P114" s="4"/>
      <c r="Q114" s="4"/>
      <c r="R114" s="4"/>
      <c r="S114" s="4"/>
      <c r="T114" s="4"/>
      <c r="U114" s="4"/>
      <c r="V114" s="4"/>
      <c r="W114" s="4"/>
      <c r="X114" s="4"/>
      <c r="Y114" s="4"/>
      <c r="Z114" s="4"/>
    </row>
    <row r="115" ht="15.75" customHeight="1">
      <c r="A115" s="1"/>
      <c r="B115" s="1"/>
      <c r="C115" s="1"/>
      <c r="D115" s="1"/>
      <c r="E115" s="1"/>
      <c r="F115" s="1"/>
      <c r="G115" s="1"/>
      <c r="H115" s="1"/>
      <c r="I115" s="1"/>
      <c r="J115" s="4"/>
      <c r="K115" s="4"/>
      <c r="L115" s="4"/>
      <c r="M115" s="4"/>
      <c r="N115" s="4"/>
      <c r="O115" s="4"/>
      <c r="P115" s="4"/>
      <c r="Q115" s="4"/>
      <c r="R115" s="4"/>
      <c r="S115" s="4"/>
      <c r="T115" s="4"/>
      <c r="U115" s="4"/>
      <c r="V115" s="4"/>
      <c r="W115" s="4"/>
      <c r="X115" s="4"/>
      <c r="Y115" s="4"/>
      <c r="Z115" s="4"/>
    </row>
    <row r="116" ht="15.75" customHeight="1">
      <c r="A116" s="1"/>
      <c r="B116" s="1"/>
      <c r="C116" s="1"/>
      <c r="D116" s="1"/>
      <c r="E116" s="1"/>
      <c r="F116" s="1"/>
      <c r="G116" s="1"/>
      <c r="H116" s="1"/>
      <c r="I116" s="1"/>
      <c r="J116" s="4"/>
      <c r="K116" s="4"/>
      <c r="L116" s="4"/>
      <c r="M116" s="4"/>
      <c r="N116" s="4"/>
      <c r="O116" s="4"/>
      <c r="P116" s="4"/>
      <c r="Q116" s="4"/>
      <c r="R116" s="4"/>
      <c r="S116" s="4"/>
      <c r="T116" s="4"/>
      <c r="U116" s="4"/>
      <c r="V116" s="4"/>
      <c r="W116" s="4"/>
      <c r="X116" s="4"/>
      <c r="Y116" s="4"/>
      <c r="Z116" s="4"/>
    </row>
    <row r="117" ht="15.75" customHeight="1">
      <c r="A117" s="1"/>
      <c r="B117" s="1"/>
      <c r="C117" s="1"/>
      <c r="D117" s="1"/>
      <c r="E117" s="1"/>
      <c r="F117" s="1"/>
      <c r="G117" s="1"/>
      <c r="H117" s="1"/>
      <c r="I117" s="1"/>
      <c r="J117" s="4"/>
      <c r="K117" s="4"/>
      <c r="L117" s="4"/>
      <c r="M117" s="4"/>
      <c r="N117" s="4"/>
      <c r="O117" s="4"/>
      <c r="P117" s="4"/>
      <c r="Q117" s="4"/>
      <c r="R117" s="4"/>
      <c r="S117" s="4"/>
      <c r="T117" s="4"/>
      <c r="U117" s="4"/>
      <c r="V117" s="4"/>
      <c r="W117" s="4"/>
      <c r="X117" s="4"/>
      <c r="Y117" s="4"/>
      <c r="Z117" s="4"/>
    </row>
    <row r="118" ht="15.75" customHeight="1">
      <c r="A118" s="1"/>
      <c r="B118" s="1"/>
      <c r="C118" s="1"/>
      <c r="D118" s="1"/>
      <c r="E118" s="1"/>
      <c r="F118" s="1"/>
      <c r="G118" s="1"/>
      <c r="H118" s="1"/>
      <c r="I118" s="1"/>
      <c r="J118" s="4"/>
      <c r="K118" s="4"/>
      <c r="L118" s="4"/>
      <c r="M118" s="4"/>
      <c r="N118" s="4"/>
      <c r="O118" s="4"/>
      <c r="P118" s="4"/>
      <c r="Q118" s="4"/>
      <c r="R118" s="4"/>
      <c r="S118" s="4"/>
      <c r="T118" s="4"/>
      <c r="U118" s="4"/>
      <c r="V118" s="4"/>
      <c r="W118" s="4"/>
      <c r="X118" s="4"/>
      <c r="Y118" s="4"/>
      <c r="Z118" s="4"/>
    </row>
    <row r="119" ht="15.75" customHeight="1">
      <c r="A119" s="1"/>
      <c r="B119" s="1"/>
      <c r="C119" s="1"/>
      <c r="D119" s="1"/>
      <c r="E119" s="1"/>
      <c r="F119" s="1"/>
      <c r="G119" s="1"/>
      <c r="H119" s="1"/>
      <c r="I119" s="1"/>
      <c r="J119" s="4"/>
      <c r="K119" s="4"/>
      <c r="L119" s="4"/>
      <c r="M119" s="4"/>
      <c r="N119" s="4"/>
      <c r="O119" s="4"/>
      <c r="P119" s="4"/>
      <c r="Q119" s="4"/>
      <c r="R119" s="4"/>
      <c r="S119" s="4"/>
      <c r="T119" s="4"/>
      <c r="U119" s="4"/>
      <c r="V119" s="4"/>
      <c r="W119" s="4"/>
      <c r="X119" s="4"/>
      <c r="Y119" s="4"/>
      <c r="Z119" s="4"/>
    </row>
    <row r="120" ht="15.75" customHeight="1">
      <c r="A120" s="1"/>
      <c r="B120" s="1"/>
      <c r="C120" s="1"/>
      <c r="D120" s="1"/>
      <c r="E120" s="1"/>
      <c r="F120" s="1"/>
      <c r="G120" s="1"/>
      <c r="H120" s="1"/>
      <c r="I120" s="1"/>
      <c r="J120" s="4"/>
      <c r="K120" s="4"/>
      <c r="L120" s="4"/>
      <c r="M120" s="4"/>
      <c r="N120" s="4"/>
      <c r="O120" s="4"/>
      <c r="P120" s="4"/>
      <c r="Q120" s="4"/>
      <c r="R120" s="4"/>
      <c r="S120" s="4"/>
      <c r="T120" s="4"/>
      <c r="U120" s="4"/>
      <c r="V120" s="4"/>
      <c r="W120" s="4"/>
      <c r="X120" s="4"/>
      <c r="Y120" s="4"/>
      <c r="Z120" s="4"/>
    </row>
    <row r="121" ht="15.75" customHeight="1">
      <c r="A121" s="1"/>
      <c r="B121" s="1"/>
      <c r="C121" s="1"/>
      <c r="D121" s="1"/>
      <c r="E121" s="1"/>
      <c r="F121" s="1"/>
      <c r="G121" s="1"/>
      <c r="H121" s="1"/>
      <c r="I121" s="1"/>
      <c r="J121" s="4"/>
      <c r="K121" s="4"/>
      <c r="L121" s="4"/>
      <c r="M121" s="4"/>
      <c r="N121" s="4"/>
      <c r="O121" s="4"/>
      <c r="P121" s="4"/>
      <c r="Q121" s="4"/>
      <c r="R121" s="4"/>
      <c r="S121" s="4"/>
      <c r="T121" s="4"/>
      <c r="U121" s="4"/>
      <c r="V121" s="4"/>
      <c r="W121" s="4"/>
      <c r="X121" s="4"/>
      <c r="Y121" s="4"/>
      <c r="Z121" s="4"/>
    </row>
    <row r="122" ht="15.75" customHeight="1">
      <c r="A122" s="1"/>
      <c r="B122" s="1"/>
      <c r="C122" s="1"/>
      <c r="D122" s="1"/>
      <c r="E122" s="1"/>
      <c r="F122" s="1"/>
      <c r="G122" s="1"/>
      <c r="H122" s="1"/>
      <c r="I122" s="1"/>
      <c r="J122" s="4"/>
      <c r="K122" s="4"/>
      <c r="L122" s="4"/>
      <c r="M122" s="4"/>
      <c r="N122" s="4"/>
      <c r="O122" s="4"/>
      <c r="P122" s="4"/>
      <c r="Q122" s="4"/>
      <c r="R122" s="4"/>
      <c r="S122" s="4"/>
      <c r="T122" s="4"/>
      <c r="U122" s="4"/>
      <c r="V122" s="4"/>
      <c r="W122" s="4"/>
      <c r="X122" s="4"/>
      <c r="Y122" s="4"/>
      <c r="Z122" s="4"/>
    </row>
    <row r="123" ht="15.75" customHeight="1">
      <c r="A123" s="1"/>
      <c r="B123" s="1"/>
      <c r="C123" s="1"/>
      <c r="D123" s="1"/>
      <c r="E123" s="1"/>
      <c r="F123" s="1"/>
      <c r="G123" s="1"/>
      <c r="H123" s="1"/>
      <c r="I123" s="1"/>
      <c r="J123" s="4"/>
      <c r="K123" s="4"/>
      <c r="L123" s="4"/>
      <c r="M123" s="4"/>
      <c r="N123" s="4"/>
      <c r="O123" s="4"/>
      <c r="P123" s="4"/>
      <c r="Q123" s="4"/>
      <c r="R123" s="4"/>
      <c r="S123" s="4"/>
      <c r="T123" s="4"/>
      <c r="U123" s="4"/>
      <c r="V123" s="4"/>
      <c r="W123" s="4"/>
      <c r="X123" s="4"/>
      <c r="Y123" s="4"/>
      <c r="Z123" s="4"/>
    </row>
    <row r="124" ht="15.75" customHeight="1">
      <c r="A124" s="1"/>
      <c r="B124" s="1"/>
      <c r="C124" s="1"/>
      <c r="D124" s="1"/>
      <c r="E124" s="1"/>
      <c r="F124" s="1"/>
      <c r="G124" s="1"/>
      <c r="H124" s="1"/>
      <c r="I124" s="1"/>
      <c r="J124" s="4"/>
      <c r="K124" s="4"/>
      <c r="L124" s="4"/>
      <c r="M124" s="4"/>
      <c r="N124" s="4"/>
      <c r="O124" s="4"/>
      <c r="P124" s="4"/>
      <c r="Q124" s="4"/>
      <c r="R124" s="4"/>
      <c r="S124" s="4"/>
      <c r="T124" s="4"/>
      <c r="U124" s="4"/>
      <c r="V124" s="4"/>
      <c r="W124" s="4"/>
      <c r="X124" s="4"/>
      <c r="Y124" s="4"/>
      <c r="Z124" s="4"/>
    </row>
    <row r="125" ht="15.75" customHeight="1">
      <c r="A125" s="1"/>
      <c r="B125" s="1"/>
      <c r="C125" s="1"/>
      <c r="D125" s="1"/>
      <c r="E125" s="1"/>
      <c r="F125" s="1"/>
      <c r="G125" s="1"/>
      <c r="H125" s="1"/>
      <c r="I125" s="1"/>
      <c r="J125" s="4"/>
      <c r="K125" s="4"/>
      <c r="L125" s="4"/>
      <c r="M125" s="4"/>
      <c r="N125" s="4"/>
      <c r="O125" s="4"/>
      <c r="P125" s="4"/>
      <c r="Q125" s="4"/>
      <c r="R125" s="4"/>
      <c r="S125" s="4"/>
      <c r="T125" s="4"/>
      <c r="U125" s="4"/>
      <c r="V125" s="4"/>
      <c r="W125" s="4"/>
      <c r="X125" s="4"/>
      <c r="Y125" s="4"/>
      <c r="Z125" s="4"/>
    </row>
    <row r="126" ht="15.75" customHeight="1">
      <c r="A126" s="1"/>
      <c r="B126" s="1"/>
      <c r="C126" s="1"/>
      <c r="D126" s="1"/>
      <c r="E126" s="1"/>
      <c r="F126" s="1"/>
      <c r="G126" s="1"/>
      <c r="H126" s="1"/>
      <c r="I126" s="1"/>
      <c r="J126" s="4"/>
      <c r="K126" s="4"/>
      <c r="L126" s="4"/>
      <c r="M126" s="4"/>
      <c r="N126" s="4"/>
      <c r="O126" s="4"/>
      <c r="P126" s="4"/>
      <c r="Q126" s="4"/>
      <c r="R126" s="4"/>
      <c r="S126" s="4"/>
      <c r="T126" s="4"/>
      <c r="U126" s="4"/>
      <c r="V126" s="4"/>
      <c r="W126" s="4"/>
      <c r="X126" s="4"/>
      <c r="Y126" s="4"/>
      <c r="Z126" s="4"/>
    </row>
    <row r="127" ht="15.75" customHeight="1">
      <c r="A127" s="1"/>
      <c r="B127" s="1"/>
      <c r="C127" s="1"/>
      <c r="D127" s="1"/>
      <c r="E127" s="1"/>
      <c r="F127" s="1"/>
      <c r="G127" s="1"/>
      <c r="H127" s="1"/>
      <c r="I127" s="1"/>
      <c r="J127" s="4"/>
      <c r="K127" s="4"/>
      <c r="L127" s="4"/>
      <c r="M127" s="4"/>
      <c r="N127" s="4"/>
      <c r="O127" s="4"/>
      <c r="P127" s="4"/>
      <c r="Q127" s="4"/>
      <c r="R127" s="4"/>
      <c r="S127" s="4"/>
      <c r="T127" s="4"/>
      <c r="U127" s="4"/>
      <c r="V127" s="4"/>
      <c r="W127" s="4"/>
      <c r="X127" s="4"/>
      <c r="Y127" s="4"/>
      <c r="Z127" s="4"/>
    </row>
    <row r="128" ht="15.75" customHeight="1">
      <c r="A128" s="1"/>
      <c r="B128" s="1"/>
      <c r="C128" s="1"/>
      <c r="D128" s="1"/>
      <c r="E128" s="1"/>
      <c r="F128" s="1"/>
      <c r="G128" s="1"/>
      <c r="H128" s="1"/>
      <c r="I128" s="1"/>
      <c r="J128" s="4"/>
      <c r="K128" s="4"/>
      <c r="L128" s="4"/>
      <c r="M128" s="4"/>
      <c r="N128" s="4"/>
      <c r="O128" s="4"/>
      <c r="P128" s="4"/>
      <c r="Q128" s="4"/>
      <c r="R128" s="4"/>
      <c r="S128" s="4"/>
      <c r="T128" s="4"/>
      <c r="U128" s="4"/>
      <c r="V128" s="4"/>
      <c r="W128" s="4"/>
      <c r="X128" s="4"/>
      <c r="Y128" s="4"/>
      <c r="Z128" s="4"/>
    </row>
    <row r="129" ht="15.75" customHeight="1">
      <c r="A129" s="1"/>
      <c r="B129" s="1"/>
      <c r="C129" s="1"/>
      <c r="D129" s="1"/>
      <c r="E129" s="1"/>
      <c r="F129" s="1"/>
      <c r="G129" s="1"/>
      <c r="H129" s="1"/>
      <c r="I129" s="1"/>
      <c r="J129" s="4"/>
      <c r="K129" s="4"/>
      <c r="L129" s="4"/>
      <c r="M129" s="4"/>
      <c r="N129" s="4"/>
      <c r="O129" s="4"/>
      <c r="P129" s="4"/>
      <c r="Q129" s="4"/>
      <c r="R129" s="4"/>
      <c r="S129" s="4"/>
      <c r="T129" s="4"/>
      <c r="U129" s="4"/>
      <c r="V129" s="4"/>
      <c r="W129" s="4"/>
      <c r="X129" s="4"/>
      <c r="Y129" s="4"/>
      <c r="Z129" s="4"/>
    </row>
    <row r="130" ht="15.75" customHeight="1">
      <c r="A130" s="1"/>
      <c r="B130" s="1"/>
      <c r="C130" s="1"/>
      <c r="D130" s="1"/>
      <c r="E130" s="1"/>
      <c r="F130" s="1"/>
      <c r="G130" s="1"/>
      <c r="H130" s="1"/>
      <c r="I130" s="1"/>
      <c r="J130" s="4"/>
      <c r="K130" s="4"/>
      <c r="L130" s="4"/>
      <c r="M130" s="4"/>
      <c r="N130" s="4"/>
      <c r="O130" s="4"/>
      <c r="P130" s="4"/>
      <c r="Q130" s="4"/>
      <c r="R130" s="4"/>
      <c r="S130" s="4"/>
      <c r="T130" s="4"/>
      <c r="U130" s="4"/>
      <c r="V130" s="4"/>
      <c r="W130" s="4"/>
      <c r="X130" s="4"/>
      <c r="Y130" s="4"/>
      <c r="Z130" s="4"/>
    </row>
    <row r="131" ht="15.75" customHeight="1">
      <c r="A131" s="1"/>
      <c r="B131" s="1"/>
      <c r="C131" s="1"/>
      <c r="D131" s="1"/>
      <c r="E131" s="1"/>
      <c r="F131" s="1"/>
      <c r="G131" s="1"/>
      <c r="H131" s="1"/>
      <c r="I131" s="1"/>
      <c r="J131" s="4"/>
      <c r="K131" s="4"/>
      <c r="L131" s="4"/>
      <c r="M131" s="4"/>
      <c r="N131" s="4"/>
      <c r="O131" s="4"/>
      <c r="P131" s="4"/>
      <c r="Q131" s="4"/>
      <c r="R131" s="4"/>
      <c r="S131" s="4"/>
      <c r="T131" s="4"/>
      <c r="U131" s="4"/>
      <c r="V131" s="4"/>
      <c r="W131" s="4"/>
      <c r="X131" s="4"/>
      <c r="Y131" s="4"/>
      <c r="Z131" s="4"/>
    </row>
    <row r="132" ht="15.75" customHeight="1">
      <c r="A132" s="1"/>
      <c r="B132" s="1"/>
      <c r="C132" s="1"/>
      <c r="D132" s="1"/>
      <c r="E132" s="1"/>
      <c r="F132" s="1"/>
      <c r="G132" s="1"/>
      <c r="H132" s="1"/>
      <c r="I132" s="1"/>
      <c r="J132" s="4"/>
      <c r="K132" s="4"/>
      <c r="L132" s="4"/>
      <c r="M132" s="4"/>
      <c r="N132" s="4"/>
      <c r="O132" s="4"/>
      <c r="P132" s="4"/>
      <c r="Q132" s="4"/>
      <c r="R132" s="4"/>
      <c r="S132" s="4"/>
      <c r="T132" s="4"/>
      <c r="U132" s="4"/>
      <c r="V132" s="4"/>
      <c r="W132" s="4"/>
      <c r="X132" s="4"/>
      <c r="Y132" s="4"/>
      <c r="Z132" s="4"/>
    </row>
    <row r="133" ht="15.75" customHeight="1">
      <c r="A133" s="1"/>
      <c r="B133" s="1"/>
      <c r="C133" s="1"/>
      <c r="D133" s="1"/>
      <c r="E133" s="1"/>
      <c r="F133" s="1"/>
      <c r="G133" s="1"/>
      <c r="H133" s="1"/>
      <c r="I133" s="1"/>
      <c r="J133" s="4"/>
      <c r="K133" s="4"/>
      <c r="L133" s="4"/>
      <c r="M133" s="4"/>
      <c r="N133" s="4"/>
      <c r="O133" s="4"/>
      <c r="P133" s="4"/>
      <c r="Q133" s="4"/>
      <c r="R133" s="4"/>
      <c r="S133" s="4"/>
      <c r="T133" s="4"/>
      <c r="U133" s="4"/>
      <c r="V133" s="4"/>
      <c r="W133" s="4"/>
      <c r="X133" s="4"/>
      <c r="Y133" s="4"/>
      <c r="Z133" s="4"/>
    </row>
    <row r="134" ht="15.75" customHeight="1">
      <c r="A134" s="1"/>
      <c r="B134" s="1"/>
      <c r="C134" s="1"/>
      <c r="D134" s="1"/>
      <c r="E134" s="1"/>
      <c r="F134" s="1"/>
      <c r="G134" s="1"/>
      <c r="H134" s="1"/>
      <c r="I134" s="1"/>
      <c r="J134" s="4"/>
      <c r="K134" s="4"/>
      <c r="L134" s="4"/>
      <c r="M134" s="4"/>
      <c r="N134" s="4"/>
      <c r="O134" s="4"/>
      <c r="P134" s="4"/>
      <c r="Q134" s="4"/>
      <c r="R134" s="4"/>
      <c r="S134" s="4"/>
      <c r="T134" s="4"/>
      <c r="U134" s="4"/>
      <c r="V134" s="4"/>
      <c r="W134" s="4"/>
      <c r="X134" s="4"/>
      <c r="Y134" s="4"/>
      <c r="Z134" s="4"/>
    </row>
    <row r="135" ht="15.75" customHeight="1">
      <c r="A135" s="1"/>
      <c r="B135" s="1"/>
      <c r="C135" s="1"/>
      <c r="D135" s="1"/>
      <c r="E135" s="1"/>
      <c r="F135" s="1"/>
      <c r="G135" s="1"/>
      <c r="H135" s="1"/>
      <c r="I135" s="1"/>
      <c r="J135" s="4"/>
      <c r="K135" s="4"/>
      <c r="L135" s="4"/>
      <c r="M135" s="4"/>
      <c r="N135" s="4"/>
      <c r="O135" s="4"/>
      <c r="P135" s="4"/>
      <c r="Q135" s="4"/>
      <c r="R135" s="4"/>
      <c r="S135" s="4"/>
      <c r="T135" s="4"/>
      <c r="U135" s="4"/>
      <c r="V135" s="4"/>
      <c r="W135" s="4"/>
      <c r="X135" s="4"/>
      <c r="Y135" s="4"/>
      <c r="Z135" s="4"/>
    </row>
    <row r="136" ht="15.75" customHeight="1">
      <c r="A136" s="1"/>
      <c r="B136" s="1"/>
      <c r="C136" s="1"/>
      <c r="D136" s="1"/>
      <c r="E136" s="1"/>
      <c r="F136" s="1"/>
      <c r="G136" s="1"/>
      <c r="H136" s="1"/>
      <c r="I136" s="1"/>
      <c r="J136" s="4"/>
      <c r="K136" s="4"/>
      <c r="L136" s="4"/>
      <c r="M136" s="4"/>
      <c r="N136" s="4"/>
      <c r="O136" s="4"/>
      <c r="P136" s="4"/>
      <c r="Q136" s="4"/>
      <c r="R136" s="4"/>
      <c r="S136" s="4"/>
      <c r="T136" s="4"/>
      <c r="U136" s="4"/>
      <c r="V136" s="4"/>
      <c r="W136" s="4"/>
      <c r="X136" s="4"/>
      <c r="Y136" s="4"/>
      <c r="Z136" s="4"/>
    </row>
    <row r="137" ht="15.75" customHeight="1">
      <c r="A137" s="1"/>
      <c r="B137" s="1"/>
      <c r="C137" s="1"/>
      <c r="D137" s="1"/>
      <c r="E137" s="1"/>
      <c r="F137" s="1"/>
      <c r="G137" s="1"/>
      <c r="H137" s="1"/>
      <c r="I137" s="1"/>
      <c r="J137" s="4"/>
      <c r="K137" s="4"/>
      <c r="L137" s="4"/>
      <c r="M137" s="4"/>
      <c r="N137" s="4"/>
      <c r="O137" s="4"/>
      <c r="P137" s="4"/>
      <c r="Q137" s="4"/>
      <c r="R137" s="4"/>
      <c r="S137" s="4"/>
      <c r="T137" s="4"/>
      <c r="U137" s="4"/>
      <c r="V137" s="4"/>
      <c r="W137" s="4"/>
      <c r="X137" s="4"/>
      <c r="Y137" s="4"/>
      <c r="Z137" s="4"/>
    </row>
    <row r="138" ht="15.75" customHeight="1">
      <c r="A138" s="1"/>
      <c r="B138" s="1"/>
      <c r="C138" s="1"/>
      <c r="D138" s="1"/>
      <c r="E138" s="1"/>
      <c r="F138" s="1"/>
      <c r="G138" s="1"/>
      <c r="H138" s="1"/>
      <c r="I138" s="1"/>
      <c r="J138" s="4"/>
      <c r="K138" s="4"/>
      <c r="L138" s="4"/>
      <c r="M138" s="4"/>
      <c r="N138" s="4"/>
      <c r="O138" s="4"/>
      <c r="P138" s="4"/>
      <c r="Q138" s="4"/>
      <c r="R138" s="4"/>
      <c r="S138" s="4"/>
      <c r="T138" s="4"/>
      <c r="U138" s="4"/>
      <c r="V138" s="4"/>
      <c r="W138" s="4"/>
      <c r="X138" s="4"/>
      <c r="Y138" s="4"/>
      <c r="Z138" s="4"/>
    </row>
    <row r="139" ht="15.75" customHeight="1">
      <c r="A139" s="1"/>
      <c r="B139" s="1"/>
      <c r="C139" s="1"/>
      <c r="D139" s="1"/>
      <c r="E139" s="1"/>
      <c r="F139" s="1"/>
      <c r="G139" s="1"/>
      <c r="H139" s="1"/>
      <c r="I139" s="1"/>
      <c r="J139" s="4"/>
      <c r="K139" s="4"/>
      <c r="L139" s="4"/>
      <c r="M139" s="4"/>
      <c r="N139" s="4"/>
      <c r="O139" s="4"/>
      <c r="P139" s="4"/>
      <c r="Q139" s="4"/>
      <c r="R139" s="4"/>
      <c r="S139" s="4"/>
      <c r="T139" s="4"/>
      <c r="U139" s="4"/>
      <c r="V139" s="4"/>
      <c r="W139" s="4"/>
      <c r="X139" s="4"/>
      <c r="Y139" s="4"/>
      <c r="Z139" s="4"/>
    </row>
    <row r="140" ht="15.75" customHeight="1">
      <c r="A140" s="1"/>
      <c r="B140" s="1"/>
      <c r="C140" s="1"/>
      <c r="D140" s="1"/>
      <c r="E140" s="1"/>
      <c r="F140" s="1"/>
      <c r="G140" s="1"/>
      <c r="H140" s="1"/>
      <c r="I140" s="1"/>
      <c r="J140" s="4"/>
      <c r="K140" s="4"/>
      <c r="L140" s="4"/>
      <c r="M140" s="4"/>
      <c r="N140" s="4"/>
      <c r="O140" s="4"/>
      <c r="P140" s="4"/>
      <c r="Q140" s="4"/>
      <c r="R140" s="4"/>
      <c r="S140" s="4"/>
      <c r="T140" s="4"/>
      <c r="U140" s="4"/>
      <c r="V140" s="4"/>
      <c r="W140" s="4"/>
      <c r="X140" s="4"/>
      <c r="Y140" s="4"/>
      <c r="Z140" s="4"/>
    </row>
    <row r="141" ht="15.75" customHeight="1">
      <c r="A141" s="1"/>
      <c r="B141" s="1"/>
      <c r="C141" s="1"/>
      <c r="D141" s="1"/>
      <c r="E141" s="1"/>
      <c r="F141" s="1"/>
      <c r="G141" s="1"/>
      <c r="H141" s="1"/>
      <c r="I141" s="1"/>
      <c r="J141" s="4"/>
      <c r="K141" s="4"/>
      <c r="L141" s="4"/>
      <c r="M141" s="4"/>
      <c r="N141" s="4"/>
      <c r="O141" s="4"/>
      <c r="P141" s="4"/>
      <c r="Q141" s="4"/>
      <c r="R141" s="4"/>
      <c r="S141" s="4"/>
      <c r="T141" s="4"/>
      <c r="U141" s="4"/>
      <c r="V141" s="4"/>
      <c r="W141" s="4"/>
      <c r="X141" s="4"/>
      <c r="Y141" s="4"/>
      <c r="Z141" s="4"/>
    </row>
    <row r="142" ht="15.75" customHeight="1">
      <c r="A142" s="1"/>
      <c r="B142" s="1"/>
      <c r="C142" s="1"/>
      <c r="D142" s="1"/>
      <c r="E142" s="1"/>
      <c r="F142" s="1"/>
      <c r="G142" s="1"/>
      <c r="H142" s="1"/>
      <c r="I142" s="1"/>
      <c r="J142" s="4"/>
      <c r="K142" s="4"/>
      <c r="L142" s="4"/>
      <c r="M142" s="4"/>
      <c r="N142" s="4"/>
      <c r="O142" s="4"/>
      <c r="P142" s="4"/>
      <c r="Q142" s="4"/>
      <c r="R142" s="4"/>
      <c r="S142" s="4"/>
      <c r="T142" s="4"/>
      <c r="U142" s="4"/>
      <c r="V142" s="4"/>
      <c r="W142" s="4"/>
      <c r="X142" s="4"/>
      <c r="Y142" s="4"/>
      <c r="Z142" s="4"/>
    </row>
    <row r="143" ht="15.75" customHeight="1">
      <c r="A143" s="1"/>
      <c r="B143" s="1"/>
      <c r="C143" s="1"/>
      <c r="D143" s="1"/>
      <c r="E143" s="1"/>
      <c r="F143" s="1"/>
      <c r="G143" s="1"/>
      <c r="H143" s="1"/>
      <c r="I143" s="1"/>
      <c r="J143" s="4"/>
      <c r="K143" s="4"/>
      <c r="L143" s="4"/>
      <c r="M143" s="4"/>
      <c r="N143" s="4"/>
      <c r="O143" s="4"/>
      <c r="P143" s="4"/>
      <c r="Q143" s="4"/>
      <c r="R143" s="4"/>
      <c r="S143" s="4"/>
      <c r="T143" s="4"/>
      <c r="U143" s="4"/>
      <c r="V143" s="4"/>
      <c r="W143" s="4"/>
      <c r="X143" s="4"/>
      <c r="Y143" s="4"/>
      <c r="Z143" s="4"/>
    </row>
    <row r="144" ht="15.75" customHeight="1">
      <c r="A144" s="1"/>
      <c r="B144" s="1"/>
      <c r="C144" s="1"/>
      <c r="D144" s="1"/>
      <c r="E144" s="1"/>
      <c r="F144" s="1"/>
      <c r="G144" s="1"/>
      <c r="H144" s="1"/>
      <c r="I144" s="1"/>
      <c r="J144" s="4"/>
      <c r="K144" s="4"/>
      <c r="L144" s="4"/>
      <c r="M144" s="4"/>
      <c r="N144" s="4"/>
      <c r="O144" s="4"/>
      <c r="P144" s="4"/>
      <c r="Q144" s="4"/>
      <c r="R144" s="4"/>
      <c r="S144" s="4"/>
      <c r="T144" s="4"/>
      <c r="U144" s="4"/>
      <c r="V144" s="4"/>
      <c r="W144" s="4"/>
      <c r="X144" s="4"/>
      <c r="Y144" s="4"/>
      <c r="Z144" s="4"/>
    </row>
    <row r="145" ht="15.75" customHeight="1">
      <c r="A145" s="1"/>
      <c r="B145" s="1"/>
      <c r="C145" s="1"/>
      <c r="D145" s="1"/>
      <c r="E145" s="1"/>
      <c r="F145" s="1"/>
      <c r="G145" s="1"/>
      <c r="H145" s="1"/>
      <c r="I145" s="1"/>
      <c r="J145" s="4"/>
      <c r="K145" s="4"/>
      <c r="L145" s="4"/>
      <c r="M145" s="4"/>
      <c r="N145" s="4"/>
      <c r="O145" s="4"/>
      <c r="P145" s="4"/>
      <c r="Q145" s="4"/>
      <c r="R145" s="4"/>
      <c r="S145" s="4"/>
      <c r="T145" s="4"/>
      <c r="U145" s="4"/>
      <c r="V145" s="4"/>
      <c r="W145" s="4"/>
      <c r="X145" s="4"/>
      <c r="Y145" s="4"/>
      <c r="Z145" s="4"/>
    </row>
    <row r="146" ht="15.75" customHeight="1">
      <c r="A146" s="1"/>
      <c r="B146" s="1"/>
      <c r="C146" s="1"/>
      <c r="D146" s="1"/>
      <c r="E146" s="1"/>
      <c r="F146" s="1"/>
      <c r="G146" s="1"/>
      <c r="H146" s="1"/>
      <c r="I146" s="1"/>
      <c r="J146" s="4"/>
      <c r="K146" s="4"/>
      <c r="L146" s="4"/>
      <c r="M146" s="4"/>
      <c r="N146" s="4"/>
      <c r="O146" s="4"/>
      <c r="P146" s="4"/>
      <c r="Q146" s="4"/>
      <c r="R146" s="4"/>
      <c r="S146" s="4"/>
      <c r="T146" s="4"/>
      <c r="U146" s="4"/>
      <c r="V146" s="4"/>
      <c r="W146" s="4"/>
      <c r="X146" s="4"/>
      <c r="Y146" s="4"/>
      <c r="Z146" s="4"/>
    </row>
    <row r="147" ht="15.75" customHeight="1">
      <c r="A147" s="1"/>
      <c r="B147" s="1"/>
      <c r="C147" s="1"/>
      <c r="D147" s="1"/>
      <c r="E147" s="1"/>
      <c r="F147" s="1"/>
      <c r="G147" s="1"/>
      <c r="H147" s="1"/>
      <c r="I147" s="1"/>
      <c r="J147" s="4"/>
      <c r="K147" s="4"/>
      <c r="L147" s="4"/>
      <c r="M147" s="4"/>
      <c r="N147" s="4"/>
      <c r="O147" s="4"/>
      <c r="P147" s="4"/>
      <c r="Q147" s="4"/>
      <c r="R147" s="4"/>
      <c r="S147" s="4"/>
      <c r="T147" s="4"/>
      <c r="U147" s="4"/>
      <c r="V147" s="4"/>
      <c r="W147" s="4"/>
      <c r="X147" s="4"/>
      <c r="Y147" s="4"/>
      <c r="Z147" s="4"/>
    </row>
    <row r="148" ht="15.75" customHeight="1">
      <c r="A148" s="1"/>
      <c r="B148" s="1"/>
      <c r="C148" s="1"/>
      <c r="D148" s="1"/>
      <c r="E148" s="1"/>
      <c r="F148" s="1"/>
      <c r="G148" s="1"/>
      <c r="H148" s="1"/>
      <c r="I148" s="1"/>
      <c r="J148" s="4"/>
      <c r="K148" s="4"/>
      <c r="L148" s="4"/>
      <c r="M148" s="4"/>
      <c r="N148" s="4"/>
      <c r="O148" s="4"/>
      <c r="P148" s="4"/>
      <c r="Q148" s="4"/>
      <c r="R148" s="4"/>
      <c r="S148" s="4"/>
      <c r="T148" s="4"/>
      <c r="U148" s="4"/>
      <c r="V148" s="4"/>
      <c r="W148" s="4"/>
      <c r="X148" s="4"/>
      <c r="Y148" s="4"/>
      <c r="Z148" s="4"/>
    </row>
    <row r="149" ht="15.75" customHeight="1">
      <c r="A149" s="1"/>
      <c r="B149" s="1"/>
      <c r="C149" s="1"/>
      <c r="D149" s="1"/>
      <c r="E149" s="1"/>
      <c r="F149" s="1"/>
      <c r="G149" s="1"/>
      <c r="H149" s="1"/>
      <c r="I149" s="1"/>
      <c r="J149" s="4"/>
      <c r="K149" s="4"/>
      <c r="L149" s="4"/>
      <c r="M149" s="4"/>
      <c r="N149" s="4"/>
      <c r="O149" s="4"/>
      <c r="P149" s="4"/>
      <c r="Q149" s="4"/>
      <c r="R149" s="4"/>
      <c r="S149" s="4"/>
      <c r="T149" s="4"/>
      <c r="U149" s="4"/>
      <c r="V149" s="4"/>
      <c r="W149" s="4"/>
      <c r="X149" s="4"/>
      <c r="Y149" s="4"/>
      <c r="Z149" s="4"/>
    </row>
    <row r="150" ht="15.75" customHeight="1">
      <c r="A150" s="1"/>
      <c r="B150" s="1"/>
      <c r="C150" s="1"/>
      <c r="D150" s="1"/>
      <c r="E150" s="1"/>
      <c r="F150" s="1"/>
      <c r="G150" s="1"/>
      <c r="H150" s="1"/>
      <c r="I150" s="1"/>
      <c r="J150" s="4"/>
      <c r="K150" s="4"/>
      <c r="L150" s="4"/>
      <c r="M150" s="4"/>
      <c r="N150" s="4"/>
      <c r="O150" s="4"/>
      <c r="P150" s="4"/>
      <c r="Q150" s="4"/>
      <c r="R150" s="4"/>
      <c r="S150" s="4"/>
      <c r="T150" s="4"/>
      <c r="U150" s="4"/>
      <c r="V150" s="4"/>
      <c r="W150" s="4"/>
      <c r="X150" s="4"/>
      <c r="Y150" s="4"/>
      <c r="Z150" s="4"/>
    </row>
    <row r="151" ht="15.75" customHeight="1">
      <c r="A151" s="1"/>
      <c r="B151" s="1"/>
      <c r="C151" s="1"/>
      <c r="D151" s="1"/>
      <c r="E151" s="1"/>
      <c r="F151" s="1"/>
      <c r="G151" s="1"/>
      <c r="H151" s="1"/>
      <c r="I151" s="1"/>
      <c r="J151" s="4"/>
      <c r="K151" s="4"/>
      <c r="L151" s="4"/>
      <c r="M151" s="4"/>
      <c r="N151" s="4"/>
      <c r="O151" s="4"/>
      <c r="P151" s="4"/>
      <c r="Q151" s="4"/>
      <c r="R151" s="4"/>
      <c r="S151" s="4"/>
      <c r="T151" s="4"/>
      <c r="U151" s="4"/>
      <c r="V151" s="4"/>
      <c r="W151" s="4"/>
      <c r="X151" s="4"/>
      <c r="Y151" s="4"/>
      <c r="Z151" s="4"/>
    </row>
    <row r="152" ht="15.75" customHeight="1">
      <c r="A152" s="1"/>
      <c r="B152" s="1"/>
      <c r="C152" s="1"/>
      <c r="D152" s="1"/>
      <c r="E152" s="1"/>
      <c r="F152" s="1"/>
      <c r="G152" s="1"/>
      <c r="H152" s="1"/>
      <c r="I152" s="1"/>
      <c r="J152" s="4"/>
      <c r="K152" s="4"/>
      <c r="L152" s="4"/>
      <c r="M152" s="4"/>
      <c r="N152" s="4"/>
      <c r="O152" s="4"/>
      <c r="P152" s="4"/>
      <c r="Q152" s="4"/>
      <c r="R152" s="4"/>
      <c r="S152" s="4"/>
      <c r="T152" s="4"/>
      <c r="U152" s="4"/>
      <c r="V152" s="4"/>
      <c r="W152" s="4"/>
      <c r="X152" s="4"/>
      <c r="Y152" s="4"/>
      <c r="Z152" s="4"/>
    </row>
    <row r="153" ht="15.75" customHeight="1">
      <c r="A153" s="1"/>
      <c r="B153" s="1"/>
      <c r="C153" s="1"/>
      <c r="D153" s="1"/>
      <c r="E153" s="1"/>
      <c r="F153" s="1"/>
      <c r="G153" s="1"/>
      <c r="H153" s="1"/>
      <c r="I153" s="1"/>
      <c r="J153" s="4"/>
      <c r="K153" s="4"/>
      <c r="L153" s="4"/>
      <c r="M153" s="4"/>
      <c r="N153" s="4"/>
      <c r="O153" s="4"/>
      <c r="P153" s="4"/>
      <c r="Q153" s="4"/>
      <c r="R153" s="4"/>
      <c r="S153" s="4"/>
      <c r="T153" s="4"/>
      <c r="U153" s="4"/>
      <c r="V153" s="4"/>
      <c r="W153" s="4"/>
      <c r="X153" s="4"/>
      <c r="Y153" s="4"/>
      <c r="Z153" s="4"/>
    </row>
    <row r="154" ht="15.75" customHeight="1">
      <c r="A154" s="1"/>
      <c r="B154" s="1"/>
      <c r="C154" s="1"/>
      <c r="D154" s="1"/>
      <c r="E154" s="1"/>
      <c r="F154" s="1"/>
      <c r="G154" s="1"/>
      <c r="H154" s="1"/>
      <c r="I154" s="1"/>
      <c r="J154" s="4"/>
      <c r="K154" s="4"/>
      <c r="L154" s="4"/>
      <c r="M154" s="4"/>
      <c r="N154" s="4"/>
      <c r="O154" s="4"/>
      <c r="P154" s="4"/>
      <c r="Q154" s="4"/>
      <c r="R154" s="4"/>
      <c r="S154" s="4"/>
      <c r="T154" s="4"/>
      <c r="U154" s="4"/>
      <c r="V154" s="4"/>
      <c r="W154" s="4"/>
      <c r="X154" s="4"/>
      <c r="Y154" s="4"/>
      <c r="Z154" s="4"/>
    </row>
    <row r="155" ht="15.75" customHeight="1">
      <c r="A155" s="1"/>
      <c r="B155" s="1"/>
      <c r="C155" s="1"/>
      <c r="D155" s="1"/>
      <c r="E155" s="1"/>
      <c r="F155" s="1"/>
      <c r="G155" s="1"/>
      <c r="H155" s="1"/>
      <c r="I155" s="1"/>
      <c r="J155" s="4"/>
      <c r="K155" s="4"/>
      <c r="L155" s="4"/>
      <c r="M155" s="4"/>
      <c r="N155" s="4"/>
      <c r="O155" s="4"/>
      <c r="P155" s="4"/>
      <c r="Q155" s="4"/>
      <c r="R155" s="4"/>
      <c r="S155" s="4"/>
      <c r="T155" s="4"/>
      <c r="U155" s="4"/>
      <c r="V155" s="4"/>
      <c r="W155" s="4"/>
      <c r="X155" s="4"/>
      <c r="Y155" s="4"/>
      <c r="Z155" s="4"/>
    </row>
    <row r="156" ht="15.75" customHeight="1">
      <c r="A156" s="1"/>
      <c r="B156" s="1"/>
      <c r="C156" s="1"/>
      <c r="D156" s="1"/>
      <c r="E156" s="1"/>
      <c r="F156" s="1"/>
      <c r="G156" s="1"/>
      <c r="H156" s="1"/>
      <c r="I156" s="1"/>
      <c r="J156" s="4"/>
      <c r="K156" s="4"/>
      <c r="L156" s="4"/>
      <c r="M156" s="4"/>
      <c r="N156" s="4"/>
      <c r="O156" s="4"/>
      <c r="P156" s="4"/>
      <c r="Q156" s="4"/>
      <c r="R156" s="4"/>
      <c r="S156" s="4"/>
      <c r="T156" s="4"/>
      <c r="U156" s="4"/>
      <c r="V156" s="4"/>
      <c r="W156" s="4"/>
      <c r="X156" s="4"/>
      <c r="Y156" s="4"/>
      <c r="Z156" s="4"/>
    </row>
    <row r="157" ht="15.75" customHeight="1">
      <c r="A157" s="1"/>
      <c r="B157" s="1"/>
      <c r="C157" s="1"/>
      <c r="D157" s="1"/>
      <c r="E157" s="1"/>
      <c r="F157" s="1"/>
      <c r="G157" s="1"/>
      <c r="H157" s="1"/>
      <c r="I157" s="1"/>
      <c r="J157" s="4"/>
      <c r="K157" s="4"/>
      <c r="L157" s="4"/>
      <c r="M157" s="4"/>
      <c r="N157" s="4"/>
      <c r="O157" s="4"/>
      <c r="P157" s="4"/>
      <c r="Q157" s="4"/>
      <c r="R157" s="4"/>
      <c r="S157" s="4"/>
      <c r="T157" s="4"/>
      <c r="U157" s="4"/>
      <c r="V157" s="4"/>
      <c r="W157" s="4"/>
      <c r="X157" s="4"/>
      <c r="Y157" s="4"/>
      <c r="Z157" s="4"/>
    </row>
    <row r="158" ht="15.75" customHeight="1">
      <c r="A158" s="1"/>
      <c r="B158" s="1"/>
      <c r="C158" s="1"/>
      <c r="D158" s="1"/>
      <c r="E158" s="1"/>
      <c r="F158" s="1"/>
      <c r="G158" s="1"/>
      <c r="H158" s="1"/>
      <c r="I158" s="1"/>
      <c r="J158" s="4"/>
      <c r="K158" s="4"/>
      <c r="L158" s="4"/>
      <c r="M158" s="4"/>
      <c r="N158" s="4"/>
      <c r="O158" s="4"/>
      <c r="P158" s="4"/>
      <c r="Q158" s="4"/>
      <c r="R158" s="4"/>
      <c r="S158" s="4"/>
      <c r="T158" s="4"/>
      <c r="U158" s="4"/>
      <c r="V158" s="4"/>
      <c r="W158" s="4"/>
      <c r="X158" s="4"/>
      <c r="Y158" s="4"/>
      <c r="Z158" s="4"/>
    </row>
    <row r="159" ht="15.75" customHeight="1">
      <c r="A159" s="1"/>
      <c r="B159" s="1"/>
      <c r="C159" s="1"/>
      <c r="D159" s="1"/>
      <c r="E159" s="1"/>
      <c r="F159" s="1"/>
      <c r="G159" s="1"/>
      <c r="H159" s="1"/>
      <c r="I159" s="1"/>
      <c r="J159" s="4"/>
      <c r="K159" s="4"/>
      <c r="L159" s="4"/>
      <c r="M159" s="4"/>
      <c r="N159" s="4"/>
      <c r="O159" s="4"/>
      <c r="P159" s="4"/>
      <c r="Q159" s="4"/>
      <c r="R159" s="4"/>
      <c r="S159" s="4"/>
      <c r="T159" s="4"/>
      <c r="U159" s="4"/>
      <c r="V159" s="4"/>
      <c r="W159" s="4"/>
      <c r="X159" s="4"/>
      <c r="Y159" s="4"/>
      <c r="Z159" s="4"/>
    </row>
    <row r="160" ht="15.75" customHeight="1">
      <c r="A160" s="1"/>
      <c r="B160" s="1"/>
      <c r="C160" s="1"/>
      <c r="D160" s="1"/>
      <c r="E160" s="1"/>
      <c r="F160" s="1"/>
      <c r="G160" s="1"/>
      <c r="H160" s="1"/>
      <c r="I160" s="1"/>
      <c r="J160" s="4"/>
      <c r="K160" s="4"/>
      <c r="L160" s="4"/>
      <c r="M160" s="4"/>
      <c r="N160" s="4"/>
      <c r="O160" s="4"/>
      <c r="P160" s="4"/>
      <c r="Q160" s="4"/>
      <c r="R160" s="4"/>
      <c r="S160" s="4"/>
      <c r="T160" s="4"/>
      <c r="U160" s="4"/>
      <c r="V160" s="4"/>
      <c r="W160" s="4"/>
      <c r="X160" s="4"/>
      <c r="Y160" s="4"/>
      <c r="Z160" s="4"/>
    </row>
    <row r="161" ht="15.75" customHeight="1">
      <c r="A161" s="1"/>
      <c r="B161" s="1"/>
      <c r="C161" s="1"/>
      <c r="D161" s="1"/>
      <c r="E161" s="1"/>
      <c r="F161" s="1"/>
      <c r="G161" s="1"/>
      <c r="H161" s="1"/>
      <c r="I161" s="1"/>
      <c r="J161" s="4"/>
      <c r="K161" s="4"/>
      <c r="L161" s="4"/>
      <c r="M161" s="4"/>
      <c r="N161" s="4"/>
      <c r="O161" s="4"/>
      <c r="P161" s="4"/>
      <c r="Q161" s="4"/>
      <c r="R161" s="4"/>
      <c r="S161" s="4"/>
      <c r="T161" s="4"/>
      <c r="U161" s="4"/>
      <c r="V161" s="4"/>
      <c r="W161" s="4"/>
      <c r="X161" s="4"/>
      <c r="Y161" s="4"/>
      <c r="Z161" s="4"/>
    </row>
    <row r="162" ht="15.75" customHeight="1">
      <c r="A162" s="1"/>
      <c r="B162" s="1"/>
      <c r="C162" s="1"/>
      <c r="D162" s="1"/>
      <c r="E162" s="1"/>
      <c r="F162" s="1"/>
      <c r="G162" s="1"/>
      <c r="H162" s="1"/>
      <c r="I162" s="1"/>
      <c r="J162" s="4"/>
      <c r="K162" s="4"/>
      <c r="L162" s="4"/>
      <c r="M162" s="4"/>
      <c r="N162" s="4"/>
      <c r="O162" s="4"/>
      <c r="P162" s="4"/>
      <c r="Q162" s="4"/>
      <c r="R162" s="4"/>
      <c r="S162" s="4"/>
      <c r="T162" s="4"/>
      <c r="U162" s="4"/>
      <c r="V162" s="4"/>
      <c r="W162" s="4"/>
      <c r="X162" s="4"/>
      <c r="Y162" s="4"/>
      <c r="Z162" s="4"/>
    </row>
    <row r="163" ht="15.75" customHeight="1">
      <c r="A163" s="1"/>
      <c r="B163" s="1"/>
      <c r="C163" s="1"/>
      <c r="D163" s="1"/>
      <c r="E163" s="1"/>
      <c r="F163" s="1"/>
      <c r="G163" s="1"/>
      <c r="H163" s="1"/>
      <c r="I163" s="1"/>
      <c r="J163" s="4"/>
      <c r="K163" s="4"/>
      <c r="L163" s="4"/>
      <c r="M163" s="4"/>
      <c r="N163" s="4"/>
      <c r="O163" s="4"/>
      <c r="P163" s="4"/>
      <c r="Q163" s="4"/>
      <c r="R163" s="4"/>
      <c r="S163" s="4"/>
      <c r="T163" s="4"/>
      <c r="U163" s="4"/>
      <c r="V163" s="4"/>
      <c r="W163" s="4"/>
      <c r="X163" s="4"/>
      <c r="Y163" s="4"/>
      <c r="Z163" s="4"/>
    </row>
    <row r="164" ht="15.75" customHeight="1">
      <c r="A164" s="1"/>
      <c r="B164" s="1"/>
      <c r="C164" s="1"/>
      <c r="D164" s="1"/>
      <c r="E164" s="1"/>
      <c r="F164" s="1"/>
      <c r="G164" s="1"/>
      <c r="H164" s="1"/>
      <c r="I164" s="1"/>
      <c r="J164" s="4"/>
      <c r="K164" s="4"/>
      <c r="L164" s="4"/>
      <c r="M164" s="4"/>
      <c r="N164" s="4"/>
      <c r="O164" s="4"/>
      <c r="P164" s="4"/>
      <c r="Q164" s="4"/>
      <c r="R164" s="4"/>
      <c r="S164" s="4"/>
      <c r="T164" s="4"/>
      <c r="U164" s="4"/>
      <c r="V164" s="4"/>
      <c r="W164" s="4"/>
      <c r="X164" s="4"/>
      <c r="Y164" s="4"/>
      <c r="Z164" s="4"/>
    </row>
    <row r="165" ht="15.75" customHeight="1">
      <c r="A165" s="1"/>
      <c r="B165" s="1"/>
      <c r="C165" s="1"/>
      <c r="D165" s="1"/>
      <c r="E165" s="1"/>
      <c r="F165" s="1"/>
      <c r="G165" s="1"/>
      <c r="H165" s="1"/>
      <c r="I165" s="1"/>
      <c r="J165" s="4"/>
      <c r="K165" s="4"/>
      <c r="L165" s="4"/>
      <c r="M165" s="4"/>
      <c r="N165" s="4"/>
      <c r="O165" s="4"/>
      <c r="P165" s="4"/>
      <c r="Q165" s="4"/>
      <c r="R165" s="4"/>
      <c r="S165" s="4"/>
      <c r="T165" s="4"/>
      <c r="U165" s="4"/>
      <c r="V165" s="4"/>
      <c r="W165" s="4"/>
      <c r="X165" s="4"/>
      <c r="Y165" s="4"/>
      <c r="Z165" s="4"/>
    </row>
    <row r="166" ht="15.75" customHeight="1">
      <c r="A166" s="1"/>
      <c r="B166" s="1"/>
      <c r="C166" s="1"/>
      <c r="D166" s="1"/>
      <c r="E166" s="1"/>
      <c r="F166" s="1"/>
      <c r="G166" s="1"/>
      <c r="H166" s="1"/>
      <c r="I166" s="1"/>
      <c r="J166" s="4"/>
      <c r="K166" s="4"/>
      <c r="L166" s="4"/>
      <c r="M166" s="4"/>
      <c r="N166" s="4"/>
      <c r="O166" s="4"/>
      <c r="P166" s="4"/>
      <c r="Q166" s="4"/>
      <c r="R166" s="4"/>
      <c r="S166" s="4"/>
      <c r="T166" s="4"/>
      <c r="U166" s="4"/>
      <c r="V166" s="4"/>
      <c r="W166" s="4"/>
      <c r="X166" s="4"/>
      <c r="Y166" s="4"/>
      <c r="Z166" s="4"/>
    </row>
    <row r="167" ht="15.75" customHeight="1">
      <c r="A167" s="1"/>
      <c r="B167" s="1"/>
      <c r="C167" s="1"/>
      <c r="D167" s="1"/>
      <c r="E167" s="1"/>
      <c r="F167" s="1"/>
      <c r="G167" s="1"/>
      <c r="H167" s="1"/>
      <c r="I167" s="1"/>
      <c r="J167" s="4"/>
      <c r="K167" s="4"/>
      <c r="L167" s="4"/>
      <c r="M167" s="4"/>
      <c r="N167" s="4"/>
      <c r="O167" s="4"/>
      <c r="P167" s="4"/>
      <c r="Q167" s="4"/>
      <c r="R167" s="4"/>
      <c r="S167" s="4"/>
      <c r="T167" s="4"/>
      <c r="U167" s="4"/>
      <c r="V167" s="4"/>
      <c r="W167" s="4"/>
      <c r="X167" s="4"/>
      <c r="Y167" s="4"/>
      <c r="Z167" s="4"/>
    </row>
    <row r="168" ht="15.75" customHeight="1">
      <c r="A168" s="1"/>
      <c r="B168" s="1"/>
      <c r="C168" s="1"/>
      <c r="D168" s="1"/>
      <c r="E168" s="1"/>
      <c r="F168" s="1"/>
      <c r="G168" s="1"/>
      <c r="H168" s="1"/>
      <c r="I168" s="1"/>
      <c r="J168" s="4"/>
      <c r="K168" s="4"/>
      <c r="L168" s="4"/>
      <c r="M168" s="4"/>
      <c r="N168" s="4"/>
      <c r="O168" s="4"/>
      <c r="P168" s="4"/>
      <c r="Q168" s="4"/>
      <c r="R168" s="4"/>
      <c r="S168" s="4"/>
      <c r="T168" s="4"/>
      <c r="U168" s="4"/>
      <c r="V168" s="4"/>
      <c r="W168" s="4"/>
      <c r="X168" s="4"/>
      <c r="Y168" s="4"/>
      <c r="Z168" s="4"/>
    </row>
    <row r="169" ht="15.75" customHeight="1">
      <c r="A169" s="1"/>
      <c r="B169" s="1"/>
      <c r="C169" s="1"/>
      <c r="D169" s="1"/>
      <c r="E169" s="1"/>
      <c r="F169" s="1"/>
      <c r="G169" s="1"/>
      <c r="H169" s="1"/>
      <c r="I169" s="1"/>
      <c r="J169" s="4"/>
      <c r="K169" s="4"/>
      <c r="L169" s="4"/>
      <c r="M169" s="4"/>
      <c r="N169" s="4"/>
      <c r="O169" s="4"/>
      <c r="P169" s="4"/>
      <c r="Q169" s="4"/>
      <c r="R169" s="4"/>
      <c r="S169" s="4"/>
      <c r="T169" s="4"/>
      <c r="U169" s="4"/>
      <c r="V169" s="4"/>
      <c r="W169" s="4"/>
      <c r="X169" s="4"/>
      <c r="Y169" s="4"/>
      <c r="Z169" s="4"/>
    </row>
    <row r="170" ht="15.75" customHeight="1">
      <c r="A170" s="1"/>
      <c r="B170" s="1"/>
      <c r="C170" s="1"/>
      <c r="D170" s="1"/>
      <c r="E170" s="1"/>
      <c r="F170" s="1"/>
      <c r="G170" s="1"/>
      <c r="H170" s="1"/>
      <c r="I170" s="1"/>
      <c r="J170" s="4"/>
      <c r="K170" s="4"/>
      <c r="L170" s="4"/>
      <c r="M170" s="4"/>
      <c r="N170" s="4"/>
      <c r="O170" s="4"/>
      <c r="P170" s="4"/>
      <c r="Q170" s="4"/>
      <c r="R170" s="4"/>
      <c r="S170" s="4"/>
      <c r="T170" s="4"/>
      <c r="U170" s="4"/>
      <c r="V170" s="4"/>
      <c r="W170" s="4"/>
      <c r="X170" s="4"/>
      <c r="Y170" s="4"/>
      <c r="Z170" s="4"/>
    </row>
    <row r="171" ht="15.75" customHeight="1">
      <c r="A171" s="1"/>
      <c r="B171" s="1"/>
      <c r="C171" s="1"/>
      <c r="D171" s="1"/>
      <c r="E171" s="1"/>
      <c r="F171" s="1"/>
      <c r="G171" s="1"/>
      <c r="H171" s="1"/>
      <c r="I171" s="1"/>
      <c r="J171" s="4"/>
      <c r="K171" s="4"/>
      <c r="L171" s="4"/>
      <c r="M171" s="4"/>
      <c r="N171" s="4"/>
      <c r="O171" s="4"/>
      <c r="P171" s="4"/>
      <c r="Q171" s="4"/>
      <c r="R171" s="4"/>
      <c r="S171" s="4"/>
      <c r="T171" s="4"/>
      <c r="U171" s="4"/>
      <c r="V171" s="4"/>
      <c r="W171" s="4"/>
      <c r="X171" s="4"/>
      <c r="Y171" s="4"/>
      <c r="Z171" s="4"/>
    </row>
    <row r="172" ht="15.75" customHeight="1">
      <c r="A172" s="1"/>
      <c r="B172" s="1"/>
      <c r="C172" s="1"/>
      <c r="D172" s="1"/>
      <c r="E172" s="1"/>
      <c r="F172" s="1"/>
      <c r="G172" s="1"/>
      <c r="H172" s="1"/>
      <c r="I172" s="1"/>
      <c r="J172" s="4"/>
      <c r="K172" s="4"/>
      <c r="L172" s="4"/>
      <c r="M172" s="4"/>
      <c r="N172" s="4"/>
      <c r="O172" s="4"/>
      <c r="P172" s="4"/>
      <c r="Q172" s="4"/>
      <c r="R172" s="4"/>
      <c r="S172" s="4"/>
      <c r="T172" s="4"/>
      <c r="U172" s="4"/>
      <c r="V172" s="4"/>
      <c r="W172" s="4"/>
      <c r="X172" s="4"/>
      <c r="Y172" s="4"/>
      <c r="Z172" s="4"/>
    </row>
    <row r="173" ht="15.75" customHeight="1">
      <c r="A173" s="1"/>
      <c r="B173" s="1"/>
      <c r="C173" s="1"/>
      <c r="D173" s="1"/>
      <c r="E173" s="1"/>
      <c r="F173" s="1"/>
      <c r="G173" s="1"/>
      <c r="H173" s="1"/>
      <c r="I173" s="1"/>
      <c r="J173" s="4"/>
      <c r="K173" s="4"/>
      <c r="L173" s="4"/>
      <c r="M173" s="4"/>
      <c r="N173" s="4"/>
      <c r="O173" s="4"/>
      <c r="P173" s="4"/>
      <c r="Q173" s="4"/>
      <c r="R173" s="4"/>
      <c r="S173" s="4"/>
      <c r="T173" s="4"/>
      <c r="U173" s="4"/>
      <c r="V173" s="4"/>
      <c r="W173" s="4"/>
      <c r="X173" s="4"/>
      <c r="Y173" s="4"/>
      <c r="Z173" s="4"/>
    </row>
    <row r="174" ht="15.75" customHeight="1">
      <c r="A174" s="1"/>
      <c r="B174" s="1"/>
      <c r="C174" s="1"/>
      <c r="D174" s="1"/>
      <c r="E174" s="1"/>
      <c r="F174" s="1"/>
      <c r="G174" s="1"/>
      <c r="H174" s="1"/>
      <c r="I174" s="1"/>
      <c r="J174" s="4"/>
      <c r="K174" s="4"/>
      <c r="L174" s="4"/>
      <c r="M174" s="4"/>
      <c r="N174" s="4"/>
      <c r="O174" s="4"/>
      <c r="P174" s="4"/>
      <c r="Q174" s="4"/>
      <c r="R174" s="4"/>
      <c r="S174" s="4"/>
      <c r="T174" s="4"/>
      <c r="U174" s="4"/>
      <c r="V174" s="4"/>
      <c r="W174" s="4"/>
      <c r="X174" s="4"/>
      <c r="Y174" s="4"/>
      <c r="Z174" s="4"/>
    </row>
    <row r="175" ht="15.75" customHeight="1">
      <c r="A175" s="1"/>
      <c r="B175" s="1"/>
      <c r="C175" s="1"/>
      <c r="D175" s="1"/>
      <c r="E175" s="1"/>
      <c r="F175" s="1"/>
      <c r="G175" s="1"/>
      <c r="H175" s="1"/>
      <c r="I175" s="1"/>
      <c r="J175" s="4"/>
      <c r="K175" s="4"/>
      <c r="L175" s="4"/>
      <c r="M175" s="4"/>
      <c r="N175" s="4"/>
      <c r="O175" s="4"/>
      <c r="P175" s="4"/>
      <c r="Q175" s="4"/>
      <c r="R175" s="4"/>
      <c r="S175" s="4"/>
      <c r="T175" s="4"/>
      <c r="U175" s="4"/>
      <c r="V175" s="4"/>
      <c r="W175" s="4"/>
      <c r="X175" s="4"/>
      <c r="Y175" s="4"/>
      <c r="Z175" s="4"/>
    </row>
    <row r="176" ht="15.75" customHeight="1">
      <c r="A176" s="1"/>
      <c r="B176" s="1"/>
      <c r="C176" s="1"/>
      <c r="D176" s="1"/>
      <c r="E176" s="1"/>
      <c r="F176" s="1"/>
      <c r="G176" s="1"/>
      <c r="H176" s="1"/>
      <c r="I176" s="1"/>
      <c r="J176" s="4"/>
      <c r="K176" s="4"/>
      <c r="L176" s="4"/>
      <c r="M176" s="4"/>
      <c r="N176" s="4"/>
      <c r="O176" s="4"/>
      <c r="P176" s="4"/>
      <c r="Q176" s="4"/>
      <c r="R176" s="4"/>
      <c r="S176" s="4"/>
      <c r="T176" s="4"/>
      <c r="U176" s="4"/>
      <c r="V176" s="4"/>
      <c r="W176" s="4"/>
      <c r="X176" s="4"/>
      <c r="Y176" s="4"/>
      <c r="Z176" s="4"/>
    </row>
    <row r="177" ht="15.75" customHeight="1">
      <c r="A177" s="1"/>
      <c r="B177" s="1"/>
      <c r="C177" s="1"/>
      <c r="D177" s="1"/>
      <c r="E177" s="1"/>
      <c r="F177" s="1"/>
      <c r="G177" s="1"/>
      <c r="H177" s="1"/>
      <c r="I177" s="1"/>
      <c r="J177" s="4"/>
      <c r="K177" s="4"/>
      <c r="L177" s="4"/>
      <c r="M177" s="4"/>
      <c r="N177" s="4"/>
      <c r="O177" s="4"/>
      <c r="P177" s="4"/>
      <c r="Q177" s="4"/>
      <c r="R177" s="4"/>
      <c r="S177" s="4"/>
      <c r="T177" s="4"/>
      <c r="U177" s="4"/>
      <c r="V177" s="4"/>
      <c r="W177" s="4"/>
      <c r="X177" s="4"/>
      <c r="Y177" s="4"/>
      <c r="Z177" s="4"/>
    </row>
    <row r="178" ht="15.75" customHeight="1">
      <c r="A178" s="1"/>
      <c r="B178" s="1"/>
      <c r="C178" s="1"/>
      <c r="D178" s="1"/>
      <c r="E178" s="1"/>
      <c r="F178" s="1"/>
      <c r="G178" s="1"/>
      <c r="H178" s="1"/>
      <c r="I178" s="1"/>
      <c r="J178" s="4"/>
      <c r="K178" s="4"/>
      <c r="L178" s="4"/>
      <c r="M178" s="4"/>
      <c r="N178" s="4"/>
      <c r="O178" s="4"/>
      <c r="P178" s="4"/>
      <c r="Q178" s="4"/>
      <c r="R178" s="4"/>
      <c r="S178" s="4"/>
      <c r="T178" s="4"/>
      <c r="U178" s="4"/>
      <c r="V178" s="4"/>
      <c r="W178" s="4"/>
      <c r="X178" s="4"/>
      <c r="Y178" s="4"/>
      <c r="Z178" s="4"/>
    </row>
    <row r="179" ht="15.75" customHeight="1">
      <c r="A179" s="1"/>
      <c r="B179" s="1"/>
      <c r="C179" s="1"/>
      <c r="D179" s="1"/>
      <c r="E179" s="1"/>
      <c r="F179" s="1"/>
      <c r="G179" s="1"/>
      <c r="H179" s="1"/>
      <c r="I179" s="1"/>
      <c r="J179" s="4"/>
      <c r="K179" s="4"/>
      <c r="L179" s="4"/>
      <c r="M179" s="4"/>
      <c r="N179" s="4"/>
      <c r="O179" s="4"/>
      <c r="P179" s="4"/>
      <c r="Q179" s="4"/>
      <c r="R179" s="4"/>
      <c r="S179" s="4"/>
      <c r="T179" s="4"/>
      <c r="U179" s="4"/>
      <c r="V179" s="4"/>
      <c r="W179" s="4"/>
      <c r="X179" s="4"/>
      <c r="Y179" s="4"/>
      <c r="Z179" s="4"/>
    </row>
    <row r="180" ht="15.75" customHeight="1">
      <c r="A180" s="1"/>
      <c r="B180" s="1"/>
      <c r="C180" s="1"/>
      <c r="D180" s="1"/>
      <c r="E180" s="1"/>
      <c r="F180" s="1"/>
      <c r="G180" s="1"/>
      <c r="H180" s="1"/>
      <c r="I180" s="1"/>
      <c r="J180" s="4"/>
      <c r="K180" s="4"/>
      <c r="L180" s="4"/>
      <c r="M180" s="4"/>
      <c r="N180" s="4"/>
      <c r="O180" s="4"/>
      <c r="P180" s="4"/>
      <c r="Q180" s="4"/>
      <c r="R180" s="4"/>
      <c r="S180" s="4"/>
      <c r="T180" s="4"/>
      <c r="U180" s="4"/>
      <c r="V180" s="4"/>
      <c r="W180" s="4"/>
      <c r="X180" s="4"/>
      <c r="Y180" s="4"/>
      <c r="Z180" s="4"/>
    </row>
    <row r="181" ht="15.75" customHeight="1">
      <c r="A181" s="1"/>
      <c r="B181" s="1"/>
      <c r="C181" s="1"/>
      <c r="D181" s="1"/>
      <c r="E181" s="1"/>
      <c r="F181" s="1"/>
      <c r="G181" s="1"/>
      <c r="H181" s="1"/>
      <c r="I181" s="1"/>
      <c r="J181" s="4"/>
      <c r="K181" s="4"/>
      <c r="L181" s="4"/>
      <c r="M181" s="4"/>
      <c r="N181" s="4"/>
      <c r="O181" s="4"/>
      <c r="P181" s="4"/>
      <c r="Q181" s="4"/>
      <c r="R181" s="4"/>
      <c r="S181" s="4"/>
      <c r="T181" s="4"/>
      <c r="U181" s="4"/>
      <c r="V181" s="4"/>
      <c r="W181" s="4"/>
      <c r="X181" s="4"/>
      <c r="Y181" s="4"/>
      <c r="Z181" s="4"/>
    </row>
    <row r="182" ht="15.75" customHeight="1">
      <c r="A182" s="1"/>
      <c r="B182" s="1"/>
      <c r="C182" s="1"/>
      <c r="D182" s="1"/>
      <c r="E182" s="1"/>
      <c r="F182" s="1"/>
      <c r="G182" s="1"/>
      <c r="H182" s="1"/>
      <c r="I182" s="1"/>
      <c r="J182" s="4"/>
      <c r="K182" s="4"/>
      <c r="L182" s="4"/>
      <c r="M182" s="4"/>
      <c r="N182" s="4"/>
      <c r="O182" s="4"/>
      <c r="P182" s="4"/>
      <c r="Q182" s="4"/>
      <c r="R182" s="4"/>
      <c r="S182" s="4"/>
      <c r="T182" s="4"/>
      <c r="U182" s="4"/>
      <c r="V182" s="4"/>
      <c r="W182" s="4"/>
      <c r="X182" s="4"/>
      <c r="Y182" s="4"/>
      <c r="Z182" s="4"/>
    </row>
    <row r="183" ht="15.75" customHeight="1">
      <c r="A183" s="1"/>
      <c r="B183" s="1"/>
      <c r="C183" s="1"/>
      <c r="D183" s="1"/>
      <c r="E183" s="1"/>
      <c r="F183" s="1"/>
      <c r="G183" s="1"/>
      <c r="H183" s="1"/>
      <c r="I183" s="1"/>
      <c r="J183" s="4"/>
      <c r="K183" s="4"/>
      <c r="L183" s="4"/>
      <c r="M183" s="4"/>
      <c r="N183" s="4"/>
      <c r="O183" s="4"/>
      <c r="P183" s="4"/>
      <c r="Q183" s="4"/>
      <c r="R183" s="4"/>
      <c r="S183" s="4"/>
      <c r="T183" s="4"/>
      <c r="U183" s="4"/>
      <c r="V183" s="4"/>
      <c r="W183" s="4"/>
      <c r="X183" s="4"/>
      <c r="Y183" s="4"/>
      <c r="Z183" s="4"/>
    </row>
    <row r="184" ht="15.75" customHeight="1">
      <c r="A184" s="1"/>
      <c r="B184" s="1"/>
      <c r="C184" s="1"/>
      <c r="D184" s="1"/>
      <c r="E184" s="1"/>
      <c r="F184" s="1"/>
      <c r="G184" s="1"/>
      <c r="H184" s="1"/>
      <c r="I184" s="1"/>
      <c r="J184" s="4"/>
      <c r="K184" s="4"/>
      <c r="L184" s="4"/>
      <c r="M184" s="4"/>
      <c r="N184" s="4"/>
      <c r="O184" s="4"/>
      <c r="P184" s="4"/>
      <c r="Q184" s="4"/>
      <c r="R184" s="4"/>
      <c r="S184" s="4"/>
      <c r="T184" s="4"/>
      <c r="U184" s="4"/>
      <c r="V184" s="4"/>
      <c r="W184" s="4"/>
      <c r="X184" s="4"/>
      <c r="Y184" s="4"/>
      <c r="Z184" s="4"/>
    </row>
    <row r="185" ht="15.75" customHeight="1">
      <c r="A185" s="1"/>
      <c r="B185" s="1"/>
      <c r="C185" s="1"/>
      <c r="D185" s="1"/>
      <c r="E185" s="1"/>
      <c r="F185" s="1"/>
      <c r="G185" s="1"/>
      <c r="H185" s="1"/>
      <c r="I185" s="1"/>
      <c r="J185" s="4"/>
      <c r="K185" s="4"/>
      <c r="L185" s="4"/>
      <c r="M185" s="4"/>
      <c r="N185" s="4"/>
      <c r="O185" s="4"/>
      <c r="P185" s="4"/>
      <c r="Q185" s="4"/>
      <c r="R185" s="4"/>
      <c r="S185" s="4"/>
      <c r="T185" s="4"/>
      <c r="U185" s="4"/>
      <c r="V185" s="4"/>
      <c r="W185" s="4"/>
      <c r="X185" s="4"/>
      <c r="Y185" s="4"/>
      <c r="Z185" s="4"/>
    </row>
    <row r="186" ht="15.75" customHeight="1">
      <c r="A186" s="1"/>
      <c r="B186" s="1"/>
      <c r="C186" s="1"/>
      <c r="D186" s="1"/>
      <c r="E186" s="1"/>
      <c r="F186" s="1"/>
      <c r="G186" s="1"/>
      <c r="H186" s="1"/>
      <c r="I186" s="1"/>
      <c r="J186" s="4"/>
      <c r="K186" s="4"/>
      <c r="L186" s="4"/>
      <c r="M186" s="4"/>
      <c r="N186" s="4"/>
      <c r="O186" s="4"/>
      <c r="P186" s="4"/>
      <c r="Q186" s="4"/>
      <c r="R186" s="4"/>
      <c r="S186" s="4"/>
      <c r="T186" s="4"/>
      <c r="U186" s="4"/>
      <c r="V186" s="4"/>
      <c r="W186" s="4"/>
      <c r="X186" s="4"/>
      <c r="Y186" s="4"/>
      <c r="Z186" s="4"/>
    </row>
    <row r="187" ht="15.75" customHeight="1">
      <c r="A187" s="1"/>
      <c r="B187" s="1"/>
      <c r="C187" s="1"/>
      <c r="D187" s="1"/>
      <c r="E187" s="1"/>
      <c r="F187" s="1"/>
      <c r="G187" s="1"/>
      <c r="H187" s="1"/>
      <c r="I187" s="1"/>
      <c r="J187" s="4"/>
      <c r="K187" s="4"/>
      <c r="L187" s="4"/>
      <c r="M187" s="4"/>
      <c r="N187" s="4"/>
      <c r="O187" s="4"/>
      <c r="P187" s="4"/>
      <c r="Q187" s="4"/>
      <c r="R187" s="4"/>
      <c r="S187" s="4"/>
      <c r="T187" s="4"/>
      <c r="U187" s="4"/>
      <c r="V187" s="4"/>
      <c r="W187" s="4"/>
      <c r="X187" s="4"/>
      <c r="Y187" s="4"/>
      <c r="Z187" s="4"/>
    </row>
    <row r="188" ht="15.75" customHeight="1">
      <c r="A188" s="1"/>
      <c r="B188" s="1"/>
      <c r="C188" s="1"/>
      <c r="D188" s="1"/>
      <c r="E188" s="1"/>
      <c r="F188" s="1"/>
      <c r="G188" s="1"/>
      <c r="H188" s="1"/>
      <c r="I188" s="1"/>
      <c r="J188" s="4"/>
      <c r="K188" s="4"/>
      <c r="L188" s="4"/>
      <c r="M188" s="4"/>
      <c r="N188" s="4"/>
      <c r="O188" s="4"/>
      <c r="P188" s="4"/>
      <c r="Q188" s="4"/>
      <c r="R188" s="4"/>
      <c r="S188" s="4"/>
      <c r="T188" s="4"/>
      <c r="U188" s="4"/>
      <c r="V188" s="4"/>
      <c r="W188" s="4"/>
      <c r="X188" s="4"/>
      <c r="Y188" s="4"/>
      <c r="Z188" s="4"/>
    </row>
    <row r="189" ht="15.75" customHeight="1">
      <c r="A189" s="1"/>
      <c r="B189" s="1"/>
      <c r="C189" s="1"/>
      <c r="D189" s="1"/>
      <c r="E189" s="1"/>
      <c r="F189" s="1"/>
      <c r="G189" s="1"/>
      <c r="H189" s="1"/>
      <c r="I189" s="1"/>
      <c r="J189" s="4"/>
      <c r="K189" s="4"/>
      <c r="L189" s="4"/>
      <c r="M189" s="4"/>
      <c r="N189" s="4"/>
      <c r="O189" s="4"/>
      <c r="P189" s="4"/>
      <c r="Q189" s="4"/>
      <c r="R189" s="4"/>
      <c r="S189" s="4"/>
      <c r="T189" s="4"/>
      <c r="U189" s="4"/>
      <c r="V189" s="4"/>
      <c r="W189" s="4"/>
      <c r="X189" s="4"/>
      <c r="Y189" s="4"/>
      <c r="Z189" s="4"/>
    </row>
    <row r="190" ht="15.75" customHeight="1">
      <c r="A190" s="1"/>
      <c r="B190" s="1"/>
      <c r="C190" s="1"/>
      <c r="D190" s="1"/>
      <c r="E190" s="1"/>
      <c r="F190" s="1"/>
      <c r="G190" s="1"/>
      <c r="H190" s="1"/>
      <c r="I190" s="1"/>
      <c r="J190" s="4"/>
      <c r="K190" s="4"/>
      <c r="L190" s="4"/>
      <c r="M190" s="4"/>
      <c r="N190" s="4"/>
      <c r="O190" s="4"/>
      <c r="P190" s="4"/>
      <c r="Q190" s="4"/>
      <c r="R190" s="4"/>
      <c r="S190" s="4"/>
      <c r="T190" s="4"/>
      <c r="U190" s="4"/>
      <c r="V190" s="4"/>
      <c r="W190" s="4"/>
      <c r="X190" s="4"/>
      <c r="Y190" s="4"/>
      <c r="Z190" s="4"/>
    </row>
    <row r="191" ht="15.75" customHeight="1">
      <c r="A191" s="1"/>
      <c r="B191" s="1"/>
      <c r="C191" s="1"/>
      <c r="D191" s="1"/>
      <c r="E191" s="1"/>
      <c r="F191" s="1"/>
      <c r="G191" s="1"/>
      <c r="H191" s="1"/>
      <c r="I191" s="1"/>
      <c r="J191" s="4"/>
      <c r="K191" s="4"/>
      <c r="L191" s="4"/>
      <c r="M191" s="4"/>
      <c r="N191" s="4"/>
      <c r="O191" s="4"/>
      <c r="P191" s="4"/>
      <c r="Q191" s="4"/>
      <c r="R191" s="4"/>
      <c r="S191" s="4"/>
      <c r="T191" s="4"/>
      <c r="U191" s="4"/>
      <c r="V191" s="4"/>
      <c r="W191" s="4"/>
      <c r="X191" s="4"/>
      <c r="Y191" s="4"/>
      <c r="Z191" s="4"/>
    </row>
    <row r="192" ht="15.75" customHeight="1">
      <c r="A192" s="1"/>
      <c r="B192" s="1"/>
      <c r="C192" s="1"/>
      <c r="D192" s="1"/>
      <c r="E192" s="1"/>
      <c r="F192" s="1"/>
      <c r="G192" s="1"/>
      <c r="H192" s="1"/>
      <c r="I192" s="1"/>
      <c r="J192" s="4"/>
      <c r="K192" s="4"/>
      <c r="L192" s="4"/>
      <c r="M192" s="4"/>
      <c r="N192" s="4"/>
      <c r="O192" s="4"/>
      <c r="P192" s="4"/>
      <c r="Q192" s="4"/>
      <c r="R192" s="4"/>
      <c r="S192" s="4"/>
      <c r="T192" s="4"/>
      <c r="U192" s="4"/>
      <c r="V192" s="4"/>
      <c r="W192" s="4"/>
      <c r="X192" s="4"/>
      <c r="Y192" s="4"/>
      <c r="Z192" s="4"/>
    </row>
    <row r="193" ht="15.75" customHeight="1">
      <c r="A193" s="1"/>
      <c r="B193" s="1"/>
      <c r="C193" s="1"/>
      <c r="D193" s="1"/>
      <c r="E193" s="1"/>
      <c r="F193" s="1"/>
      <c r="G193" s="1"/>
      <c r="H193" s="1"/>
      <c r="I193" s="1"/>
      <c r="J193" s="4"/>
      <c r="K193" s="4"/>
      <c r="L193" s="4"/>
      <c r="M193" s="4"/>
      <c r="N193" s="4"/>
      <c r="O193" s="4"/>
      <c r="P193" s="4"/>
      <c r="Q193" s="4"/>
      <c r="R193" s="4"/>
      <c r="S193" s="4"/>
      <c r="T193" s="4"/>
      <c r="U193" s="4"/>
      <c r="V193" s="4"/>
      <c r="W193" s="4"/>
      <c r="X193" s="4"/>
      <c r="Y193" s="4"/>
      <c r="Z193" s="4"/>
    </row>
    <row r="194" ht="15.75" customHeight="1">
      <c r="A194" s="1"/>
      <c r="B194" s="1"/>
      <c r="C194" s="1"/>
      <c r="D194" s="1"/>
      <c r="E194" s="1"/>
      <c r="F194" s="1"/>
      <c r="G194" s="1"/>
      <c r="H194" s="1"/>
      <c r="I194" s="1"/>
      <c r="J194" s="4"/>
      <c r="K194" s="4"/>
      <c r="L194" s="4"/>
      <c r="M194" s="4"/>
      <c r="N194" s="4"/>
      <c r="O194" s="4"/>
      <c r="P194" s="4"/>
      <c r="Q194" s="4"/>
      <c r="R194" s="4"/>
      <c r="S194" s="4"/>
      <c r="T194" s="4"/>
      <c r="U194" s="4"/>
      <c r="V194" s="4"/>
      <c r="W194" s="4"/>
      <c r="X194" s="4"/>
      <c r="Y194" s="4"/>
      <c r="Z194" s="4"/>
    </row>
    <row r="195" ht="15.75" customHeight="1">
      <c r="A195" s="1"/>
      <c r="B195" s="1"/>
      <c r="C195" s="1"/>
      <c r="D195" s="1"/>
      <c r="E195" s="1"/>
      <c r="F195" s="1"/>
      <c r="G195" s="1"/>
      <c r="H195" s="1"/>
      <c r="I195" s="1"/>
      <c r="J195" s="4"/>
      <c r="K195" s="4"/>
      <c r="L195" s="4"/>
      <c r="M195" s="4"/>
      <c r="N195" s="4"/>
      <c r="O195" s="4"/>
      <c r="P195" s="4"/>
      <c r="Q195" s="4"/>
      <c r="R195" s="4"/>
      <c r="S195" s="4"/>
      <c r="T195" s="4"/>
      <c r="U195" s="4"/>
      <c r="V195" s="4"/>
      <c r="W195" s="4"/>
      <c r="X195" s="4"/>
      <c r="Y195" s="4"/>
      <c r="Z195" s="4"/>
    </row>
    <row r="196" ht="15.75" customHeight="1">
      <c r="A196" s="1"/>
      <c r="B196" s="1"/>
      <c r="C196" s="1"/>
      <c r="D196" s="1"/>
      <c r="E196" s="1"/>
      <c r="F196" s="1"/>
      <c r="G196" s="1"/>
      <c r="H196" s="1"/>
      <c r="I196" s="1"/>
      <c r="J196" s="4"/>
      <c r="K196" s="4"/>
      <c r="L196" s="4"/>
      <c r="M196" s="4"/>
      <c r="N196" s="4"/>
      <c r="O196" s="4"/>
      <c r="P196" s="4"/>
      <c r="Q196" s="4"/>
      <c r="R196" s="4"/>
      <c r="S196" s="4"/>
      <c r="T196" s="4"/>
      <c r="U196" s="4"/>
      <c r="V196" s="4"/>
      <c r="W196" s="4"/>
      <c r="X196" s="4"/>
      <c r="Y196" s="4"/>
      <c r="Z196" s="4"/>
    </row>
    <row r="197" ht="15.75" customHeight="1">
      <c r="A197" s="1"/>
      <c r="B197" s="1"/>
      <c r="C197" s="1"/>
      <c r="D197" s="1"/>
      <c r="E197" s="1"/>
      <c r="F197" s="1"/>
      <c r="G197" s="1"/>
      <c r="H197" s="1"/>
      <c r="I197" s="1"/>
      <c r="J197" s="4"/>
      <c r="K197" s="4"/>
      <c r="L197" s="4"/>
      <c r="M197" s="4"/>
      <c r="N197" s="4"/>
      <c r="O197" s="4"/>
      <c r="P197" s="4"/>
      <c r="Q197" s="4"/>
      <c r="R197" s="4"/>
      <c r="S197" s="4"/>
      <c r="T197" s="4"/>
      <c r="U197" s="4"/>
      <c r="V197" s="4"/>
      <c r="W197" s="4"/>
      <c r="X197" s="4"/>
      <c r="Y197" s="4"/>
      <c r="Z197" s="4"/>
    </row>
    <row r="198" ht="15.75" customHeight="1">
      <c r="A198" s="1"/>
      <c r="B198" s="1"/>
      <c r="C198" s="1"/>
      <c r="D198" s="1"/>
      <c r="E198" s="1"/>
      <c r="F198" s="1"/>
      <c r="G198" s="1"/>
      <c r="H198" s="1"/>
      <c r="I198" s="1"/>
      <c r="J198" s="4"/>
      <c r="K198" s="4"/>
      <c r="L198" s="4"/>
      <c r="M198" s="4"/>
      <c r="N198" s="4"/>
      <c r="O198" s="4"/>
      <c r="P198" s="4"/>
      <c r="Q198" s="4"/>
      <c r="R198" s="4"/>
      <c r="S198" s="4"/>
      <c r="T198" s="4"/>
      <c r="U198" s="4"/>
      <c r="V198" s="4"/>
      <c r="W198" s="4"/>
      <c r="X198" s="4"/>
      <c r="Y198" s="4"/>
      <c r="Z198" s="4"/>
    </row>
    <row r="199" ht="15.75" customHeight="1">
      <c r="A199" s="1"/>
      <c r="B199" s="1"/>
      <c r="C199" s="1"/>
      <c r="D199" s="1"/>
      <c r="E199" s="1"/>
      <c r="F199" s="1"/>
      <c r="G199" s="1"/>
      <c r="H199" s="1"/>
      <c r="I199" s="1"/>
      <c r="J199" s="4"/>
      <c r="K199" s="4"/>
      <c r="L199" s="4"/>
      <c r="M199" s="4"/>
      <c r="N199" s="4"/>
      <c r="O199" s="4"/>
      <c r="P199" s="4"/>
      <c r="Q199" s="4"/>
      <c r="R199" s="4"/>
      <c r="S199" s="4"/>
      <c r="T199" s="4"/>
      <c r="U199" s="4"/>
      <c r="V199" s="4"/>
      <c r="W199" s="4"/>
      <c r="X199" s="4"/>
      <c r="Y199" s="4"/>
      <c r="Z199" s="4"/>
    </row>
    <row r="200" ht="15.75" customHeight="1">
      <c r="A200" s="1"/>
      <c r="B200" s="1"/>
      <c r="C200" s="1"/>
      <c r="D200" s="1"/>
      <c r="E200" s="1"/>
      <c r="F200" s="1"/>
      <c r="G200" s="1"/>
      <c r="H200" s="1"/>
      <c r="I200" s="1"/>
      <c r="J200" s="4"/>
      <c r="K200" s="4"/>
      <c r="L200" s="4"/>
      <c r="M200" s="4"/>
      <c r="N200" s="4"/>
      <c r="O200" s="4"/>
      <c r="P200" s="4"/>
      <c r="Q200" s="4"/>
      <c r="R200" s="4"/>
      <c r="S200" s="4"/>
      <c r="T200" s="4"/>
      <c r="U200" s="4"/>
      <c r="V200" s="4"/>
      <c r="W200" s="4"/>
      <c r="X200" s="4"/>
      <c r="Y200" s="4"/>
      <c r="Z200" s="4"/>
    </row>
    <row r="201" ht="15.75" customHeight="1">
      <c r="A201" s="1"/>
      <c r="B201" s="1"/>
      <c r="C201" s="1"/>
      <c r="D201" s="1"/>
      <c r="E201" s="1"/>
      <c r="F201" s="1"/>
      <c r="G201" s="1"/>
      <c r="H201" s="1"/>
      <c r="I201" s="1"/>
      <c r="J201" s="4"/>
      <c r="K201" s="4"/>
      <c r="L201" s="4"/>
      <c r="M201" s="4"/>
      <c r="N201" s="4"/>
      <c r="O201" s="4"/>
      <c r="P201" s="4"/>
      <c r="Q201" s="4"/>
      <c r="R201" s="4"/>
      <c r="S201" s="4"/>
      <c r="T201" s="4"/>
      <c r="U201" s="4"/>
      <c r="V201" s="4"/>
      <c r="W201" s="4"/>
      <c r="X201" s="4"/>
      <c r="Y201" s="4"/>
      <c r="Z201" s="4"/>
    </row>
    <row r="202" ht="15.75" customHeight="1">
      <c r="A202" s="1"/>
      <c r="B202" s="1"/>
      <c r="C202" s="1"/>
      <c r="D202" s="1"/>
      <c r="E202" s="1"/>
      <c r="F202" s="1"/>
      <c r="G202" s="1"/>
      <c r="H202" s="1"/>
      <c r="I202" s="1"/>
      <c r="J202" s="4"/>
      <c r="K202" s="4"/>
      <c r="L202" s="4"/>
      <c r="M202" s="4"/>
      <c r="N202" s="4"/>
      <c r="O202" s="4"/>
      <c r="P202" s="4"/>
      <c r="Q202" s="4"/>
      <c r="R202" s="4"/>
      <c r="S202" s="4"/>
      <c r="T202" s="4"/>
      <c r="U202" s="4"/>
      <c r="V202" s="4"/>
      <c r="W202" s="4"/>
      <c r="X202" s="4"/>
      <c r="Y202" s="4"/>
      <c r="Z202" s="4"/>
    </row>
    <row r="203" ht="15.75" customHeight="1">
      <c r="A203" s="1"/>
      <c r="B203" s="1"/>
      <c r="C203" s="1"/>
      <c r="D203" s="1"/>
      <c r="E203" s="1"/>
      <c r="F203" s="1"/>
      <c r="G203" s="1"/>
      <c r="H203" s="1"/>
      <c r="I203" s="1"/>
      <c r="J203" s="4"/>
      <c r="K203" s="4"/>
      <c r="L203" s="4"/>
      <c r="M203" s="4"/>
      <c r="N203" s="4"/>
      <c r="O203" s="4"/>
      <c r="P203" s="4"/>
      <c r="Q203" s="4"/>
      <c r="R203" s="4"/>
      <c r="S203" s="4"/>
      <c r="T203" s="4"/>
      <c r="U203" s="4"/>
      <c r="V203" s="4"/>
      <c r="W203" s="4"/>
      <c r="X203" s="4"/>
      <c r="Y203" s="4"/>
      <c r="Z203" s="4"/>
    </row>
    <row r="204" ht="15.75" customHeight="1">
      <c r="A204" s="1"/>
      <c r="B204" s="1"/>
      <c r="C204" s="1"/>
      <c r="D204" s="1"/>
      <c r="E204" s="1"/>
      <c r="F204" s="1"/>
      <c r="G204" s="1"/>
      <c r="H204" s="1"/>
      <c r="I204" s="1"/>
      <c r="J204" s="4"/>
      <c r="K204" s="4"/>
      <c r="L204" s="4"/>
      <c r="M204" s="4"/>
      <c r="N204" s="4"/>
      <c r="O204" s="4"/>
      <c r="P204" s="4"/>
      <c r="Q204" s="4"/>
      <c r="R204" s="4"/>
      <c r="S204" s="4"/>
      <c r="T204" s="4"/>
      <c r="U204" s="4"/>
      <c r="V204" s="4"/>
      <c r="W204" s="4"/>
      <c r="X204" s="4"/>
      <c r="Y204" s="4"/>
      <c r="Z204" s="4"/>
    </row>
    <row r="205" ht="15.75" customHeight="1">
      <c r="A205" s="1"/>
      <c r="B205" s="1"/>
      <c r="C205" s="1"/>
      <c r="D205" s="1"/>
      <c r="E205" s="1"/>
      <c r="F205" s="1"/>
      <c r="G205" s="1"/>
      <c r="H205" s="1"/>
      <c r="I205" s="1"/>
      <c r="J205" s="4"/>
      <c r="K205" s="4"/>
      <c r="L205" s="4"/>
      <c r="M205" s="4"/>
      <c r="N205" s="4"/>
      <c r="O205" s="4"/>
      <c r="P205" s="4"/>
      <c r="Q205" s="4"/>
      <c r="R205" s="4"/>
      <c r="S205" s="4"/>
      <c r="T205" s="4"/>
      <c r="U205" s="4"/>
      <c r="V205" s="4"/>
      <c r="W205" s="4"/>
      <c r="X205" s="4"/>
      <c r="Y205" s="4"/>
      <c r="Z205" s="4"/>
    </row>
    <row r="206" ht="15.75" customHeight="1">
      <c r="A206" s="1"/>
      <c r="B206" s="1"/>
      <c r="C206" s="1"/>
      <c r="D206" s="1"/>
      <c r="E206" s="1"/>
      <c r="F206" s="1"/>
      <c r="G206" s="1"/>
      <c r="H206" s="1"/>
      <c r="I206" s="1"/>
      <c r="J206" s="4"/>
      <c r="K206" s="4"/>
      <c r="L206" s="4"/>
      <c r="M206" s="4"/>
      <c r="N206" s="4"/>
      <c r="O206" s="4"/>
      <c r="P206" s="4"/>
      <c r="Q206" s="4"/>
      <c r="R206" s="4"/>
      <c r="S206" s="4"/>
      <c r="T206" s="4"/>
      <c r="U206" s="4"/>
      <c r="V206" s="4"/>
      <c r="W206" s="4"/>
      <c r="X206" s="4"/>
      <c r="Y206" s="4"/>
      <c r="Z206" s="4"/>
    </row>
    <row r="207" ht="15.75" customHeight="1">
      <c r="A207" s="1"/>
      <c r="B207" s="1"/>
      <c r="C207" s="1"/>
      <c r="D207" s="1"/>
      <c r="E207" s="1"/>
      <c r="F207" s="1"/>
      <c r="G207" s="1"/>
      <c r="H207" s="1"/>
      <c r="I207" s="1"/>
      <c r="J207" s="4"/>
      <c r="K207" s="4"/>
      <c r="L207" s="4"/>
      <c r="M207" s="4"/>
      <c r="N207" s="4"/>
      <c r="O207" s="4"/>
      <c r="P207" s="4"/>
      <c r="Q207" s="4"/>
      <c r="R207" s="4"/>
      <c r="S207" s="4"/>
      <c r="T207" s="4"/>
      <c r="U207" s="4"/>
      <c r="V207" s="4"/>
      <c r="W207" s="4"/>
      <c r="X207" s="4"/>
      <c r="Y207" s="4"/>
      <c r="Z207" s="4"/>
    </row>
    <row r="208" ht="15.75" customHeight="1">
      <c r="A208" s="1"/>
      <c r="B208" s="1"/>
      <c r="C208" s="1"/>
      <c r="D208" s="1"/>
      <c r="E208" s="1"/>
      <c r="F208" s="1"/>
      <c r="G208" s="1"/>
      <c r="H208" s="1"/>
      <c r="I208" s="1"/>
      <c r="J208" s="4"/>
      <c r="K208" s="4"/>
      <c r="L208" s="4"/>
      <c r="M208" s="4"/>
      <c r="N208" s="4"/>
      <c r="O208" s="4"/>
      <c r="P208" s="4"/>
      <c r="Q208" s="4"/>
      <c r="R208" s="4"/>
      <c r="S208" s="4"/>
      <c r="T208" s="4"/>
      <c r="U208" s="4"/>
      <c r="V208" s="4"/>
      <c r="W208" s="4"/>
      <c r="X208" s="4"/>
      <c r="Y208" s="4"/>
      <c r="Z208" s="4"/>
    </row>
    <row r="209" ht="15.75" customHeight="1">
      <c r="A209" s="1"/>
      <c r="B209" s="1"/>
      <c r="C209" s="1"/>
      <c r="D209" s="1"/>
      <c r="E209" s="1"/>
      <c r="F209" s="1"/>
      <c r="G209" s="1"/>
      <c r="H209" s="1"/>
      <c r="I209" s="1"/>
      <c r="J209" s="4"/>
      <c r="K209" s="4"/>
      <c r="L209" s="4"/>
      <c r="M209" s="4"/>
      <c r="N209" s="4"/>
      <c r="O209" s="4"/>
      <c r="P209" s="4"/>
      <c r="Q209" s="4"/>
      <c r="R209" s="4"/>
      <c r="S209" s="4"/>
      <c r="T209" s="4"/>
      <c r="U209" s="4"/>
      <c r="V209" s="4"/>
      <c r="W209" s="4"/>
      <c r="X209" s="4"/>
      <c r="Y209" s="4"/>
      <c r="Z209" s="4"/>
    </row>
    <row r="210" ht="15.75" customHeight="1">
      <c r="A210" s="1"/>
      <c r="B210" s="1"/>
      <c r="C210" s="1"/>
      <c r="D210" s="1"/>
      <c r="E210" s="1"/>
      <c r="F210" s="1"/>
      <c r="G210" s="1"/>
      <c r="H210" s="1"/>
      <c r="I210" s="1"/>
      <c r="J210" s="4"/>
      <c r="K210" s="4"/>
      <c r="L210" s="4"/>
      <c r="M210" s="4"/>
      <c r="N210" s="4"/>
      <c r="O210" s="4"/>
      <c r="P210" s="4"/>
      <c r="Q210" s="4"/>
      <c r="R210" s="4"/>
      <c r="S210" s="4"/>
      <c r="T210" s="4"/>
      <c r="U210" s="4"/>
      <c r="V210" s="4"/>
      <c r="W210" s="4"/>
      <c r="X210" s="4"/>
      <c r="Y210" s="4"/>
      <c r="Z210" s="4"/>
    </row>
    <row r="211" ht="15.75" customHeight="1">
      <c r="A211" s="1"/>
      <c r="B211" s="1"/>
      <c r="C211" s="1"/>
      <c r="D211" s="1"/>
      <c r="E211" s="1"/>
      <c r="F211" s="1"/>
      <c r="G211" s="1"/>
      <c r="H211" s="1"/>
      <c r="I211" s="1"/>
      <c r="J211" s="4"/>
      <c r="K211" s="4"/>
      <c r="L211" s="4"/>
      <c r="M211" s="4"/>
      <c r="N211" s="4"/>
      <c r="O211" s="4"/>
      <c r="P211" s="4"/>
      <c r="Q211" s="4"/>
      <c r="R211" s="4"/>
      <c r="S211" s="4"/>
      <c r="T211" s="4"/>
      <c r="U211" s="4"/>
      <c r="V211" s="4"/>
      <c r="W211" s="4"/>
      <c r="X211" s="4"/>
      <c r="Y211" s="4"/>
      <c r="Z211" s="4"/>
    </row>
    <row r="212" ht="15.75" customHeight="1">
      <c r="A212" s="1"/>
      <c r="B212" s="1"/>
      <c r="C212" s="1"/>
      <c r="D212" s="1"/>
      <c r="E212" s="1"/>
      <c r="F212" s="1"/>
      <c r="G212" s="1"/>
      <c r="H212" s="1"/>
      <c r="I212" s="1"/>
      <c r="J212" s="4"/>
      <c r="K212" s="4"/>
      <c r="L212" s="4"/>
      <c r="M212" s="4"/>
      <c r="N212" s="4"/>
      <c r="O212" s="4"/>
      <c r="P212" s="4"/>
      <c r="Q212" s="4"/>
      <c r="R212" s="4"/>
      <c r="S212" s="4"/>
      <c r="T212" s="4"/>
      <c r="U212" s="4"/>
      <c r="V212" s="4"/>
      <c r="W212" s="4"/>
      <c r="X212" s="4"/>
      <c r="Y212" s="4"/>
      <c r="Z212" s="4"/>
    </row>
    <row r="213" ht="15.75" customHeight="1">
      <c r="A213" s="1"/>
      <c r="B213" s="1"/>
      <c r="C213" s="1"/>
      <c r="D213" s="1"/>
      <c r="E213" s="1"/>
      <c r="F213" s="1"/>
      <c r="G213" s="1"/>
      <c r="H213" s="1"/>
      <c r="I213" s="1"/>
      <c r="J213" s="4"/>
      <c r="K213" s="4"/>
      <c r="L213" s="4"/>
      <c r="M213" s="4"/>
      <c r="N213" s="4"/>
      <c r="O213" s="4"/>
      <c r="P213" s="4"/>
      <c r="Q213" s="4"/>
      <c r="R213" s="4"/>
      <c r="S213" s="4"/>
      <c r="T213" s="4"/>
      <c r="U213" s="4"/>
      <c r="V213" s="4"/>
      <c r="W213" s="4"/>
      <c r="X213" s="4"/>
      <c r="Y213" s="4"/>
      <c r="Z213" s="4"/>
    </row>
    <row r="214" ht="15.75" customHeight="1">
      <c r="A214" s="1"/>
      <c r="B214" s="1"/>
      <c r="C214" s="1"/>
      <c r="D214" s="1"/>
      <c r="E214" s="1"/>
      <c r="F214" s="1"/>
      <c r="G214" s="1"/>
      <c r="H214" s="1"/>
      <c r="I214" s="1"/>
      <c r="J214" s="4"/>
      <c r="K214" s="4"/>
      <c r="L214" s="4"/>
      <c r="M214" s="4"/>
      <c r="N214" s="4"/>
      <c r="O214" s="4"/>
      <c r="P214" s="4"/>
      <c r="Q214" s="4"/>
      <c r="R214" s="4"/>
      <c r="S214" s="4"/>
      <c r="T214" s="4"/>
      <c r="U214" s="4"/>
      <c r="V214" s="4"/>
      <c r="W214" s="4"/>
      <c r="X214" s="4"/>
      <c r="Y214" s="4"/>
      <c r="Z214" s="4"/>
    </row>
    <row r="215" ht="15.75" customHeight="1">
      <c r="A215" s="1"/>
      <c r="B215" s="1"/>
      <c r="C215" s="1"/>
      <c r="D215" s="1"/>
      <c r="E215" s="1"/>
      <c r="F215" s="1"/>
      <c r="G215" s="1"/>
      <c r="H215" s="1"/>
      <c r="I215" s="1"/>
      <c r="J215" s="4"/>
      <c r="K215" s="4"/>
      <c r="L215" s="4"/>
      <c r="M215" s="4"/>
      <c r="N215" s="4"/>
      <c r="O215" s="4"/>
      <c r="P215" s="4"/>
      <c r="Q215" s="4"/>
      <c r="R215" s="4"/>
      <c r="S215" s="4"/>
      <c r="T215" s="4"/>
      <c r="U215" s="4"/>
      <c r="V215" s="4"/>
      <c r="W215" s="4"/>
      <c r="X215" s="4"/>
      <c r="Y215" s="4"/>
      <c r="Z215" s="4"/>
    </row>
    <row r="216" ht="15.75" customHeight="1">
      <c r="A216" s="1"/>
      <c r="B216" s="1"/>
      <c r="C216" s="1"/>
      <c r="D216" s="1"/>
      <c r="E216" s="1"/>
      <c r="F216" s="1"/>
      <c r="G216" s="1"/>
      <c r="H216" s="1"/>
      <c r="I216" s="1"/>
      <c r="J216" s="4"/>
      <c r="K216" s="4"/>
      <c r="L216" s="4"/>
      <c r="M216" s="4"/>
      <c r="N216" s="4"/>
      <c r="O216" s="4"/>
      <c r="P216" s="4"/>
      <c r="Q216" s="4"/>
      <c r="R216" s="4"/>
      <c r="S216" s="4"/>
      <c r="T216" s="4"/>
      <c r="U216" s="4"/>
      <c r="V216" s="4"/>
      <c r="W216" s="4"/>
      <c r="X216" s="4"/>
      <c r="Y216" s="4"/>
      <c r="Z216" s="4"/>
    </row>
    <row r="217" ht="15.75" customHeight="1">
      <c r="A217" s="1"/>
      <c r="B217" s="1"/>
      <c r="C217" s="1"/>
      <c r="D217" s="1"/>
      <c r="E217" s="1"/>
      <c r="F217" s="1"/>
      <c r="G217" s="1"/>
      <c r="H217" s="1"/>
      <c r="I217" s="1"/>
      <c r="J217" s="4"/>
      <c r="K217" s="4"/>
      <c r="L217" s="4"/>
      <c r="M217" s="4"/>
      <c r="N217" s="4"/>
      <c r="O217" s="4"/>
      <c r="P217" s="4"/>
      <c r="Q217" s="4"/>
      <c r="R217" s="4"/>
      <c r="S217" s="4"/>
      <c r="T217" s="4"/>
      <c r="U217" s="4"/>
      <c r="V217" s="4"/>
      <c r="W217" s="4"/>
      <c r="X217" s="4"/>
      <c r="Y217" s="4"/>
      <c r="Z217" s="4"/>
    </row>
    <row r="218" ht="15.75" customHeight="1">
      <c r="A218" s="1"/>
      <c r="B218" s="1"/>
      <c r="C218" s="1"/>
      <c r="D218" s="1"/>
      <c r="E218" s="1"/>
      <c r="F218" s="1"/>
      <c r="G218" s="1"/>
      <c r="H218" s="1"/>
      <c r="I218" s="1"/>
      <c r="J218" s="4"/>
      <c r="K218" s="4"/>
      <c r="L218" s="4"/>
      <c r="M218" s="4"/>
      <c r="N218" s="4"/>
      <c r="O218" s="4"/>
      <c r="P218" s="4"/>
      <c r="Q218" s="4"/>
      <c r="R218" s="4"/>
      <c r="S218" s="4"/>
      <c r="T218" s="4"/>
      <c r="U218" s="4"/>
      <c r="V218" s="4"/>
      <c r="W218" s="4"/>
      <c r="X218" s="4"/>
      <c r="Y218" s="4"/>
      <c r="Z218" s="4"/>
    </row>
    <row r="219" ht="15.75" customHeight="1">
      <c r="A219" s="1"/>
      <c r="B219" s="1"/>
      <c r="C219" s="1"/>
      <c r="D219" s="1"/>
      <c r="E219" s="1"/>
      <c r="F219" s="1"/>
      <c r="G219" s="1"/>
      <c r="H219" s="1"/>
      <c r="I219" s="1"/>
      <c r="J219" s="4"/>
      <c r="K219" s="4"/>
      <c r="L219" s="4"/>
      <c r="M219" s="4"/>
      <c r="N219" s="4"/>
      <c r="O219" s="4"/>
      <c r="P219" s="4"/>
      <c r="Q219" s="4"/>
      <c r="R219" s="4"/>
      <c r="S219" s="4"/>
      <c r="T219" s="4"/>
      <c r="U219" s="4"/>
      <c r="V219" s="4"/>
      <c r="W219" s="4"/>
      <c r="X219" s="4"/>
      <c r="Y219" s="4"/>
      <c r="Z219" s="4"/>
    </row>
    <row r="220" ht="15.75" customHeight="1">
      <c r="A220" s="1"/>
      <c r="B220" s="1"/>
      <c r="C220" s="1"/>
      <c r="D220" s="1"/>
      <c r="E220" s="1"/>
      <c r="F220" s="1"/>
      <c r="G220" s="1"/>
      <c r="H220" s="1"/>
      <c r="I220" s="1"/>
      <c r="J220" s="4"/>
      <c r="K220" s="4"/>
      <c r="L220" s="4"/>
      <c r="M220" s="4"/>
      <c r="N220" s="4"/>
      <c r="O220" s="4"/>
      <c r="P220" s="4"/>
      <c r="Q220" s="4"/>
      <c r="R220" s="4"/>
      <c r="S220" s="4"/>
      <c r="T220" s="4"/>
      <c r="U220" s="4"/>
      <c r="V220" s="4"/>
      <c r="W220" s="4"/>
      <c r="X220" s="4"/>
      <c r="Y220" s="4"/>
      <c r="Z220" s="4"/>
    </row>
    <row r="221" ht="15.75" customHeight="1">
      <c r="A221" s="1"/>
      <c r="B221" s="1"/>
      <c r="C221" s="1"/>
      <c r="D221" s="1"/>
      <c r="E221" s="1"/>
      <c r="F221" s="1"/>
      <c r="G221" s="1"/>
      <c r="H221" s="1"/>
      <c r="I221" s="1"/>
      <c r="J221" s="4"/>
      <c r="K221" s="4"/>
      <c r="L221" s="4"/>
      <c r="M221" s="4"/>
      <c r="N221" s="4"/>
      <c r="O221" s="4"/>
      <c r="P221" s="4"/>
      <c r="Q221" s="4"/>
      <c r="R221" s="4"/>
      <c r="S221" s="4"/>
      <c r="T221" s="4"/>
      <c r="U221" s="4"/>
      <c r="V221" s="4"/>
      <c r="W221" s="4"/>
      <c r="X221" s="4"/>
      <c r="Y221" s="4"/>
      <c r="Z221" s="4"/>
    </row>
    <row r="222" ht="15.75" customHeight="1">
      <c r="A222" s="1"/>
      <c r="B222" s="1"/>
      <c r="C222" s="1"/>
      <c r="D222" s="1"/>
      <c r="E222" s="1"/>
      <c r="F222" s="1"/>
      <c r="G222" s="1"/>
      <c r="H222" s="1"/>
      <c r="I222" s="1"/>
      <c r="J222" s="4"/>
      <c r="K222" s="4"/>
      <c r="L222" s="4"/>
      <c r="M222" s="4"/>
      <c r="N222" s="4"/>
      <c r="O222" s="4"/>
      <c r="P222" s="4"/>
      <c r="Q222" s="4"/>
      <c r="R222" s="4"/>
      <c r="S222" s="4"/>
      <c r="T222" s="4"/>
      <c r="U222" s="4"/>
      <c r="V222" s="4"/>
      <c r="W222" s="4"/>
      <c r="X222" s="4"/>
      <c r="Y222" s="4"/>
      <c r="Z222" s="4"/>
    </row>
    <row r="223" ht="15.75" customHeight="1">
      <c r="A223" s="1"/>
      <c r="B223" s="1"/>
      <c r="C223" s="1"/>
      <c r="D223" s="1"/>
      <c r="E223" s="1"/>
      <c r="F223" s="1"/>
      <c r="G223" s="1"/>
      <c r="H223" s="1"/>
      <c r="I223" s="1"/>
      <c r="J223" s="4"/>
      <c r="K223" s="4"/>
      <c r="L223" s="4"/>
      <c r="M223" s="4"/>
      <c r="N223" s="4"/>
      <c r="O223" s="4"/>
      <c r="P223" s="4"/>
      <c r="Q223" s="4"/>
      <c r="R223" s="4"/>
      <c r="S223" s="4"/>
      <c r="T223" s="4"/>
      <c r="U223" s="4"/>
      <c r="V223" s="4"/>
      <c r="W223" s="4"/>
      <c r="X223" s="4"/>
      <c r="Y223" s="4"/>
      <c r="Z223" s="4"/>
    </row>
    <row r="224" ht="15.75" customHeight="1">
      <c r="A224" s="1"/>
      <c r="B224" s="1"/>
      <c r="C224" s="1"/>
      <c r="D224" s="1"/>
      <c r="E224" s="1"/>
      <c r="F224" s="1"/>
      <c r="G224" s="1"/>
      <c r="H224" s="1"/>
      <c r="I224" s="1"/>
      <c r="J224" s="4"/>
      <c r="K224" s="4"/>
      <c r="L224" s="4"/>
      <c r="M224" s="4"/>
      <c r="N224" s="4"/>
      <c r="O224" s="4"/>
      <c r="P224" s="4"/>
      <c r="Q224" s="4"/>
      <c r="R224" s="4"/>
      <c r="S224" s="4"/>
      <c r="T224" s="4"/>
      <c r="U224" s="4"/>
      <c r="V224" s="4"/>
      <c r="W224" s="4"/>
      <c r="X224" s="4"/>
      <c r="Y224" s="4"/>
      <c r="Z224" s="4"/>
    </row>
    <row r="225" ht="15.75" customHeight="1">
      <c r="A225" s="1"/>
      <c r="B225" s="1"/>
      <c r="C225" s="1"/>
      <c r="D225" s="1"/>
      <c r="E225" s="1"/>
      <c r="F225" s="1"/>
      <c r="G225" s="1"/>
      <c r="H225" s="1"/>
      <c r="I225" s="1"/>
      <c r="J225" s="4"/>
      <c r="K225" s="4"/>
      <c r="L225" s="4"/>
      <c r="M225" s="4"/>
      <c r="N225" s="4"/>
      <c r="O225" s="4"/>
      <c r="P225" s="4"/>
      <c r="Q225" s="4"/>
      <c r="R225" s="4"/>
      <c r="S225" s="4"/>
      <c r="T225" s="4"/>
      <c r="U225" s="4"/>
      <c r="V225" s="4"/>
      <c r="W225" s="4"/>
      <c r="X225" s="4"/>
      <c r="Y225" s="4"/>
      <c r="Z225" s="4"/>
    </row>
    <row r="226" ht="15.75" customHeight="1">
      <c r="A226" s="1"/>
      <c r="B226" s="1"/>
      <c r="C226" s="1"/>
      <c r="D226" s="1"/>
      <c r="E226" s="1"/>
      <c r="F226" s="1"/>
      <c r="G226" s="1"/>
      <c r="H226" s="1"/>
      <c r="I226" s="1"/>
      <c r="J226" s="4"/>
      <c r="K226" s="4"/>
      <c r="L226" s="4"/>
      <c r="M226" s="4"/>
      <c r="N226" s="4"/>
      <c r="O226" s="4"/>
      <c r="P226" s="4"/>
      <c r="Q226" s="4"/>
      <c r="R226" s="4"/>
      <c r="S226" s="4"/>
      <c r="T226" s="4"/>
      <c r="U226" s="4"/>
      <c r="V226" s="4"/>
      <c r="W226" s="4"/>
      <c r="X226" s="4"/>
      <c r="Y226" s="4"/>
      <c r="Z226" s="4"/>
    </row>
    <row r="227" ht="15.75" customHeight="1">
      <c r="A227" s="1"/>
      <c r="B227" s="1"/>
      <c r="C227" s="1"/>
      <c r="D227" s="1"/>
      <c r="E227" s="1"/>
      <c r="F227" s="1"/>
      <c r="G227" s="1"/>
      <c r="H227" s="1"/>
      <c r="I227" s="1"/>
      <c r="J227" s="4"/>
      <c r="K227" s="4"/>
      <c r="L227" s="4"/>
      <c r="M227" s="4"/>
      <c r="N227" s="4"/>
      <c r="O227" s="4"/>
      <c r="P227" s="4"/>
      <c r="Q227" s="4"/>
      <c r="R227" s="4"/>
      <c r="S227" s="4"/>
      <c r="T227" s="4"/>
      <c r="U227" s="4"/>
      <c r="V227" s="4"/>
      <c r="W227" s="4"/>
      <c r="X227" s="4"/>
      <c r="Y227" s="4"/>
      <c r="Z227" s="4"/>
    </row>
    <row r="228" ht="15.75" customHeight="1">
      <c r="A228" s="1"/>
      <c r="B228" s="1"/>
      <c r="C228" s="1"/>
      <c r="D228" s="1"/>
      <c r="E228" s="1"/>
      <c r="F228" s="1"/>
      <c r="G228" s="1"/>
      <c r="H228" s="1"/>
      <c r="I228" s="1"/>
      <c r="J228" s="4"/>
      <c r="K228" s="4"/>
      <c r="L228" s="4"/>
      <c r="M228" s="4"/>
      <c r="N228" s="4"/>
      <c r="O228" s="4"/>
      <c r="P228" s="4"/>
      <c r="Q228" s="4"/>
      <c r="R228" s="4"/>
      <c r="S228" s="4"/>
      <c r="T228" s="4"/>
      <c r="U228" s="4"/>
      <c r="V228" s="4"/>
      <c r="W228" s="4"/>
      <c r="X228" s="4"/>
      <c r="Y228" s="4"/>
      <c r="Z228" s="4"/>
    </row>
    <row r="229" ht="15.75" customHeight="1">
      <c r="A229" s="1"/>
      <c r="B229" s="1"/>
      <c r="C229" s="1"/>
      <c r="D229" s="1"/>
      <c r="E229" s="1"/>
      <c r="F229" s="1"/>
      <c r="G229" s="1"/>
      <c r="H229" s="1"/>
      <c r="I229" s="1"/>
      <c r="J229" s="4"/>
      <c r="K229" s="4"/>
      <c r="L229" s="4"/>
      <c r="M229" s="4"/>
      <c r="N229" s="4"/>
      <c r="O229" s="4"/>
      <c r="P229" s="4"/>
      <c r="Q229" s="4"/>
      <c r="R229" s="4"/>
      <c r="S229" s="4"/>
      <c r="T229" s="4"/>
      <c r="U229" s="4"/>
      <c r="V229" s="4"/>
      <c r="W229" s="4"/>
      <c r="X229" s="4"/>
      <c r="Y229" s="4"/>
      <c r="Z229" s="4"/>
    </row>
    <row r="230" ht="15.75" customHeight="1">
      <c r="A230" s="1"/>
      <c r="B230" s="1"/>
      <c r="C230" s="1"/>
      <c r="D230" s="1"/>
      <c r="E230" s="1"/>
      <c r="F230" s="1"/>
      <c r="G230" s="1"/>
      <c r="H230" s="1"/>
      <c r="I230" s="1"/>
      <c r="J230" s="4"/>
      <c r="K230" s="4"/>
      <c r="L230" s="4"/>
      <c r="M230" s="4"/>
      <c r="N230" s="4"/>
      <c r="O230" s="4"/>
      <c r="P230" s="4"/>
      <c r="Q230" s="4"/>
      <c r="R230" s="4"/>
      <c r="S230" s="4"/>
      <c r="T230" s="4"/>
      <c r="U230" s="4"/>
      <c r="V230" s="4"/>
      <c r="W230" s="4"/>
      <c r="X230" s="4"/>
      <c r="Y230" s="4"/>
      <c r="Z230" s="4"/>
    </row>
    <row r="231" ht="15.75" customHeight="1">
      <c r="A231" s="1"/>
      <c r="B231" s="1"/>
      <c r="C231" s="1"/>
      <c r="D231" s="1"/>
      <c r="E231" s="1"/>
      <c r="F231" s="1"/>
      <c r="G231" s="1"/>
      <c r="H231" s="1"/>
      <c r="I231" s="1"/>
      <c r="J231" s="4"/>
      <c r="K231" s="4"/>
      <c r="L231" s="4"/>
      <c r="M231" s="4"/>
      <c r="N231" s="4"/>
      <c r="O231" s="4"/>
      <c r="P231" s="4"/>
      <c r="Q231" s="4"/>
      <c r="R231" s="4"/>
      <c r="S231" s="4"/>
      <c r="T231" s="4"/>
      <c r="U231" s="4"/>
      <c r="V231" s="4"/>
      <c r="W231" s="4"/>
      <c r="X231" s="4"/>
      <c r="Y231" s="4"/>
      <c r="Z231" s="4"/>
    </row>
    <row r="232" ht="15.75" customHeight="1">
      <c r="A232" s="1"/>
      <c r="B232" s="1"/>
      <c r="C232" s="1"/>
      <c r="D232" s="1"/>
      <c r="E232" s="1"/>
      <c r="F232" s="1"/>
      <c r="G232" s="1"/>
      <c r="H232" s="1"/>
      <c r="I232" s="1"/>
      <c r="J232" s="4"/>
      <c r="K232" s="4"/>
      <c r="L232" s="4"/>
      <c r="M232" s="4"/>
      <c r="N232" s="4"/>
      <c r="O232" s="4"/>
      <c r="P232" s="4"/>
      <c r="Q232" s="4"/>
      <c r="R232" s="4"/>
      <c r="S232" s="4"/>
      <c r="T232" s="4"/>
      <c r="U232" s="4"/>
      <c r="V232" s="4"/>
      <c r="W232" s="4"/>
      <c r="X232" s="4"/>
      <c r="Y232" s="4"/>
      <c r="Z232" s="4"/>
    </row>
    <row r="233" ht="15.75" customHeight="1">
      <c r="A233" s="1"/>
      <c r="B233" s="1"/>
      <c r="C233" s="1"/>
      <c r="D233" s="1"/>
      <c r="E233" s="1"/>
      <c r="F233" s="1"/>
      <c r="G233" s="1"/>
      <c r="H233" s="1"/>
      <c r="I233" s="1"/>
      <c r="J233" s="4"/>
      <c r="K233" s="4"/>
      <c r="L233" s="4"/>
      <c r="M233" s="4"/>
      <c r="N233" s="4"/>
      <c r="O233" s="4"/>
      <c r="P233" s="4"/>
      <c r="Q233" s="4"/>
      <c r="R233" s="4"/>
      <c r="S233" s="4"/>
      <c r="T233" s="4"/>
      <c r="U233" s="4"/>
      <c r="V233" s="4"/>
      <c r="W233" s="4"/>
      <c r="X233" s="4"/>
      <c r="Y233" s="4"/>
      <c r="Z233" s="4"/>
    </row>
    <row r="234" ht="15.75" customHeight="1">
      <c r="A234" s="1"/>
      <c r="B234" s="1"/>
      <c r="C234" s="1"/>
      <c r="D234" s="1"/>
      <c r="E234" s="1"/>
      <c r="F234" s="1"/>
      <c r="G234" s="1"/>
      <c r="H234" s="1"/>
      <c r="I234" s="1"/>
      <c r="J234" s="4"/>
      <c r="K234" s="4"/>
      <c r="L234" s="4"/>
      <c r="M234" s="4"/>
      <c r="N234" s="4"/>
      <c r="O234" s="4"/>
      <c r="P234" s="4"/>
      <c r="Q234" s="4"/>
      <c r="R234" s="4"/>
      <c r="S234" s="4"/>
      <c r="T234" s="4"/>
      <c r="U234" s="4"/>
      <c r="V234" s="4"/>
      <c r="W234" s="4"/>
      <c r="X234" s="4"/>
      <c r="Y234" s="4"/>
      <c r="Z234" s="4"/>
    </row>
    <row r="235" ht="15.75" customHeight="1">
      <c r="A235" s="1"/>
      <c r="B235" s="1"/>
      <c r="C235" s="1"/>
      <c r="D235" s="1"/>
      <c r="E235" s="1"/>
      <c r="F235" s="1"/>
      <c r="G235" s="1"/>
      <c r="H235" s="1"/>
      <c r="I235" s="1"/>
      <c r="J235" s="4"/>
      <c r="K235" s="4"/>
      <c r="L235" s="4"/>
      <c r="M235" s="4"/>
      <c r="N235" s="4"/>
      <c r="O235" s="4"/>
      <c r="P235" s="4"/>
      <c r="Q235" s="4"/>
      <c r="R235" s="4"/>
      <c r="S235" s="4"/>
      <c r="T235" s="4"/>
      <c r="U235" s="4"/>
      <c r="V235" s="4"/>
      <c r="W235" s="4"/>
      <c r="X235" s="4"/>
      <c r="Y235" s="4"/>
      <c r="Z235" s="4"/>
    </row>
    <row r="236" ht="15.75" customHeight="1">
      <c r="A236" s="1"/>
      <c r="B236" s="1"/>
      <c r="C236" s="1"/>
      <c r="D236" s="1"/>
      <c r="E236" s="1"/>
      <c r="F236" s="1"/>
      <c r="G236" s="1"/>
      <c r="H236" s="1"/>
      <c r="I236" s="1"/>
      <c r="J236" s="4"/>
      <c r="K236" s="4"/>
      <c r="L236" s="4"/>
      <c r="M236" s="4"/>
      <c r="N236" s="4"/>
      <c r="O236" s="4"/>
      <c r="P236" s="4"/>
      <c r="Q236" s="4"/>
      <c r="R236" s="4"/>
      <c r="S236" s="4"/>
      <c r="T236" s="4"/>
      <c r="U236" s="4"/>
      <c r="V236" s="4"/>
      <c r="W236" s="4"/>
      <c r="X236" s="4"/>
      <c r="Y236" s="4"/>
      <c r="Z236" s="4"/>
    </row>
    <row r="237" ht="15.75" customHeight="1">
      <c r="A237" s="1"/>
      <c r="B237" s="1"/>
      <c r="C237" s="1"/>
      <c r="D237" s="1"/>
      <c r="E237" s="1"/>
      <c r="F237" s="1"/>
      <c r="G237" s="1"/>
      <c r="H237" s="1"/>
      <c r="I237" s="1"/>
      <c r="J237" s="4"/>
      <c r="K237" s="4"/>
      <c r="L237" s="4"/>
      <c r="M237" s="4"/>
      <c r="N237" s="4"/>
      <c r="O237" s="4"/>
      <c r="P237" s="4"/>
      <c r="Q237" s="4"/>
      <c r="R237" s="4"/>
      <c r="S237" s="4"/>
      <c r="T237" s="4"/>
      <c r="U237" s="4"/>
      <c r="V237" s="4"/>
      <c r="W237" s="4"/>
      <c r="X237" s="4"/>
      <c r="Y237" s="4"/>
      <c r="Z237" s="4"/>
    </row>
    <row r="238" ht="15.75" customHeight="1">
      <c r="A238" s="1"/>
      <c r="B238" s="1"/>
      <c r="C238" s="1"/>
      <c r="D238" s="1"/>
      <c r="E238" s="1"/>
      <c r="F238" s="1"/>
      <c r="G238" s="1"/>
      <c r="H238" s="1"/>
      <c r="I238" s="1"/>
      <c r="J238" s="4"/>
      <c r="K238" s="4"/>
      <c r="L238" s="4"/>
      <c r="M238" s="4"/>
      <c r="N238" s="4"/>
      <c r="O238" s="4"/>
      <c r="P238" s="4"/>
      <c r="Q238" s="4"/>
      <c r="R238" s="4"/>
      <c r="S238" s="4"/>
      <c r="T238" s="4"/>
      <c r="U238" s="4"/>
      <c r="V238" s="4"/>
      <c r="W238" s="4"/>
      <c r="X238" s="4"/>
      <c r="Y238" s="4"/>
      <c r="Z238" s="4"/>
    </row>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A1:H1"/>
    <mergeCell ref="A2:H2"/>
    <mergeCell ref="A4:H4"/>
    <mergeCell ref="A17:H17"/>
    <mergeCell ref="A30:H30"/>
    <mergeCell ref="A31:H31"/>
  </mergeCells>
  <dataValidations>
    <dataValidation type="list" allowBlank="1" sqref="C33:D38">
      <formula1>"Yes,No,N/A"</formula1>
    </dataValidation>
    <dataValidation type="list" allowBlank="1" sqref="D16:E16 G16">
      <formula1>"Yes,No"</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38.0"/>
    <col customWidth="1" min="3" max="3" width="18.0"/>
    <col customWidth="1" min="4" max="4" width="34.0"/>
    <col customWidth="1" min="5" max="5" width="24.0"/>
    <col customWidth="1" min="6" max="6" width="22.0"/>
    <col customWidth="1" min="7" max="7" width="28.0"/>
    <col customWidth="1" min="8" max="8" width="30.0"/>
  </cols>
  <sheetData>
    <row r="1" ht="24.0" customHeight="1">
      <c r="A1" s="140" t="s">
        <v>592</v>
      </c>
      <c r="I1" s="41"/>
      <c r="J1" s="41"/>
      <c r="K1" s="41"/>
      <c r="L1" s="41"/>
      <c r="M1" s="41"/>
      <c r="N1" s="41"/>
      <c r="O1" s="4"/>
      <c r="P1" s="4"/>
      <c r="Q1" s="4"/>
      <c r="R1" s="4"/>
      <c r="S1" s="4"/>
      <c r="T1" s="4"/>
      <c r="U1" s="4"/>
      <c r="V1" s="4"/>
      <c r="W1" s="4"/>
      <c r="X1" s="4"/>
      <c r="Y1" s="4"/>
      <c r="Z1" s="4"/>
    </row>
    <row r="2" ht="15.0" customHeight="1">
      <c r="A2" s="42" t="s">
        <v>594</v>
      </c>
      <c r="I2" s="41"/>
      <c r="J2" s="41"/>
      <c r="K2" s="41"/>
      <c r="L2" s="41"/>
      <c r="M2" s="41"/>
      <c r="N2" s="41"/>
      <c r="O2" s="4"/>
      <c r="P2" s="4"/>
      <c r="Q2" s="4"/>
      <c r="R2" s="4"/>
      <c r="S2" s="4"/>
      <c r="T2" s="4"/>
      <c r="U2" s="4"/>
      <c r="V2" s="4"/>
      <c r="W2" s="4"/>
      <c r="X2" s="4"/>
      <c r="Y2" s="4"/>
      <c r="Z2" s="4"/>
    </row>
    <row r="3" ht="15.0" customHeight="1">
      <c r="A3" s="2"/>
      <c r="B3" s="2"/>
      <c r="C3" s="2"/>
      <c r="D3" s="2"/>
      <c r="E3" s="2"/>
      <c r="F3" s="2"/>
      <c r="G3" s="41"/>
      <c r="H3" s="41"/>
      <c r="I3" s="41"/>
      <c r="J3" s="41"/>
      <c r="K3" s="41"/>
      <c r="L3" s="41"/>
      <c r="M3" s="41"/>
      <c r="N3" s="41"/>
      <c r="O3" s="4"/>
      <c r="P3" s="4"/>
      <c r="Q3" s="4"/>
      <c r="R3" s="4"/>
      <c r="S3" s="4"/>
      <c r="T3" s="4"/>
      <c r="U3" s="4"/>
      <c r="V3" s="4"/>
      <c r="W3" s="4"/>
      <c r="X3" s="4"/>
      <c r="Y3" s="4"/>
      <c r="Z3" s="4"/>
    </row>
    <row r="4" ht="15.0" customHeight="1">
      <c r="A4" s="86" t="s">
        <v>597</v>
      </c>
      <c r="I4" s="41"/>
      <c r="J4" s="41"/>
      <c r="K4" s="41"/>
      <c r="L4" s="41"/>
      <c r="M4" s="41"/>
      <c r="N4" s="41"/>
      <c r="O4" s="4"/>
      <c r="P4" s="4"/>
      <c r="Q4" s="4"/>
      <c r="R4" s="4"/>
      <c r="S4" s="4"/>
      <c r="T4" s="4"/>
      <c r="U4" s="4"/>
      <c r="V4" s="4"/>
      <c r="W4" s="4"/>
      <c r="X4" s="4"/>
      <c r="Y4" s="4"/>
      <c r="Z4" s="4"/>
    </row>
    <row r="5" ht="15.0" customHeight="1">
      <c r="A5" s="9"/>
      <c r="B5" s="46" t="s">
        <v>599</v>
      </c>
      <c r="C5" s="46" t="s">
        <v>600</v>
      </c>
      <c r="D5" s="46" t="s">
        <v>601</v>
      </c>
      <c r="E5" s="46" t="s">
        <v>603</v>
      </c>
      <c r="F5" s="46" t="s">
        <v>604</v>
      </c>
      <c r="G5" s="47" t="s">
        <v>605</v>
      </c>
      <c r="H5" s="48" t="s">
        <v>606</v>
      </c>
      <c r="I5" s="41"/>
      <c r="J5" s="41"/>
      <c r="K5" s="41"/>
      <c r="L5" s="41"/>
      <c r="M5" s="41"/>
      <c r="N5" s="41"/>
      <c r="O5" s="4"/>
      <c r="P5" s="4"/>
      <c r="Q5" s="4"/>
      <c r="R5" s="4"/>
      <c r="S5" s="4"/>
      <c r="T5" s="4"/>
      <c r="U5" s="4"/>
      <c r="V5" s="4"/>
      <c r="W5" s="4"/>
      <c r="X5" s="4"/>
      <c r="Y5" s="4"/>
      <c r="Z5" s="4"/>
    </row>
    <row r="6" ht="15.0" customHeight="1">
      <c r="A6" s="12"/>
      <c r="B6" s="31" t="s">
        <v>608</v>
      </c>
      <c r="C6" s="31" t="s">
        <v>610</v>
      </c>
      <c r="D6" s="31" t="s">
        <v>611</v>
      </c>
      <c r="E6" s="31"/>
      <c r="F6" s="31"/>
      <c r="G6" s="64"/>
      <c r="H6" s="65"/>
      <c r="I6" s="41"/>
      <c r="J6" s="41"/>
      <c r="K6" s="41"/>
      <c r="L6" s="41"/>
      <c r="M6" s="41"/>
      <c r="N6" s="41"/>
      <c r="O6" s="4"/>
      <c r="P6" s="4"/>
      <c r="Q6" s="4"/>
      <c r="R6" s="4"/>
      <c r="S6" s="4"/>
      <c r="T6" s="4"/>
      <c r="U6" s="4"/>
      <c r="V6" s="4"/>
      <c r="W6" s="4"/>
      <c r="X6" s="4"/>
      <c r="Y6" s="4"/>
      <c r="Z6" s="4"/>
    </row>
    <row r="7" ht="15.0" customHeight="1">
      <c r="A7" s="16"/>
      <c r="B7" s="34" t="s">
        <v>616</v>
      </c>
      <c r="C7" s="34" t="s">
        <v>619</v>
      </c>
      <c r="D7" s="34" t="s">
        <v>611</v>
      </c>
      <c r="E7" s="34"/>
      <c r="F7" s="34"/>
      <c r="G7" s="28"/>
      <c r="H7" s="66"/>
      <c r="I7" s="41"/>
      <c r="J7" s="41"/>
      <c r="K7" s="41"/>
      <c r="L7" s="41"/>
      <c r="M7" s="41"/>
      <c r="N7" s="41"/>
      <c r="O7" s="4"/>
      <c r="P7" s="4"/>
      <c r="Q7" s="4"/>
      <c r="R7" s="4"/>
      <c r="S7" s="4"/>
      <c r="T7" s="4"/>
      <c r="U7" s="4"/>
      <c r="V7" s="4"/>
      <c r="W7" s="4"/>
      <c r="X7" s="4"/>
      <c r="Y7" s="4"/>
      <c r="Z7" s="4"/>
    </row>
    <row r="8" ht="24.0" customHeight="1">
      <c r="A8" s="12"/>
      <c r="B8" s="31" t="s">
        <v>624</v>
      </c>
      <c r="C8" s="31" t="s">
        <v>625</v>
      </c>
      <c r="D8" s="31" t="s">
        <v>611</v>
      </c>
      <c r="E8" s="31"/>
      <c r="F8" s="31"/>
      <c r="G8" s="28"/>
      <c r="H8" s="66"/>
      <c r="I8" s="41"/>
      <c r="J8" s="41"/>
      <c r="K8" s="41"/>
      <c r="L8" s="41"/>
      <c r="M8" s="41"/>
      <c r="N8" s="41"/>
      <c r="O8" s="4"/>
      <c r="P8" s="4"/>
      <c r="Q8" s="4"/>
      <c r="R8" s="4"/>
      <c r="S8" s="4"/>
      <c r="T8" s="4"/>
      <c r="U8" s="4"/>
      <c r="V8" s="4"/>
      <c r="W8" s="4"/>
      <c r="X8" s="4"/>
      <c r="Y8" s="4"/>
      <c r="Z8" s="4"/>
    </row>
    <row r="9" ht="15.0" customHeight="1">
      <c r="A9" s="16"/>
      <c r="B9" s="34" t="s">
        <v>633</v>
      </c>
      <c r="C9" s="34" t="s">
        <v>634</v>
      </c>
      <c r="D9" s="34" t="s">
        <v>611</v>
      </c>
      <c r="E9" s="34"/>
      <c r="F9" s="34"/>
      <c r="G9" s="28"/>
      <c r="H9" s="66"/>
      <c r="I9" s="41"/>
      <c r="J9" s="41"/>
      <c r="K9" s="41"/>
      <c r="L9" s="41"/>
      <c r="M9" s="41"/>
      <c r="N9" s="41"/>
      <c r="O9" s="4"/>
      <c r="P9" s="4"/>
      <c r="Q9" s="4"/>
      <c r="R9" s="4"/>
      <c r="S9" s="4"/>
      <c r="T9" s="4"/>
      <c r="U9" s="4"/>
      <c r="V9" s="4"/>
      <c r="W9" s="4"/>
      <c r="X9" s="4"/>
      <c r="Y9" s="4"/>
      <c r="Z9" s="4"/>
    </row>
    <row r="10" ht="15.0" customHeight="1">
      <c r="A10" s="12"/>
      <c r="B10" s="31" t="s">
        <v>635</v>
      </c>
      <c r="C10" s="31" t="s">
        <v>636</v>
      </c>
      <c r="D10" s="31" t="s">
        <v>611</v>
      </c>
      <c r="E10" s="31"/>
      <c r="F10" s="31"/>
      <c r="G10" s="28"/>
      <c r="H10" s="66"/>
      <c r="I10" s="41"/>
      <c r="J10" s="41"/>
      <c r="K10" s="41"/>
      <c r="L10" s="41"/>
      <c r="M10" s="41"/>
      <c r="N10" s="41"/>
      <c r="O10" s="4"/>
      <c r="P10" s="4"/>
      <c r="Q10" s="4"/>
      <c r="R10" s="4"/>
      <c r="S10" s="4"/>
      <c r="T10" s="4"/>
      <c r="U10" s="4"/>
      <c r="V10" s="4"/>
      <c r="W10" s="4"/>
      <c r="X10" s="4"/>
      <c r="Y10" s="4"/>
      <c r="Z10" s="4"/>
    </row>
    <row r="11" ht="24.0" customHeight="1">
      <c r="A11" s="16"/>
      <c r="B11" s="34" t="s">
        <v>639</v>
      </c>
      <c r="C11" s="34" t="s">
        <v>640</v>
      </c>
      <c r="D11" s="34" t="s">
        <v>642</v>
      </c>
      <c r="E11" s="34"/>
      <c r="F11" s="34"/>
      <c r="G11" s="28"/>
      <c r="H11" s="66"/>
      <c r="I11" s="41"/>
      <c r="J11" s="41"/>
      <c r="K11" s="41"/>
      <c r="L11" s="41"/>
      <c r="M11" s="41"/>
      <c r="N11" s="41"/>
      <c r="O11" s="4"/>
      <c r="P11" s="4"/>
      <c r="Q11" s="4"/>
      <c r="R11" s="4"/>
      <c r="S11" s="4"/>
      <c r="T11" s="4"/>
      <c r="U11" s="4"/>
      <c r="V11" s="4"/>
      <c r="W11" s="4"/>
      <c r="X11" s="4"/>
      <c r="Y11" s="4"/>
      <c r="Z11" s="4"/>
    </row>
    <row r="12" ht="66.0" customHeight="1">
      <c r="A12" s="2"/>
      <c r="B12" s="145" t="s">
        <v>650</v>
      </c>
      <c r="C12" s="71" t="s">
        <v>653</v>
      </c>
      <c r="D12" s="71" t="s">
        <v>654</v>
      </c>
      <c r="E12" s="71"/>
      <c r="F12" s="71"/>
      <c r="G12" s="71"/>
      <c r="H12" s="72"/>
      <c r="I12" s="41"/>
      <c r="J12" s="41"/>
      <c r="K12" s="41"/>
      <c r="L12" s="41"/>
      <c r="M12" s="41"/>
      <c r="N12" s="41"/>
      <c r="O12" s="4"/>
      <c r="P12" s="4"/>
      <c r="Q12" s="4"/>
      <c r="R12" s="4"/>
      <c r="S12" s="4"/>
      <c r="T12" s="4"/>
      <c r="U12" s="4"/>
      <c r="V12" s="4"/>
      <c r="W12" s="4"/>
      <c r="X12" s="4"/>
      <c r="Y12" s="4"/>
      <c r="Z12" s="4"/>
    </row>
    <row r="13" ht="15.0" customHeight="1">
      <c r="A13" s="2"/>
      <c r="B13" s="2"/>
      <c r="C13" s="2"/>
      <c r="D13" s="2"/>
      <c r="E13" s="2"/>
      <c r="F13" s="2"/>
      <c r="G13" s="41"/>
      <c r="H13" s="41"/>
      <c r="I13" s="41"/>
      <c r="J13" s="41"/>
      <c r="K13" s="41"/>
      <c r="L13" s="41"/>
      <c r="M13" s="41"/>
      <c r="N13" s="41"/>
      <c r="O13" s="4"/>
      <c r="P13" s="4"/>
      <c r="Q13" s="4"/>
      <c r="R13" s="4"/>
      <c r="S13" s="4"/>
      <c r="T13" s="4"/>
      <c r="U13" s="4"/>
      <c r="V13" s="4"/>
      <c r="W13" s="4"/>
      <c r="X13" s="4"/>
      <c r="Y13" s="4"/>
      <c r="Z13" s="4"/>
    </row>
    <row r="14" ht="15.0" customHeight="1">
      <c r="A14" s="86" t="s">
        <v>660</v>
      </c>
      <c r="I14" s="41"/>
      <c r="J14" s="41"/>
      <c r="K14" s="41"/>
      <c r="L14" s="41"/>
      <c r="M14" s="41"/>
      <c r="N14" s="41"/>
      <c r="O14" s="4"/>
      <c r="P14" s="4"/>
      <c r="Q14" s="4"/>
      <c r="R14" s="4"/>
      <c r="S14" s="4"/>
      <c r="T14" s="4"/>
      <c r="U14" s="4"/>
      <c r="V14" s="4"/>
      <c r="W14" s="4"/>
      <c r="X14" s="4"/>
      <c r="Y14" s="4"/>
      <c r="Z14" s="4"/>
    </row>
    <row r="15" ht="24.0" customHeight="1">
      <c r="A15" s="9"/>
      <c r="B15" s="46" t="s">
        <v>599</v>
      </c>
      <c r="C15" s="46" t="s">
        <v>600</v>
      </c>
      <c r="D15" s="46" t="s">
        <v>163</v>
      </c>
      <c r="E15" s="46" t="s">
        <v>667</v>
      </c>
      <c r="F15" s="46" t="s">
        <v>605</v>
      </c>
      <c r="G15" s="47" t="s">
        <v>606</v>
      </c>
      <c r="H15" s="48" t="s">
        <v>668</v>
      </c>
      <c r="I15" s="41"/>
      <c r="J15" s="41"/>
      <c r="K15" s="41"/>
      <c r="L15" s="41"/>
      <c r="M15" s="41"/>
      <c r="N15" s="41"/>
      <c r="O15" s="4"/>
      <c r="P15" s="4"/>
      <c r="Q15" s="4"/>
      <c r="R15" s="4"/>
      <c r="S15" s="4"/>
      <c r="T15" s="4"/>
      <c r="U15" s="4"/>
      <c r="V15" s="4"/>
      <c r="W15" s="4"/>
      <c r="X15" s="4"/>
      <c r="Y15" s="4"/>
      <c r="Z15" s="4"/>
    </row>
    <row r="16" ht="15.0" customHeight="1">
      <c r="A16" s="12"/>
      <c r="B16" s="31" t="s">
        <v>672</v>
      </c>
      <c r="C16" s="31" t="s">
        <v>675</v>
      </c>
      <c r="D16" s="31"/>
      <c r="E16" s="31"/>
      <c r="F16" s="31"/>
      <c r="G16" s="64"/>
      <c r="H16" s="65"/>
      <c r="I16" s="41"/>
      <c r="J16" s="41"/>
      <c r="K16" s="41"/>
      <c r="L16" s="41"/>
      <c r="M16" s="41"/>
      <c r="N16" s="41"/>
      <c r="O16" s="4"/>
      <c r="P16" s="4"/>
      <c r="Q16" s="4"/>
      <c r="R16" s="4"/>
      <c r="S16" s="4"/>
      <c r="T16" s="4"/>
      <c r="U16" s="4"/>
      <c r="V16" s="4"/>
      <c r="W16" s="4"/>
      <c r="X16" s="4"/>
      <c r="Y16" s="4"/>
      <c r="Z16" s="4"/>
    </row>
    <row r="17" ht="15.0" customHeight="1">
      <c r="A17" s="16"/>
      <c r="B17" s="34" t="s">
        <v>684</v>
      </c>
      <c r="C17" s="34" t="s">
        <v>686</v>
      </c>
      <c r="D17" s="34"/>
      <c r="E17" s="34"/>
      <c r="F17" s="34"/>
      <c r="G17" s="28"/>
      <c r="H17" s="66"/>
      <c r="I17" s="41"/>
      <c r="J17" s="41"/>
      <c r="K17" s="41"/>
      <c r="L17" s="41"/>
      <c r="M17" s="41"/>
      <c r="N17" s="41"/>
      <c r="O17" s="4"/>
      <c r="P17" s="4"/>
      <c r="Q17" s="4"/>
      <c r="R17" s="4"/>
      <c r="S17" s="4"/>
      <c r="T17" s="4"/>
      <c r="U17" s="4"/>
      <c r="V17" s="4"/>
      <c r="W17" s="4"/>
      <c r="X17" s="4"/>
      <c r="Y17" s="4"/>
      <c r="Z17" s="4"/>
    </row>
    <row r="18" ht="24.0" customHeight="1">
      <c r="A18" s="12"/>
      <c r="B18" s="31" t="s">
        <v>692</v>
      </c>
      <c r="C18" s="31" t="s">
        <v>693</v>
      </c>
      <c r="D18" s="31"/>
      <c r="E18" s="31"/>
      <c r="F18" s="31"/>
      <c r="G18" s="28"/>
      <c r="H18" s="66" t="str">
        <f>IF(AND(ISNUMBER(E18),ISNUMBER('D — Incidents &amp; SLOs'!C12)),IF(E18='D — Incidents &amp; SLOs'!C12,"OK","MISMATCH"),"")</f>
        <v/>
      </c>
      <c r="I18" s="41"/>
      <c r="J18" s="41"/>
      <c r="K18" s="41"/>
      <c r="L18" s="41"/>
      <c r="M18" s="41"/>
      <c r="N18" s="41"/>
      <c r="O18" s="4"/>
      <c r="P18" s="4"/>
      <c r="Q18" s="4"/>
      <c r="R18" s="4"/>
      <c r="S18" s="4"/>
      <c r="T18" s="4"/>
      <c r="U18" s="4"/>
      <c r="V18" s="4"/>
      <c r="W18" s="4"/>
      <c r="X18" s="4"/>
      <c r="Y18" s="4"/>
      <c r="Z18" s="4"/>
    </row>
    <row r="19" ht="26.25" customHeight="1">
      <c r="A19" s="16"/>
      <c r="B19" s="34" t="s">
        <v>710</v>
      </c>
      <c r="C19" s="34" t="s">
        <v>711</v>
      </c>
      <c r="D19" s="34"/>
      <c r="E19" s="34"/>
      <c r="F19" s="34"/>
      <c r="G19" s="28"/>
      <c r="H19" s="66" t="s">
        <v>715</v>
      </c>
      <c r="I19" s="41"/>
      <c r="J19" s="41"/>
      <c r="K19" s="41"/>
      <c r="L19" s="41"/>
      <c r="M19" s="41"/>
      <c r="N19" s="41"/>
      <c r="O19" s="4"/>
      <c r="P19" s="4"/>
      <c r="Q19" s="4"/>
      <c r="R19" s="4"/>
      <c r="S19" s="4"/>
      <c r="T19" s="4"/>
      <c r="U19" s="4"/>
      <c r="V19" s="4"/>
      <c r="W19" s="4"/>
      <c r="X19" s="4"/>
      <c r="Y19" s="4"/>
      <c r="Z19" s="4"/>
    </row>
    <row r="20" ht="26.25" customHeight="1">
      <c r="A20" s="2"/>
      <c r="B20" s="145" t="s">
        <v>720</v>
      </c>
      <c r="C20" s="71" t="s">
        <v>721</v>
      </c>
      <c r="D20" s="71"/>
      <c r="E20" s="71"/>
      <c r="F20" s="71"/>
      <c r="G20" s="71"/>
      <c r="H20" s="72" t="s">
        <v>724</v>
      </c>
      <c r="I20" s="41"/>
      <c r="J20" s="41"/>
      <c r="K20" s="41"/>
      <c r="L20" s="41"/>
      <c r="M20" s="41"/>
      <c r="N20" s="41"/>
      <c r="O20" s="4"/>
      <c r="P20" s="4"/>
      <c r="Q20" s="4"/>
      <c r="R20" s="4"/>
      <c r="S20" s="4"/>
      <c r="T20" s="4"/>
      <c r="U20" s="4"/>
      <c r="V20" s="4"/>
      <c r="W20" s="4"/>
      <c r="X20" s="4"/>
      <c r="Y20" s="4"/>
      <c r="Z20" s="4"/>
    </row>
    <row r="21" ht="15.0" customHeight="1">
      <c r="A21" s="2"/>
      <c r="B21" s="2"/>
      <c r="C21" s="2"/>
      <c r="D21" s="2"/>
      <c r="E21" s="2"/>
      <c r="F21" s="2"/>
      <c r="G21" s="41"/>
      <c r="H21" s="41"/>
      <c r="I21" s="41"/>
      <c r="J21" s="41"/>
      <c r="K21" s="41"/>
      <c r="L21" s="41"/>
      <c r="M21" s="41"/>
      <c r="N21" s="41"/>
      <c r="O21" s="4"/>
      <c r="P21" s="4"/>
      <c r="Q21" s="4"/>
      <c r="R21" s="4"/>
      <c r="S21" s="4"/>
      <c r="T21" s="4"/>
      <c r="U21" s="4"/>
      <c r="V21" s="4"/>
      <c r="W21" s="4"/>
      <c r="X21" s="4"/>
      <c r="Y21" s="4"/>
      <c r="Z21" s="4"/>
    </row>
    <row r="22" ht="15.0" customHeight="1">
      <c r="A22" s="86" t="s">
        <v>725</v>
      </c>
      <c r="I22" s="41"/>
      <c r="J22" s="41"/>
      <c r="K22" s="41"/>
      <c r="L22" s="41"/>
      <c r="M22" s="41"/>
      <c r="N22" s="41"/>
      <c r="O22" s="4"/>
      <c r="P22" s="4"/>
      <c r="Q22" s="4"/>
      <c r="R22" s="4"/>
      <c r="S22" s="4"/>
      <c r="T22" s="4"/>
      <c r="U22" s="4"/>
      <c r="V22" s="4"/>
      <c r="W22" s="4"/>
      <c r="X22" s="4"/>
      <c r="Y22" s="4"/>
      <c r="Z22" s="4"/>
    </row>
    <row r="23" ht="15.0" customHeight="1">
      <c r="A23" s="9"/>
      <c r="B23" s="46" t="s">
        <v>599</v>
      </c>
      <c r="C23" s="46" t="s">
        <v>600</v>
      </c>
      <c r="D23" s="46" t="s">
        <v>163</v>
      </c>
      <c r="E23" s="46" t="s">
        <v>605</v>
      </c>
      <c r="F23" s="46" t="s">
        <v>606</v>
      </c>
      <c r="G23" s="41"/>
      <c r="H23" s="41"/>
      <c r="I23" s="41"/>
      <c r="J23" s="41"/>
      <c r="K23" s="41"/>
      <c r="L23" s="41"/>
      <c r="M23" s="41"/>
      <c r="N23" s="41"/>
      <c r="O23" s="4"/>
      <c r="P23" s="4"/>
      <c r="Q23" s="4"/>
      <c r="R23" s="4"/>
      <c r="S23" s="4"/>
      <c r="T23" s="4"/>
      <c r="U23" s="4"/>
      <c r="V23" s="4"/>
      <c r="W23" s="4"/>
      <c r="X23" s="4"/>
      <c r="Y23" s="4"/>
      <c r="Z23" s="4"/>
    </row>
    <row r="24" ht="15.0" customHeight="1">
      <c r="A24" s="148"/>
      <c r="B24" s="149" t="s">
        <v>726</v>
      </c>
      <c r="C24" s="149" t="s">
        <v>727</v>
      </c>
      <c r="D24" s="149"/>
      <c r="E24" s="149"/>
      <c r="F24" s="149"/>
      <c r="G24" s="103"/>
      <c r="H24" s="103"/>
      <c r="I24" s="41"/>
      <c r="J24" s="41"/>
      <c r="K24" s="41"/>
      <c r="L24" s="41"/>
      <c r="M24" s="41"/>
      <c r="N24" s="41"/>
      <c r="O24" s="4"/>
      <c r="P24" s="4"/>
      <c r="Q24" s="4"/>
      <c r="R24" s="4"/>
      <c r="S24" s="4"/>
      <c r="T24" s="4"/>
      <c r="U24" s="4"/>
      <c r="V24" s="4"/>
      <c r="W24" s="4"/>
      <c r="X24" s="4"/>
      <c r="Y24" s="4"/>
      <c r="Z24" s="4"/>
    </row>
    <row r="25" ht="55.5" customHeight="1">
      <c r="A25" s="148"/>
      <c r="B25" s="148" t="s">
        <v>728</v>
      </c>
      <c r="C25" s="148" t="s">
        <v>729</v>
      </c>
      <c r="D25" s="148"/>
      <c r="E25" s="148"/>
      <c r="F25" s="148"/>
      <c r="G25" s="103"/>
      <c r="H25" s="103"/>
      <c r="I25" s="41"/>
      <c r="J25" s="41"/>
      <c r="K25" s="41"/>
      <c r="L25" s="41"/>
      <c r="M25" s="41"/>
      <c r="N25" s="41"/>
      <c r="O25" s="4"/>
      <c r="P25" s="4"/>
      <c r="Q25" s="4"/>
      <c r="R25" s="4"/>
      <c r="S25" s="4"/>
      <c r="T25" s="4"/>
      <c r="U25" s="4"/>
      <c r="V25" s="4"/>
      <c r="W25" s="4"/>
      <c r="X25" s="4"/>
      <c r="Y25" s="4"/>
      <c r="Z25" s="4"/>
    </row>
    <row r="26" ht="66.0" customHeight="1">
      <c r="A26" s="148"/>
      <c r="B26" s="149" t="s">
        <v>730</v>
      </c>
      <c r="C26" s="149" t="s">
        <v>731</v>
      </c>
      <c r="D26" s="149"/>
      <c r="E26" s="149"/>
      <c r="F26" s="149"/>
      <c r="G26" s="103"/>
      <c r="H26" s="103"/>
      <c r="I26" s="41"/>
      <c r="J26" s="41"/>
      <c r="K26" s="41"/>
      <c r="L26" s="41"/>
      <c r="M26" s="41"/>
      <c r="N26" s="41"/>
      <c r="O26" s="4"/>
      <c r="P26" s="4"/>
      <c r="Q26" s="4"/>
      <c r="R26" s="4"/>
      <c r="S26" s="4"/>
      <c r="T26" s="4"/>
      <c r="U26" s="4"/>
      <c r="V26" s="4"/>
      <c r="W26" s="4"/>
      <c r="X26" s="4"/>
      <c r="Y26" s="4"/>
      <c r="Z26" s="4"/>
    </row>
    <row r="27" ht="66.0" customHeight="1">
      <c r="A27" s="103"/>
      <c r="B27" s="150" t="s">
        <v>732</v>
      </c>
      <c r="C27" s="151" t="s">
        <v>733</v>
      </c>
      <c r="D27" s="151"/>
      <c r="E27" s="151"/>
      <c r="F27" s="152"/>
      <c r="G27" s="103"/>
      <c r="H27" s="103"/>
      <c r="I27" s="41"/>
      <c r="J27" s="41"/>
      <c r="K27" s="41"/>
      <c r="L27" s="41"/>
      <c r="M27" s="41"/>
      <c r="N27" s="41"/>
      <c r="O27" s="4"/>
      <c r="P27" s="4"/>
      <c r="Q27" s="4"/>
      <c r="R27" s="4"/>
      <c r="S27" s="4"/>
      <c r="T27" s="4"/>
      <c r="U27" s="4"/>
      <c r="V27" s="4"/>
      <c r="W27" s="4"/>
      <c r="X27" s="4"/>
      <c r="Y27" s="4"/>
      <c r="Z27" s="4"/>
    </row>
    <row r="28" ht="48.0" customHeight="1">
      <c r="A28" s="103"/>
      <c r="B28" s="153" t="s">
        <v>734</v>
      </c>
      <c r="C28" s="154" t="s">
        <v>735</v>
      </c>
      <c r="D28" s="154"/>
      <c r="E28" s="154"/>
      <c r="F28" s="155"/>
      <c r="G28" s="103"/>
      <c r="H28" s="103"/>
      <c r="I28" s="41"/>
      <c r="J28" s="41"/>
      <c r="K28" s="41"/>
      <c r="L28" s="41"/>
      <c r="M28" s="41"/>
      <c r="N28" s="41"/>
      <c r="O28" s="4"/>
      <c r="P28" s="4"/>
      <c r="Q28" s="4"/>
      <c r="R28" s="4"/>
      <c r="S28" s="4"/>
      <c r="T28" s="4"/>
      <c r="U28" s="4"/>
      <c r="V28" s="4"/>
      <c r="W28" s="4"/>
      <c r="X28" s="4"/>
      <c r="Y28" s="4"/>
      <c r="Z28" s="4"/>
    </row>
    <row r="29" ht="48.0" customHeight="1">
      <c r="A29" s="156"/>
      <c r="B29" s="157" t="s">
        <v>736</v>
      </c>
      <c r="C29" s="158" t="s">
        <v>737</v>
      </c>
      <c r="D29" s="158"/>
      <c r="E29" s="158"/>
      <c r="F29" s="159"/>
      <c r="G29" s="160"/>
      <c r="H29" s="160"/>
      <c r="I29" s="41"/>
      <c r="J29" s="41"/>
      <c r="K29" s="41"/>
      <c r="L29" s="41"/>
      <c r="M29" s="41"/>
      <c r="N29" s="41"/>
      <c r="O29" s="4"/>
      <c r="P29" s="4"/>
      <c r="Q29" s="4"/>
      <c r="R29" s="4"/>
      <c r="S29" s="4"/>
      <c r="T29" s="4"/>
      <c r="U29" s="4"/>
      <c r="V29" s="4"/>
      <c r="W29" s="4"/>
      <c r="X29" s="4"/>
      <c r="Y29" s="4"/>
      <c r="Z29" s="4"/>
    </row>
    <row r="30" ht="48.0" customHeight="1">
      <c r="A30" s="161" t="s">
        <v>738</v>
      </c>
      <c r="B30" s="5"/>
      <c r="C30" s="5"/>
      <c r="D30" s="5"/>
      <c r="E30" s="5"/>
      <c r="F30" s="5"/>
      <c r="G30" s="5"/>
      <c r="H30" s="6"/>
      <c r="I30" s="41"/>
      <c r="J30" s="41"/>
      <c r="K30" s="41"/>
      <c r="L30" s="41"/>
      <c r="M30" s="41"/>
      <c r="N30" s="41"/>
      <c r="O30" s="4"/>
      <c r="P30" s="4"/>
      <c r="Q30" s="4"/>
      <c r="R30" s="4"/>
      <c r="S30" s="4"/>
      <c r="T30" s="4"/>
      <c r="U30" s="4"/>
      <c r="V30" s="4"/>
      <c r="W30" s="4"/>
      <c r="X30" s="4"/>
      <c r="Y30" s="4"/>
      <c r="Z30" s="4"/>
    </row>
    <row r="31" ht="24.0" customHeight="1">
      <c r="A31" s="162" t="s">
        <v>739</v>
      </c>
      <c r="B31" s="5"/>
      <c r="C31" s="5"/>
      <c r="D31" s="5"/>
      <c r="E31" s="5"/>
      <c r="F31" s="5"/>
      <c r="G31" s="5"/>
      <c r="H31" s="6"/>
      <c r="I31" s="41"/>
      <c r="J31" s="41"/>
      <c r="K31" s="41"/>
      <c r="L31" s="41"/>
      <c r="M31" s="41"/>
      <c r="N31" s="41"/>
      <c r="O31" s="4"/>
      <c r="P31" s="4"/>
      <c r="Q31" s="4"/>
      <c r="R31" s="4"/>
      <c r="S31" s="4"/>
      <c r="T31" s="4"/>
      <c r="U31" s="4"/>
      <c r="V31" s="4"/>
      <c r="W31" s="4"/>
      <c r="X31" s="4"/>
      <c r="Y31" s="4"/>
      <c r="Z31" s="4"/>
    </row>
    <row r="32" ht="24.0" customHeight="1">
      <c r="A32" s="46"/>
      <c r="B32" s="46" t="s">
        <v>124</v>
      </c>
      <c r="C32" s="46" t="s">
        <v>163</v>
      </c>
      <c r="D32" s="46" t="s">
        <v>605</v>
      </c>
      <c r="E32" s="47"/>
      <c r="F32" s="47"/>
      <c r="G32" s="47"/>
      <c r="H32" s="48"/>
      <c r="I32" s="41"/>
      <c r="J32" s="41"/>
      <c r="K32" s="41"/>
      <c r="L32" s="41"/>
      <c r="M32" s="41"/>
      <c r="N32" s="41"/>
      <c r="O32" s="4"/>
      <c r="P32" s="4"/>
      <c r="Q32" s="4"/>
      <c r="R32" s="4"/>
      <c r="S32" s="4"/>
      <c r="T32" s="4"/>
      <c r="U32" s="4"/>
      <c r="V32" s="4"/>
      <c r="W32" s="4"/>
      <c r="X32" s="4"/>
      <c r="Y32" s="4"/>
      <c r="Z32" s="4"/>
    </row>
    <row r="33" ht="57.75" customHeight="1">
      <c r="A33" s="148"/>
      <c r="B33" s="149" t="s">
        <v>740</v>
      </c>
      <c r="C33" s="149"/>
      <c r="D33" s="149"/>
      <c r="E33" s="103"/>
      <c r="F33" s="103"/>
      <c r="G33" s="103"/>
      <c r="H33" s="103"/>
      <c r="I33" s="41"/>
      <c r="J33" s="41"/>
      <c r="K33" s="41"/>
      <c r="L33" s="41"/>
      <c r="M33" s="41"/>
      <c r="N33" s="41"/>
      <c r="O33" s="4"/>
      <c r="P33" s="4"/>
      <c r="Q33" s="4"/>
      <c r="R33" s="4"/>
      <c r="S33" s="4"/>
      <c r="T33" s="4"/>
      <c r="U33" s="4"/>
      <c r="V33" s="4"/>
      <c r="W33" s="4"/>
      <c r="X33" s="4"/>
      <c r="Y33" s="4"/>
      <c r="Z33" s="4"/>
    </row>
    <row r="34" ht="42.0" customHeight="1">
      <c r="A34" s="163"/>
      <c r="B34" s="164" t="s">
        <v>741</v>
      </c>
      <c r="C34" s="165"/>
      <c r="D34" s="166"/>
      <c r="E34" s="167"/>
      <c r="F34" s="167"/>
      <c r="G34" s="103"/>
      <c r="H34" s="103"/>
      <c r="I34" s="41"/>
      <c r="J34" s="41"/>
      <c r="K34" s="41"/>
      <c r="L34" s="41"/>
      <c r="M34" s="41"/>
      <c r="N34" s="41"/>
      <c r="O34" s="4"/>
      <c r="P34" s="4"/>
      <c r="Q34" s="4"/>
      <c r="R34" s="4"/>
      <c r="S34" s="4"/>
      <c r="T34" s="4"/>
      <c r="U34" s="4"/>
      <c r="V34" s="4"/>
      <c r="W34" s="4"/>
      <c r="X34" s="4"/>
      <c r="Y34" s="4"/>
      <c r="Z34" s="4"/>
    </row>
    <row r="35" ht="42.0" customHeight="1">
      <c r="A35" s="103"/>
      <c r="B35" s="153" t="s">
        <v>742</v>
      </c>
      <c r="C35" s="154"/>
      <c r="D35" s="155"/>
      <c r="E35" s="103"/>
      <c r="F35" s="103"/>
      <c r="G35" s="103"/>
      <c r="H35" s="103"/>
      <c r="I35" s="41"/>
      <c r="J35" s="41"/>
      <c r="K35" s="41"/>
      <c r="L35" s="41"/>
      <c r="M35" s="41"/>
      <c r="N35" s="41"/>
      <c r="O35" s="4"/>
      <c r="P35" s="4"/>
      <c r="Q35" s="4"/>
      <c r="R35" s="4"/>
      <c r="S35" s="4"/>
      <c r="T35" s="4"/>
      <c r="U35" s="4"/>
      <c r="V35" s="4"/>
      <c r="W35" s="4"/>
      <c r="X35" s="4"/>
      <c r="Y35" s="4"/>
      <c r="Z35" s="4"/>
    </row>
    <row r="36" ht="66.0" customHeight="1">
      <c r="A36" s="168" t="s">
        <v>743</v>
      </c>
      <c r="I36" s="41"/>
      <c r="J36" s="41"/>
      <c r="K36" s="41"/>
      <c r="L36" s="41"/>
      <c r="M36" s="41"/>
      <c r="N36" s="41"/>
      <c r="O36" s="4"/>
      <c r="P36" s="4"/>
      <c r="Q36" s="4"/>
      <c r="R36" s="4"/>
      <c r="S36" s="4"/>
      <c r="T36" s="4"/>
      <c r="U36" s="4"/>
      <c r="V36" s="4"/>
      <c r="W36" s="4"/>
      <c r="X36" s="4"/>
      <c r="Y36" s="4"/>
      <c r="Z36" s="4"/>
    </row>
    <row r="37" ht="15.0" customHeight="1">
      <c r="A37" s="169"/>
      <c r="B37" s="169"/>
      <c r="C37" s="169"/>
      <c r="D37" s="169"/>
      <c r="E37" s="169"/>
      <c r="F37" s="169"/>
      <c r="G37" s="169"/>
      <c r="H37" s="169"/>
      <c r="I37" s="41"/>
      <c r="J37" s="41"/>
      <c r="K37" s="41"/>
      <c r="L37" s="41"/>
      <c r="M37" s="41"/>
      <c r="N37" s="41"/>
      <c r="O37" s="4"/>
      <c r="P37" s="4"/>
      <c r="Q37" s="4"/>
      <c r="R37" s="4"/>
      <c r="S37" s="4"/>
      <c r="T37" s="4"/>
      <c r="U37" s="4"/>
      <c r="V37" s="4"/>
      <c r="W37" s="4"/>
      <c r="X37" s="4"/>
      <c r="Y37" s="4"/>
      <c r="Z37" s="4"/>
    </row>
    <row r="38" ht="15.0" customHeight="1">
      <c r="A38" s="170"/>
      <c r="B38" s="171"/>
      <c r="C38" s="171"/>
      <c r="D38" s="171"/>
      <c r="E38" s="171"/>
      <c r="F38" s="171"/>
      <c r="G38" s="171"/>
      <c r="H38" s="171"/>
      <c r="I38" s="41"/>
      <c r="J38" s="41"/>
      <c r="K38" s="41"/>
      <c r="L38" s="41"/>
      <c r="M38" s="41"/>
      <c r="N38" s="41"/>
      <c r="O38" s="4"/>
      <c r="P38" s="4"/>
      <c r="Q38" s="4"/>
      <c r="R38" s="4"/>
      <c r="S38" s="4"/>
      <c r="T38" s="4"/>
      <c r="U38" s="4"/>
      <c r="V38" s="4"/>
      <c r="W38" s="4"/>
      <c r="X38" s="4"/>
      <c r="Y38" s="4"/>
      <c r="Z38" s="4"/>
    </row>
    <row r="39" ht="24.0" customHeight="1">
      <c r="A39" s="102" t="s">
        <v>744</v>
      </c>
      <c r="I39" s="41"/>
      <c r="J39" s="41"/>
      <c r="K39" s="41"/>
      <c r="L39" s="41"/>
      <c r="M39" s="41"/>
      <c r="N39" s="41"/>
      <c r="O39" s="4"/>
      <c r="P39" s="4"/>
      <c r="Q39" s="4"/>
      <c r="R39" s="4"/>
      <c r="S39" s="4"/>
      <c r="T39" s="4"/>
      <c r="U39" s="4"/>
      <c r="V39" s="4"/>
      <c r="W39" s="4"/>
      <c r="X39" s="4"/>
      <c r="Y39" s="4"/>
      <c r="Z39" s="4"/>
    </row>
    <row r="40" ht="30.0" customHeight="1">
      <c r="A40" s="172"/>
      <c r="B40" s="47" t="s">
        <v>745</v>
      </c>
      <c r="C40" s="47" t="s">
        <v>746</v>
      </c>
      <c r="D40" s="47" t="s">
        <v>747</v>
      </c>
      <c r="E40" s="47" t="s">
        <v>748</v>
      </c>
      <c r="F40" s="47" t="s">
        <v>749</v>
      </c>
      <c r="G40" s="47" t="s">
        <v>74</v>
      </c>
      <c r="H40" s="48" t="s">
        <v>750</v>
      </c>
      <c r="I40" s="41"/>
      <c r="J40" s="41"/>
      <c r="K40" s="41"/>
      <c r="L40" s="41"/>
      <c r="M40" s="41"/>
      <c r="N40" s="41"/>
      <c r="O40" s="4"/>
      <c r="P40" s="4"/>
      <c r="Q40" s="4"/>
      <c r="R40" s="4"/>
      <c r="S40" s="4"/>
      <c r="T40" s="4"/>
      <c r="U40" s="4"/>
      <c r="V40" s="4"/>
      <c r="W40" s="4"/>
      <c r="X40" s="4"/>
      <c r="Y40" s="4"/>
      <c r="Z40" s="4"/>
    </row>
    <row r="41" ht="15.0" customHeight="1">
      <c r="A41" s="2"/>
      <c r="B41" s="28"/>
      <c r="C41" s="28"/>
      <c r="D41" s="28"/>
      <c r="E41" s="28"/>
      <c r="F41" s="28"/>
      <c r="G41" s="28"/>
      <c r="H41" s="28"/>
      <c r="I41" s="41"/>
      <c r="J41" s="41"/>
      <c r="K41" s="41"/>
      <c r="L41" s="41"/>
      <c r="M41" s="41"/>
      <c r="N41" s="41"/>
      <c r="O41" s="4"/>
      <c r="P41" s="4"/>
      <c r="Q41" s="4"/>
      <c r="R41" s="4"/>
      <c r="S41" s="4"/>
      <c r="T41" s="4"/>
      <c r="U41" s="4"/>
      <c r="V41" s="4"/>
      <c r="W41" s="4"/>
      <c r="X41" s="4"/>
      <c r="Y41" s="4"/>
      <c r="Z41" s="4"/>
    </row>
    <row r="42" ht="15.0" customHeight="1">
      <c r="A42" s="2"/>
      <c r="B42" s="28"/>
      <c r="C42" s="28"/>
      <c r="D42" s="28"/>
      <c r="E42" s="28"/>
      <c r="F42" s="28"/>
      <c r="G42" s="28"/>
      <c r="H42" s="28"/>
      <c r="I42" s="41"/>
      <c r="J42" s="41"/>
      <c r="K42" s="41"/>
      <c r="L42" s="41"/>
      <c r="M42" s="41"/>
      <c r="N42" s="41"/>
      <c r="O42" s="4"/>
      <c r="P42" s="4"/>
      <c r="Q42" s="4"/>
      <c r="R42" s="4"/>
      <c r="S42" s="4"/>
      <c r="T42" s="4"/>
      <c r="U42" s="4"/>
      <c r="V42" s="4"/>
      <c r="W42" s="4"/>
      <c r="X42" s="4"/>
      <c r="Y42" s="4"/>
      <c r="Z42" s="4"/>
    </row>
    <row r="43" ht="15.0" customHeight="1">
      <c r="A43" s="2"/>
      <c r="B43" s="28"/>
      <c r="C43" s="28"/>
      <c r="D43" s="28"/>
      <c r="E43" s="28"/>
      <c r="F43" s="28"/>
      <c r="G43" s="28"/>
      <c r="H43" s="28"/>
      <c r="I43" s="41"/>
      <c r="J43" s="41"/>
      <c r="K43" s="41"/>
      <c r="L43" s="41"/>
      <c r="M43" s="41"/>
      <c r="N43" s="41"/>
      <c r="O43" s="4"/>
      <c r="P43" s="4"/>
      <c r="Q43" s="4"/>
      <c r="R43" s="4"/>
      <c r="S43" s="4"/>
      <c r="T43" s="4"/>
      <c r="U43" s="4"/>
      <c r="V43" s="4"/>
      <c r="W43" s="4"/>
      <c r="X43" s="4"/>
      <c r="Y43" s="4"/>
      <c r="Z43" s="4"/>
    </row>
    <row r="44" ht="15.75" customHeight="1">
      <c r="A44" s="2"/>
      <c r="B44" s="2"/>
      <c r="C44" s="2"/>
      <c r="D44" s="2"/>
      <c r="E44" s="2"/>
      <c r="F44" s="2"/>
      <c r="G44" s="41"/>
      <c r="H44" s="41"/>
      <c r="I44" s="41"/>
      <c r="J44" s="41"/>
      <c r="K44" s="41"/>
      <c r="L44" s="41"/>
      <c r="M44" s="41"/>
      <c r="N44" s="41"/>
      <c r="O44" s="4"/>
      <c r="P44" s="4"/>
      <c r="Q44" s="4"/>
      <c r="R44" s="4"/>
      <c r="S44" s="4"/>
      <c r="T44" s="4"/>
      <c r="U44" s="4"/>
      <c r="V44" s="4"/>
      <c r="W44" s="4"/>
      <c r="X44" s="4"/>
      <c r="Y44" s="4"/>
      <c r="Z44" s="4"/>
    </row>
    <row r="45" ht="15.75" customHeight="1">
      <c r="A45" s="2"/>
      <c r="B45" s="2"/>
      <c r="C45" s="2"/>
      <c r="D45" s="2"/>
      <c r="E45" s="2"/>
      <c r="F45" s="2"/>
      <c r="G45" s="41"/>
      <c r="H45" s="41"/>
      <c r="I45" s="41"/>
      <c r="J45" s="41"/>
      <c r="K45" s="41"/>
      <c r="L45" s="41"/>
      <c r="M45" s="41"/>
      <c r="N45" s="41"/>
      <c r="O45" s="4"/>
      <c r="P45" s="4"/>
      <c r="Q45" s="4"/>
      <c r="R45" s="4"/>
      <c r="S45" s="4"/>
      <c r="T45" s="4"/>
      <c r="U45" s="4"/>
      <c r="V45" s="4"/>
      <c r="W45" s="4"/>
      <c r="X45" s="4"/>
      <c r="Y45" s="4"/>
      <c r="Z45" s="4"/>
    </row>
    <row r="46" ht="15.75" customHeight="1">
      <c r="A46" s="2"/>
      <c r="B46" s="2"/>
      <c r="C46" s="2"/>
      <c r="D46" s="2"/>
      <c r="E46" s="2"/>
      <c r="F46" s="2"/>
      <c r="G46" s="41"/>
      <c r="H46" s="41"/>
      <c r="I46" s="41"/>
      <c r="J46" s="41"/>
      <c r="K46" s="41"/>
      <c r="L46" s="41"/>
      <c r="M46" s="41"/>
      <c r="N46" s="41"/>
      <c r="O46" s="4"/>
      <c r="P46" s="4"/>
      <c r="Q46" s="4"/>
      <c r="R46" s="4"/>
      <c r="S46" s="4"/>
      <c r="T46" s="4"/>
      <c r="U46" s="4"/>
      <c r="V46" s="4"/>
      <c r="W46" s="4"/>
      <c r="X46" s="4"/>
      <c r="Y46" s="4"/>
      <c r="Z46" s="4"/>
    </row>
    <row r="47" ht="15.75" customHeight="1">
      <c r="A47" s="2"/>
      <c r="B47" s="2"/>
      <c r="C47" s="2"/>
      <c r="D47" s="2"/>
      <c r="E47" s="2"/>
      <c r="F47" s="2"/>
      <c r="G47" s="41"/>
      <c r="H47" s="41"/>
      <c r="I47" s="41"/>
      <c r="J47" s="41"/>
      <c r="K47" s="41"/>
      <c r="L47" s="41"/>
      <c r="M47" s="41"/>
      <c r="N47" s="41"/>
      <c r="O47" s="4"/>
      <c r="P47" s="4"/>
      <c r="Q47" s="4"/>
      <c r="R47" s="4"/>
      <c r="S47" s="4"/>
      <c r="T47" s="4"/>
      <c r="U47" s="4"/>
      <c r="V47" s="4"/>
      <c r="W47" s="4"/>
      <c r="X47" s="4"/>
      <c r="Y47" s="4"/>
      <c r="Z47" s="4"/>
    </row>
    <row r="48" ht="15.75" customHeight="1">
      <c r="A48" s="2"/>
      <c r="B48" s="2"/>
      <c r="C48" s="2"/>
      <c r="D48" s="2"/>
      <c r="E48" s="2"/>
      <c r="F48" s="2"/>
      <c r="G48" s="41"/>
      <c r="H48" s="41"/>
      <c r="I48" s="41"/>
      <c r="J48" s="41"/>
      <c r="K48" s="41"/>
      <c r="L48" s="41"/>
      <c r="M48" s="41"/>
      <c r="N48" s="41"/>
      <c r="O48" s="4"/>
      <c r="P48" s="4"/>
      <c r="Q48" s="4"/>
      <c r="R48" s="4"/>
      <c r="S48" s="4"/>
      <c r="T48" s="4"/>
      <c r="U48" s="4"/>
      <c r="V48" s="4"/>
      <c r="W48" s="4"/>
      <c r="X48" s="4"/>
      <c r="Y48" s="4"/>
      <c r="Z48" s="4"/>
    </row>
    <row r="49" ht="15.75" customHeight="1">
      <c r="A49" s="2"/>
      <c r="B49" s="2"/>
      <c r="C49" s="2"/>
      <c r="D49" s="2"/>
      <c r="E49" s="2"/>
      <c r="F49" s="2"/>
      <c r="G49" s="41"/>
      <c r="H49" s="41"/>
      <c r="I49" s="41"/>
      <c r="J49" s="41"/>
      <c r="K49" s="41"/>
      <c r="L49" s="41"/>
      <c r="M49" s="41"/>
      <c r="N49" s="41"/>
      <c r="O49" s="4"/>
      <c r="P49" s="4"/>
      <c r="Q49" s="4"/>
      <c r="R49" s="4"/>
      <c r="S49" s="4"/>
      <c r="T49" s="4"/>
      <c r="U49" s="4"/>
      <c r="V49" s="4"/>
      <c r="W49" s="4"/>
      <c r="X49" s="4"/>
      <c r="Y49" s="4"/>
      <c r="Z49" s="4"/>
    </row>
    <row r="50" ht="15.75" customHeight="1">
      <c r="A50" s="2"/>
      <c r="B50" s="2"/>
      <c r="C50" s="2"/>
      <c r="D50" s="2"/>
      <c r="E50" s="2"/>
      <c r="F50" s="2"/>
      <c r="G50" s="41"/>
      <c r="H50" s="41"/>
      <c r="I50" s="41"/>
      <c r="J50" s="41"/>
      <c r="K50" s="41"/>
      <c r="L50" s="41"/>
      <c r="M50" s="41"/>
      <c r="N50" s="41"/>
      <c r="O50" s="4"/>
      <c r="P50" s="4"/>
      <c r="Q50" s="4"/>
      <c r="R50" s="4"/>
      <c r="S50" s="4"/>
      <c r="T50" s="4"/>
      <c r="U50" s="4"/>
      <c r="V50" s="4"/>
      <c r="W50" s="4"/>
      <c r="X50" s="4"/>
      <c r="Y50" s="4"/>
      <c r="Z50" s="4"/>
    </row>
    <row r="51" ht="15.75" customHeight="1">
      <c r="A51" s="2"/>
      <c r="B51" s="2"/>
      <c r="C51" s="2"/>
      <c r="D51" s="2"/>
      <c r="E51" s="2"/>
      <c r="F51" s="2"/>
      <c r="G51" s="41"/>
      <c r="H51" s="41"/>
      <c r="I51" s="41"/>
      <c r="J51" s="41"/>
      <c r="K51" s="41"/>
      <c r="L51" s="41"/>
      <c r="M51" s="41"/>
      <c r="N51" s="41"/>
      <c r="O51" s="4"/>
      <c r="P51" s="4"/>
      <c r="Q51" s="4"/>
      <c r="R51" s="4"/>
      <c r="S51" s="4"/>
      <c r="T51" s="4"/>
      <c r="U51" s="4"/>
      <c r="V51" s="4"/>
      <c r="W51" s="4"/>
      <c r="X51" s="4"/>
      <c r="Y51" s="4"/>
      <c r="Z51" s="4"/>
    </row>
    <row r="52" ht="15.75" customHeight="1">
      <c r="A52" s="2"/>
      <c r="B52" s="2"/>
      <c r="C52" s="2"/>
      <c r="D52" s="2"/>
      <c r="E52" s="2"/>
      <c r="F52" s="2"/>
      <c r="G52" s="41"/>
      <c r="H52" s="41"/>
      <c r="I52" s="41"/>
      <c r="J52" s="41"/>
      <c r="K52" s="41"/>
      <c r="L52" s="41"/>
      <c r="M52" s="41"/>
      <c r="N52" s="41"/>
      <c r="O52" s="4"/>
      <c r="P52" s="4"/>
      <c r="Q52" s="4"/>
      <c r="R52" s="4"/>
      <c r="S52" s="4"/>
      <c r="T52" s="4"/>
      <c r="U52" s="4"/>
      <c r="V52" s="4"/>
      <c r="W52" s="4"/>
      <c r="X52" s="4"/>
      <c r="Y52" s="4"/>
      <c r="Z52" s="4"/>
    </row>
    <row r="53" ht="15.75" customHeight="1">
      <c r="A53" s="2"/>
      <c r="B53" s="2"/>
      <c r="C53" s="2"/>
      <c r="D53" s="2"/>
      <c r="E53" s="2"/>
      <c r="F53" s="2"/>
      <c r="G53" s="41"/>
      <c r="H53" s="41"/>
      <c r="I53" s="41"/>
      <c r="J53" s="41"/>
      <c r="K53" s="41"/>
      <c r="L53" s="41"/>
      <c r="M53" s="41"/>
      <c r="N53" s="41"/>
      <c r="O53" s="4"/>
      <c r="P53" s="4"/>
      <c r="Q53" s="4"/>
      <c r="R53" s="4"/>
      <c r="S53" s="4"/>
      <c r="T53" s="4"/>
      <c r="U53" s="4"/>
      <c r="V53" s="4"/>
      <c r="W53" s="4"/>
      <c r="X53" s="4"/>
      <c r="Y53" s="4"/>
      <c r="Z53" s="4"/>
    </row>
    <row r="54" ht="15.75" customHeight="1">
      <c r="A54" s="2"/>
      <c r="B54" s="2"/>
      <c r="C54" s="2"/>
      <c r="D54" s="2"/>
      <c r="E54" s="2"/>
      <c r="F54" s="2"/>
      <c r="G54" s="41"/>
      <c r="H54" s="41"/>
      <c r="I54" s="41"/>
      <c r="J54" s="41"/>
      <c r="K54" s="41"/>
      <c r="L54" s="41"/>
      <c r="M54" s="41"/>
      <c r="N54" s="41"/>
      <c r="O54" s="4"/>
      <c r="P54" s="4"/>
      <c r="Q54" s="4"/>
      <c r="R54" s="4"/>
      <c r="S54" s="4"/>
      <c r="T54" s="4"/>
      <c r="U54" s="4"/>
      <c r="V54" s="4"/>
      <c r="W54" s="4"/>
      <c r="X54" s="4"/>
      <c r="Y54" s="4"/>
      <c r="Z54" s="4"/>
    </row>
    <row r="55" ht="15.75" customHeight="1">
      <c r="A55" s="2"/>
      <c r="B55" s="2"/>
      <c r="C55" s="2"/>
      <c r="D55" s="2"/>
      <c r="E55" s="2"/>
      <c r="F55" s="2"/>
      <c r="G55" s="41"/>
      <c r="H55" s="41"/>
      <c r="I55" s="41"/>
      <c r="J55" s="41"/>
      <c r="K55" s="41"/>
      <c r="L55" s="41"/>
      <c r="M55" s="41"/>
      <c r="N55" s="41"/>
      <c r="O55" s="4"/>
      <c r="P55" s="4"/>
      <c r="Q55" s="4"/>
      <c r="R55" s="4"/>
      <c r="S55" s="4"/>
      <c r="T55" s="4"/>
      <c r="U55" s="4"/>
      <c r="V55" s="4"/>
      <c r="W55" s="4"/>
      <c r="X55" s="4"/>
      <c r="Y55" s="4"/>
      <c r="Z55" s="4"/>
    </row>
    <row r="56" ht="15.75" customHeight="1">
      <c r="A56" s="2"/>
      <c r="B56" s="2"/>
      <c r="C56" s="2"/>
      <c r="D56" s="2"/>
      <c r="E56" s="2"/>
      <c r="F56" s="2"/>
      <c r="G56" s="41"/>
      <c r="H56" s="41"/>
      <c r="I56" s="41"/>
      <c r="J56" s="41"/>
      <c r="K56" s="41"/>
      <c r="L56" s="41"/>
      <c r="M56" s="41"/>
      <c r="N56" s="41"/>
      <c r="O56" s="4"/>
      <c r="P56" s="4"/>
      <c r="Q56" s="4"/>
      <c r="R56" s="4"/>
      <c r="S56" s="4"/>
      <c r="T56" s="4"/>
      <c r="U56" s="4"/>
      <c r="V56" s="4"/>
      <c r="W56" s="4"/>
      <c r="X56" s="4"/>
      <c r="Y56" s="4"/>
      <c r="Z56" s="4"/>
    </row>
    <row r="57" ht="15.75" customHeight="1">
      <c r="A57" s="2"/>
      <c r="B57" s="2"/>
      <c r="C57" s="2"/>
      <c r="D57" s="2"/>
      <c r="E57" s="2"/>
      <c r="F57" s="2"/>
      <c r="G57" s="41"/>
      <c r="H57" s="41"/>
      <c r="I57" s="41"/>
      <c r="J57" s="41"/>
      <c r="K57" s="41"/>
      <c r="L57" s="41"/>
      <c r="M57" s="41"/>
      <c r="N57" s="41"/>
      <c r="O57" s="4"/>
      <c r="P57" s="4"/>
      <c r="Q57" s="4"/>
      <c r="R57" s="4"/>
      <c r="S57" s="4"/>
      <c r="T57" s="4"/>
      <c r="U57" s="4"/>
      <c r="V57" s="4"/>
      <c r="W57" s="4"/>
      <c r="X57" s="4"/>
      <c r="Y57" s="4"/>
      <c r="Z57" s="4"/>
    </row>
    <row r="58" ht="15.75" customHeight="1">
      <c r="A58" s="2"/>
      <c r="B58" s="2"/>
      <c r="C58" s="2"/>
      <c r="D58" s="2"/>
      <c r="E58" s="2"/>
      <c r="F58" s="2"/>
      <c r="G58" s="41"/>
      <c r="H58" s="41"/>
      <c r="I58" s="41"/>
      <c r="J58" s="41"/>
      <c r="K58" s="41"/>
      <c r="L58" s="41"/>
      <c r="M58" s="41"/>
      <c r="N58" s="41"/>
      <c r="O58" s="4"/>
      <c r="P58" s="4"/>
      <c r="Q58" s="4"/>
      <c r="R58" s="4"/>
      <c r="S58" s="4"/>
      <c r="T58" s="4"/>
      <c r="U58" s="4"/>
      <c r="V58" s="4"/>
      <c r="W58" s="4"/>
      <c r="X58" s="4"/>
      <c r="Y58" s="4"/>
      <c r="Z58" s="4"/>
    </row>
    <row r="59" ht="15.75" customHeight="1">
      <c r="A59" s="2"/>
      <c r="B59" s="2"/>
      <c r="C59" s="2"/>
      <c r="D59" s="2"/>
      <c r="E59" s="2"/>
      <c r="F59" s="2"/>
      <c r="G59" s="41"/>
      <c r="H59" s="41"/>
      <c r="I59" s="41"/>
      <c r="J59" s="41"/>
      <c r="K59" s="41"/>
      <c r="L59" s="41"/>
      <c r="M59" s="41"/>
      <c r="N59" s="41"/>
      <c r="O59" s="4"/>
      <c r="P59" s="4"/>
      <c r="Q59" s="4"/>
      <c r="R59" s="4"/>
      <c r="S59" s="4"/>
      <c r="T59" s="4"/>
      <c r="U59" s="4"/>
      <c r="V59" s="4"/>
      <c r="W59" s="4"/>
      <c r="X59" s="4"/>
      <c r="Y59" s="4"/>
      <c r="Z59" s="4"/>
    </row>
    <row r="60" ht="15.75" customHeight="1">
      <c r="A60" s="2"/>
      <c r="B60" s="2"/>
      <c r="C60" s="2"/>
      <c r="D60" s="2"/>
      <c r="E60" s="2"/>
      <c r="F60" s="2"/>
      <c r="G60" s="41"/>
      <c r="H60" s="41"/>
      <c r="I60" s="41"/>
      <c r="J60" s="41"/>
      <c r="K60" s="41"/>
      <c r="L60" s="41"/>
      <c r="M60" s="41"/>
      <c r="N60" s="41"/>
      <c r="O60" s="4"/>
      <c r="P60" s="4"/>
      <c r="Q60" s="4"/>
      <c r="R60" s="4"/>
      <c r="S60" s="4"/>
      <c r="T60" s="4"/>
      <c r="U60" s="4"/>
      <c r="V60" s="4"/>
      <c r="W60" s="4"/>
      <c r="X60" s="4"/>
      <c r="Y60" s="4"/>
      <c r="Z60" s="4"/>
    </row>
    <row r="61" ht="15.75" customHeight="1">
      <c r="A61" s="2"/>
      <c r="B61" s="2"/>
      <c r="C61" s="2"/>
      <c r="D61" s="2"/>
      <c r="E61" s="2"/>
      <c r="F61" s="2"/>
      <c r="G61" s="41"/>
      <c r="H61" s="41"/>
      <c r="I61" s="41"/>
      <c r="J61" s="41"/>
      <c r="K61" s="41"/>
      <c r="L61" s="41"/>
      <c r="M61" s="41"/>
      <c r="N61" s="41"/>
      <c r="O61" s="4"/>
      <c r="P61" s="4"/>
      <c r="Q61" s="4"/>
      <c r="R61" s="4"/>
      <c r="S61" s="4"/>
      <c r="T61" s="4"/>
      <c r="U61" s="4"/>
      <c r="V61" s="4"/>
      <c r="W61" s="4"/>
      <c r="X61" s="4"/>
      <c r="Y61" s="4"/>
      <c r="Z61" s="4"/>
    </row>
    <row r="62" ht="15.75" customHeight="1">
      <c r="A62" s="2"/>
      <c r="B62" s="2"/>
      <c r="C62" s="2"/>
      <c r="D62" s="2"/>
      <c r="E62" s="2"/>
      <c r="F62" s="2"/>
      <c r="G62" s="41"/>
      <c r="H62" s="41"/>
      <c r="I62" s="41"/>
      <c r="J62" s="41"/>
      <c r="K62" s="41"/>
      <c r="L62" s="41"/>
      <c r="M62" s="41"/>
      <c r="N62" s="41"/>
      <c r="O62" s="4"/>
      <c r="P62" s="4"/>
      <c r="Q62" s="4"/>
      <c r="R62" s="4"/>
      <c r="S62" s="4"/>
      <c r="T62" s="4"/>
      <c r="U62" s="4"/>
      <c r="V62" s="4"/>
      <c r="W62" s="4"/>
      <c r="X62" s="4"/>
      <c r="Y62" s="4"/>
      <c r="Z62" s="4"/>
    </row>
    <row r="63" ht="15.75" customHeight="1">
      <c r="A63" s="2"/>
      <c r="B63" s="2"/>
      <c r="C63" s="2"/>
      <c r="D63" s="2"/>
      <c r="E63" s="2"/>
      <c r="F63" s="2"/>
      <c r="G63" s="41"/>
      <c r="H63" s="41"/>
      <c r="I63" s="41"/>
      <c r="J63" s="41"/>
      <c r="K63" s="41"/>
      <c r="L63" s="41"/>
      <c r="M63" s="41"/>
      <c r="N63" s="41"/>
      <c r="O63" s="4"/>
      <c r="P63" s="4"/>
      <c r="Q63" s="4"/>
      <c r="R63" s="4"/>
      <c r="S63" s="4"/>
      <c r="T63" s="4"/>
      <c r="U63" s="4"/>
      <c r="V63" s="4"/>
      <c r="W63" s="4"/>
      <c r="X63" s="4"/>
      <c r="Y63" s="4"/>
      <c r="Z63" s="4"/>
    </row>
    <row r="64" ht="15.75" customHeight="1">
      <c r="A64" s="2"/>
      <c r="B64" s="2"/>
      <c r="C64" s="2"/>
      <c r="D64" s="2"/>
      <c r="E64" s="2"/>
      <c r="F64" s="2"/>
      <c r="G64" s="41"/>
      <c r="H64" s="41"/>
      <c r="I64" s="41"/>
      <c r="J64" s="41"/>
      <c r="K64" s="41"/>
      <c r="L64" s="41"/>
      <c r="M64" s="41"/>
      <c r="N64" s="41"/>
      <c r="O64" s="4"/>
      <c r="P64" s="4"/>
      <c r="Q64" s="4"/>
      <c r="R64" s="4"/>
      <c r="S64" s="4"/>
      <c r="T64" s="4"/>
      <c r="U64" s="4"/>
      <c r="V64" s="4"/>
      <c r="W64" s="4"/>
      <c r="X64" s="4"/>
      <c r="Y64" s="4"/>
      <c r="Z64" s="4"/>
    </row>
    <row r="65" ht="15.75" customHeight="1">
      <c r="A65" s="2"/>
      <c r="B65" s="2"/>
      <c r="C65" s="2"/>
      <c r="D65" s="2"/>
      <c r="E65" s="2"/>
      <c r="F65" s="2"/>
      <c r="G65" s="41"/>
      <c r="H65" s="41"/>
      <c r="I65" s="41"/>
      <c r="J65" s="41"/>
      <c r="K65" s="41"/>
      <c r="L65" s="41"/>
      <c r="M65" s="41"/>
      <c r="N65" s="41"/>
      <c r="O65" s="4"/>
      <c r="P65" s="4"/>
      <c r="Q65" s="4"/>
      <c r="R65" s="4"/>
      <c r="S65" s="4"/>
      <c r="T65" s="4"/>
      <c r="U65" s="4"/>
      <c r="V65" s="4"/>
      <c r="W65" s="4"/>
      <c r="X65" s="4"/>
      <c r="Y65" s="4"/>
      <c r="Z65" s="4"/>
    </row>
    <row r="66" ht="15.75" customHeight="1">
      <c r="A66" s="2"/>
      <c r="B66" s="2"/>
      <c r="C66" s="2"/>
      <c r="D66" s="2"/>
      <c r="E66" s="2"/>
      <c r="F66" s="2"/>
      <c r="G66" s="41"/>
      <c r="H66" s="41"/>
      <c r="I66" s="41"/>
      <c r="J66" s="41"/>
      <c r="K66" s="41"/>
      <c r="L66" s="41"/>
      <c r="M66" s="41"/>
      <c r="N66" s="41"/>
      <c r="O66" s="4"/>
      <c r="P66" s="4"/>
      <c r="Q66" s="4"/>
      <c r="R66" s="4"/>
      <c r="S66" s="4"/>
      <c r="T66" s="4"/>
      <c r="U66" s="4"/>
      <c r="V66" s="4"/>
      <c r="W66" s="4"/>
      <c r="X66" s="4"/>
      <c r="Y66" s="4"/>
      <c r="Z66" s="4"/>
    </row>
    <row r="67" ht="15.75" customHeight="1">
      <c r="A67" s="2"/>
      <c r="B67" s="2"/>
      <c r="C67" s="2"/>
      <c r="D67" s="2"/>
      <c r="E67" s="2"/>
      <c r="F67" s="2"/>
      <c r="G67" s="41"/>
      <c r="H67" s="41"/>
      <c r="I67" s="41"/>
      <c r="J67" s="41"/>
      <c r="K67" s="41"/>
      <c r="L67" s="41"/>
      <c r="M67" s="41"/>
      <c r="N67" s="41"/>
      <c r="O67" s="4"/>
      <c r="P67" s="4"/>
      <c r="Q67" s="4"/>
      <c r="R67" s="4"/>
      <c r="S67" s="4"/>
      <c r="T67" s="4"/>
      <c r="U67" s="4"/>
      <c r="V67" s="4"/>
      <c r="W67" s="4"/>
      <c r="X67" s="4"/>
      <c r="Y67" s="4"/>
      <c r="Z67" s="4"/>
    </row>
    <row r="68" ht="15.75" customHeight="1">
      <c r="A68" s="2"/>
      <c r="B68" s="2"/>
      <c r="C68" s="2"/>
      <c r="D68" s="2"/>
      <c r="E68" s="2"/>
      <c r="F68" s="2"/>
      <c r="G68" s="41"/>
      <c r="H68" s="41"/>
      <c r="I68" s="41"/>
      <c r="J68" s="41"/>
      <c r="K68" s="41"/>
      <c r="L68" s="41"/>
      <c r="M68" s="41"/>
      <c r="N68" s="41"/>
      <c r="O68" s="4"/>
      <c r="P68" s="4"/>
      <c r="Q68" s="4"/>
      <c r="R68" s="4"/>
      <c r="S68" s="4"/>
      <c r="T68" s="4"/>
      <c r="U68" s="4"/>
      <c r="V68" s="4"/>
      <c r="W68" s="4"/>
      <c r="X68" s="4"/>
      <c r="Y68" s="4"/>
      <c r="Z68" s="4"/>
    </row>
    <row r="69" ht="15.75" customHeight="1">
      <c r="A69" s="2"/>
      <c r="B69" s="2"/>
      <c r="C69" s="2"/>
      <c r="D69" s="2"/>
      <c r="E69" s="2"/>
      <c r="F69" s="2"/>
      <c r="G69" s="41"/>
      <c r="H69" s="41"/>
      <c r="I69" s="41"/>
      <c r="J69" s="41"/>
      <c r="K69" s="41"/>
      <c r="L69" s="41"/>
      <c r="M69" s="41"/>
      <c r="N69" s="41"/>
      <c r="O69" s="4"/>
      <c r="P69" s="4"/>
      <c r="Q69" s="4"/>
      <c r="R69" s="4"/>
      <c r="S69" s="4"/>
      <c r="T69" s="4"/>
      <c r="U69" s="4"/>
      <c r="V69" s="4"/>
      <c r="W69" s="4"/>
      <c r="X69" s="4"/>
      <c r="Y69" s="4"/>
      <c r="Z69" s="4"/>
    </row>
    <row r="70" ht="15.75" customHeight="1">
      <c r="A70" s="2"/>
      <c r="B70" s="2"/>
      <c r="C70" s="2"/>
      <c r="D70" s="2"/>
      <c r="E70" s="2"/>
      <c r="F70" s="2"/>
      <c r="G70" s="41"/>
      <c r="H70" s="41"/>
      <c r="I70" s="41"/>
      <c r="J70" s="41"/>
      <c r="K70" s="41"/>
      <c r="L70" s="41"/>
      <c r="M70" s="41"/>
      <c r="N70" s="41"/>
      <c r="O70" s="4"/>
      <c r="P70" s="4"/>
      <c r="Q70" s="4"/>
      <c r="R70" s="4"/>
      <c r="S70" s="4"/>
      <c r="T70" s="4"/>
      <c r="U70" s="4"/>
      <c r="V70" s="4"/>
      <c r="W70" s="4"/>
      <c r="X70" s="4"/>
      <c r="Y70" s="4"/>
      <c r="Z70" s="4"/>
    </row>
    <row r="71" ht="15.75" customHeight="1">
      <c r="A71" s="2"/>
      <c r="B71" s="2"/>
      <c r="C71" s="2"/>
      <c r="D71" s="2"/>
      <c r="E71" s="2"/>
      <c r="F71" s="2"/>
      <c r="G71" s="41"/>
      <c r="H71" s="41"/>
      <c r="I71" s="41"/>
      <c r="J71" s="41"/>
      <c r="K71" s="41"/>
      <c r="L71" s="41"/>
      <c r="M71" s="41"/>
      <c r="N71" s="41"/>
      <c r="O71" s="4"/>
      <c r="P71" s="4"/>
      <c r="Q71" s="4"/>
      <c r="R71" s="4"/>
      <c r="S71" s="4"/>
      <c r="T71" s="4"/>
      <c r="U71" s="4"/>
      <c r="V71" s="4"/>
      <c r="W71" s="4"/>
      <c r="X71" s="4"/>
      <c r="Y71" s="4"/>
      <c r="Z71" s="4"/>
    </row>
    <row r="72" ht="15.75" customHeight="1">
      <c r="A72" s="2"/>
      <c r="B72" s="2"/>
      <c r="C72" s="2"/>
      <c r="D72" s="2"/>
      <c r="E72" s="2"/>
      <c r="F72" s="2"/>
      <c r="G72" s="41"/>
      <c r="H72" s="41"/>
      <c r="I72" s="41"/>
      <c r="J72" s="41"/>
      <c r="K72" s="41"/>
      <c r="L72" s="41"/>
      <c r="M72" s="41"/>
      <c r="N72" s="41"/>
      <c r="O72" s="4"/>
      <c r="P72" s="4"/>
      <c r="Q72" s="4"/>
      <c r="R72" s="4"/>
      <c r="S72" s="4"/>
      <c r="T72" s="4"/>
      <c r="U72" s="4"/>
      <c r="V72" s="4"/>
      <c r="W72" s="4"/>
      <c r="X72" s="4"/>
      <c r="Y72" s="4"/>
      <c r="Z72" s="4"/>
    </row>
    <row r="73" ht="15.75" customHeight="1">
      <c r="A73" s="2"/>
      <c r="B73" s="2"/>
      <c r="C73" s="2"/>
      <c r="D73" s="2"/>
      <c r="E73" s="2"/>
      <c r="F73" s="2"/>
      <c r="G73" s="41"/>
      <c r="H73" s="41"/>
      <c r="I73" s="41"/>
      <c r="J73" s="41"/>
      <c r="K73" s="41"/>
      <c r="L73" s="41"/>
      <c r="M73" s="41"/>
      <c r="N73" s="41"/>
      <c r="O73" s="4"/>
      <c r="P73" s="4"/>
      <c r="Q73" s="4"/>
      <c r="R73" s="4"/>
      <c r="S73" s="4"/>
      <c r="T73" s="4"/>
      <c r="U73" s="4"/>
      <c r="V73" s="4"/>
      <c r="W73" s="4"/>
      <c r="X73" s="4"/>
      <c r="Y73" s="4"/>
      <c r="Z73" s="4"/>
    </row>
    <row r="74" ht="15.75" customHeight="1">
      <c r="A74" s="2"/>
      <c r="B74" s="2"/>
      <c r="C74" s="2"/>
      <c r="D74" s="2"/>
      <c r="E74" s="2"/>
      <c r="F74" s="2"/>
      <c r="G74" s="41"/>
      <c r="H74" s="41"/>
      <c r="I74" s="41"/>
      <c r="J74" s="41"/>
      <c r="K74" s="41"/>
      <c r="L74" s="41"/>
      <c r="M74" s="41"/>
      <c r="N74" s="41"/>
      <c r="O74" s="4"/>
      <c r="P74" s="4"/>
      <c r="Q74" s="4"/>
      <c r="R74" s="4"/>
      <c r="S74" s="4"/>
      <c r="T74" s="4"/>
      <c r="U74" s="4"/>
      <c r="V74" s="4"/>
      <c r="W74" s="4"/>
      <c r="X74" s="4"/>
      <c r="Y74" s="4"/>
      <c r="Z74" s="4"/>
    </row>
    <row r="75" ht="15.75" customHeight="1">
      <c r="A75" s="2"/>
      <c r="B75" s="2"/>
      <c r="C75" s="2"/>
      <c r="D75" s="2"/>
      <c r="E75" s="2"/>
      <c r="F75" s="2"/>
      <c r="G75" s="41"/>
      <c r="H75" s="41"/>
      <c r="I75" s="41"/>
      <c r="J75" s="41"/>
      <c r="K75" s="41"/>
      <c r="L75" s="41"/>
      <c r="M75" s="41"/>
      <c r="N75" s="41"/>
      <c r="O75" s="4"/>
      <c r="P75" s="4"/>
      <c r="Q75" s="4"/>
      <c r="R75" s="4"/>
      <c r="S75" s="4"/>
      <c r="T75" s="4"/>
      <c r="U75" s="4"/>
      <c r="V75" s="4"/>
      <c r="W75" s="4"/>
      <c r="X75" s="4"/>
      <c r="Y75" s="4"/>
      <c r="Z75" s="4"/>
    </row>
    <row r="76" ht="15.75" customHeight="1">
      <c r="A76" s="2"/>
      <c r="B76" s="2"/>
      <c r="C76" s="2"/>
      <c r="D76" s="2"/>
      <c r="E76" s="2"/>
      <c r="F76" s="2"/>
      <c r="G76" s="41"/>
      <c r="H76" s="41"/>
      <c r="I76" s="41"/>
      <c r="J76" s="41"/>
      <c r="K76" s="41"/>
      <c r="L76" s="41"/>
      <c r="M76" s="41"/>
      <c r="N76" s="41"/>
      <c r="O76" s="4"/>
      <c r="P76" s="4"/>
      <c r="Q76" s="4"/>
      <c r="R76" s="4"/>
      <c r="S76" s="4"/>
      <c r="T76" s="4"/>
      <c r="U76" s="4"/>
      <c r="V76" s="4"/>
      <c r="W76" s="4"/>
      <c r="X76" s="4"/>
      <c r="Y76" s="4"/>
      <c r="Z76" s="4"/>
    </row>
    <row r="77" ht="15.75" customHeight="1">
      <c r="A77" s="2"/>
      <c r="B77" s="2"/>
      <c r="C77" s="2"/>
      <c r="D77" s="2"/>
      <c r="E77" s="2"/>
      <c r="F77" s="2"/>
      <c r="G77" s="41"/>
      <c r="H77" s="41"/>
      <c r="I77" s="41"/>
      <c r="J77" s="41"/>
      <c r="K77" s="41"/>
      <c r="L77" s="41"/>
      <c r="M77" s="41"/>
      <c r="N77" s="41"/>
      <c r="O77" s="4"/>
      <c r="P77" s="4"/>
      <c r="Q77" s="4"/>
      <c r="R77" s="4"/>
      <c r="S77" s="4"/>
      <c r="T77" s="4"/>
      <c r="U77" s="4"/>
      <c r="V77" s="4"/>
      <c r="W77" s="4"/>
      <c r="X77" s="4"/>
      <c r="Y77" s="4"/>
      <c r="Z77" s="4"/>
    </row>
    <row r="78" ht="15.75" customHeight="1">
      <c r="A78" s="2"/>
      <c r="B78" s="2"/>
      <c r="C78" s="2"/>
      <c r="D78" s="2"/>
      <c r="E78" s="2"/>
      <c r="F78" s="2"/>
      <c r="G78" s="41"/>
      <c r="H78" s="41"/>
      <c r="I78" s="41"/>
      <c r="J78" s="41"/>
      <c r="K78" s="41"/>
      <c r="L78" s="41"/>
      <c r="M78" s="41"/>
      <c r="N78" s="41"/>
      <c r="O78" s="4"/>
      <c r="P78" s="4"/>
      <c r="Q78" s="4"/>
      <c r="R78" s="4"/>
      <c r="S78" s="4"/>
      <c r="T78" s="4"/>
      <c r="U78" s="4"/>
      <c r="V78" s="4"/>
      <c r="W78" s="4"/>
      <c r="X78" s="4"/>
      <c r="Y78" s="4"/>
      <c r="Z78" s="4"/>
    </row>
    <row r="79" ht="15.75" customHeight="1">
      <c r="A79" s="2"/>
      <c r="B79" s="2"/>
      <c r="C79" s="2"/>
      <c r="D79" s="2"/>
      <c r="E79" s="2"/>
      <c r="F79" s="2"/>
      <c r="G79" s="41"/>
      <c r="H79" s="41"/>
      <c r="I79" s="41"/>
      <c r="J79" s="41"/>
      <c r="K79" s="41"/>
      <c r="L79" s="41"/>
      <c r="M79" s="41"/>
      <c r="N79" s="41"/>
      <c r="O79" s="4"/>
      <c r="P79" s="4"/>
      <c r="Q79" s="4"/>
      <c r="R79" s="4"/>
      <c r="S79" s="4"/>
      <c r="T79" s="4"/>
      <c r="U79" s="4"/>
      <c r="V79" s="4"/>
      <c r="W79" s="4"/>
      <c r="X79" s="4"/>
      <c r="Y79" s="4"/>
      <c r="Z79" s="4"/>
    </row>
    <row r="80" ht="15.75" customHeight="1">
      <c r="A80" s="2"/>
      <c r="B80" s="2"/>
      <c r="C80" s="2"/>
      <c r="D80" s="2"/>
      <c r="E80" s="2"/>
      <c r="F80" s="2"/>
      <c r="G80" s="41"/>
      <c r="H80" s="41"/>
      <c r="I80" s="41"/>
      <c r="J80" s="41"/>
      <c r="K80" s="41"/>
      <c r="L80" s="41"/>
      <c r="M80" s="41"/>
      <c r="N80" s="41"/>
      <c r="O80" s="4"/>
      <c r="P80" s="4"/>
      <c r="Q80" s="4"/>
      <c r="R80" s="4"/>
      <c r="S80" s="4"/>
      <c r="T80" s="4"/>
      <c r="U80" s="4"/>
      <c r="V80" s="4"/>
      <c r="W80" s="4"/>
      <c r="X80" s="4"/>
      <c r="Y80" s="4"/>
      <c r="Z80" s="4"/>
    </row>
    <row r="81" ht="15.75" customHeight="1">
      <c r="A81" s="1"/>
      <c r="B81" s="1"/>
      <c r="C81" s="1"/>
      <c r="D81" s="1"/>
      <c r="E81" s="1"/>
      <c r="F81" s="1"/>
      <c r="G81" s="4"/>
      <c r="H81" s="4"/>
      <c r="I81" s="4"/>
      <c r="J81" s="4"/>
      <c r="K81" s="4"/>
      <c r="L81" s="4"/>
      <c r="M81" s="4"/>
      <c r="N81" s="4"/>
      <c r="O81" s="4"/>
      <c r="P81" s="4"/>
      <c r="Q81" s="4"/>
      <c r="R81" s="4"/>
      <c r="S81" s="4"/>
      <c r="T81" s="4"/>
      <c r="U81" s="4"/>
      <c r="V81" s="4"/>
      <c r="W81" s="4"/>
      <c r="X81" s="4"/>
      <c r="Y81" s="4"/>
      <c r="Z81" s="4"/>
    </row>
    <row r="82" ht="15.75" customHeight="1">
      <c r="A82" s="1"/>
      <c r="B82" s="1"/>
      <c r="C82" s="1"/>
      <c r="D82" s="1"/>
      <c r="E82" s="1"/>
      <c r="F82" s="1"/>
      <c r="G82" s="4"/>
      <c r="H82" s="4"/>
      <c r="I82" s="4"/>
      <c r="J82" s="4"/>
      <c r="K82" s="4"/>
      <c r="L82" s="4"/>
      <c r="M82" s="4"/>
      <c r="N82" s="4"/>
      <c r="O82" s="4"/>
      <c r="P82" s="4"/>
      <c r="Q82" s="4"/>
      <c r="R82" s="4"/>
      <c r="S82" s="4"/>
      <c r="T82" s="4"/>
      <c r="U82" s="4"/>
      <c r="V82" s="4"/>
      <c r="W82" s="4"/>
      <c r="X82" s="4"/>
      <c r="Y82" s="4"/>
      <c r="Z82" s="4"/>
    </row>
    <row r="83" ht="15.75" customHeight="1">
      <c r="A83" s="1"/>
      <c r="B83" s="1"/>
      <c r="C83" s="1"/>
      <c r="D83" s="1"/>
      <c r="E83" s="1"/>
      <c r="F83" s="1"/>
      <c r="G83" s="4"/>
      <c r="H83" s="4"/>
      <c r="I83" s="4"/>
      <c r="J83" s="4"/>
      <c r="K83" s="4"/>
      <c r="L83" s="4"/>
      <c r="M83" s="4"/>
      <c r="N83" s="4"/>
      <c r="O83" s="4"/>
      <c r="P83" s="4"/>
      <c r="Q83" s="4"/>
      <c r="R83" s="4"/>
      <c r="S83" s="4"/>
      <c r="T83" s="4"/>
      <c r="U83" s="4"/>
      <c r="V83" s="4"/>
      <c r="W83" s="4"/>
      <c r="X83" s="4"/>
      <c r="Y83" s="4"/>
      <c r="Z83" s="4"/>
    </row>
    <row r="84" ht="15.75" customHeight="1">
      <c r="A84" s="1"/>
      <c r="B84" s="1"/>
      <c r="C84" s="1"/>
      <c r="D84" s="1"/>
      <c r="E84" s="1"/>
      <c r="F84" s="1"/>
      <c r="G84" s="4"/>
      <c r="H84" s="4"/>
      <c r="I84" s="4"/>
      <c r="J84" s="4"/>
      <c r="K84" s="4"/>
      <c r="L84" s="4"/>
      <c r="M84" s="4"/>
      <c r="N84" s="4"/>
      <c r="O84" s="4"/>
      <c r="P84" s="4"/>
      <c r="Q84" s="4"/>
      <c r="R84" s="4"/>
      <c r="S84" s="4"/>
      <c r="T84" s="4"/>
      <c r="U84" s="4"/>
      <c r="V84" s="4"/>
      <c r="W84" s="4"/>
      <c r="X84" s="4"/>
      <c r="Y84" s="4"/>
      <c r="Z84" s="4"/>
    </row>
    <row r="85" ht="15.75" customHeight="1">
      <c r="A85" s="1"/>
      <c r="B85" s="1"/>
      <c r="C85" s="1"/>
      <c r="D85" s="1"/>
      <c r="E85" s="1"/>
      <c r="F85" s="1"/>
      <c r="G85" s="4"/>
      <c r="H85" s="4"/>
      <c r="I85" s="4"/>
      <c r="J85" s="4"/>
      <c r="K85" s="4"/>
      <c r="L85" s="4"/>
      <c r="M85" s="4"/>
      <c r="N85" s="4"/>
      <c r="O85" s="4"/>
      <c r="P85" s="4"/>
      <c r="Q85" s="4"/>
      <c r="R85" s="4"/>
      <c r="S85" s="4"/>
      <c r="T85" s="4"/>
      <c r="U85" s="4"/>
      <c r="V85" s="4"/>
      <c r="W85" s="4"/>
      <c r="X85" s="4"/>
      <c r="Y85" s="4"/>
      <c r="Z85" s="4"/>
    </row>
    <row r="86" ht="15.75" customHeight="1">
      <c r="A86" s="1"/>
      <c r="B86" s="1"/>
      <c r="C86" s="1"/>
      <c r="D86" s="1"/>
      <c r="E86" s="1"/>
      <c r="F86" s="1"/>
      <c r="G86" s="4"/>
      <c r="H86" s="4"/>
      <c r="I86" s="4"/>
      <c r="J86" s="4"/>
      <c r="K86" s="4"/>
      <c r="L86" s="4"/>
      <c r="M86" s="4"/>
      <c r="N86" s="4"/>
      <c r="O86" s="4"/>
      <c r="P86" s="4"/>
      <c r="Q86" s="4"/>
      <c r="R86" s="4"/>
      <c r="S86" s="4"/>
      <c r="T86" s="4"/>
      <c r="U86" s="4"/>
      <c r="V86" s="4"/>
      <c r="W86" s="4"/>
      <c r="X86" s="4"/>
      <c r="Y86" s="4"/>
      <c r="Z86" s="4"/>
    </row>
    <row r="87" ht="15.75" customHeight="1">
      <c r="A87" s="1"/>
      <c r="B87" s="1"/>
      <c r="C87" s="1"/>
      <c r="D87" s="1"/>
      <c r="E87" s="1"/>
      <c r="F87" s="1"/>
      <c r="G87" s="4"/>
      <c r="H87" s="4"/>
      <c r="I87" s="4"/>
      <c r="J87" s="4"/>
      <c r="K87" s="4"/>
      <c r="L87" s="4"/>
      <c r="M87" s="4"/>
      <c r="N87" s="4"/>
      <c r="O87" s="4"/>
      <c r="P87" s="4"/>
      <c r="Q87" s="4"/>
      <c r="R87" s="4"/>
      <c r="S87" s="4"/>
      <c r="T87" s="4"/>
      <c r="U87" s="4"/>
      <c r="V87" s="4"/>
      <c r="W87" s="4"/>
      <c r="X87" s="4"/>
      <c r="Y87" s="4"/>
      <c r="Z87" s="4"/>
    </row>
    <row r="88" ht="15.75" customHeight="1">
      <c r="A88" s="1"/>
      <c r="B88" s="1"/>
      <c r="C88" s="1"/>
      <c r="D88" s="1"/>
      <c r="E88" s="1"/>
      <c r="F88" s="1"/>
      <c r="G88" s="4"/>
      <c r="H88" s="4"/>
      <c r="I88" s="4"/>
      <c r="J88" s="4"/>
      <c r="K88" s="4"/>
      <c r="L88" s="4"/>
      <c r="M88" s="4"/>
      <c r="N88" s="4"/>
      <c r="O88" s="4"/>
      <c r="P88" s="4"/>
      <c r="Q88" s="4"/>
      <c r="R88" s="4"/>
      <c r="S88" s="4"/>
      <c r="T88" s="4"/>
      <c r="U88" s="4"/>
      <c r="V88" s="4"/>
      <c r="W88" s="4"/>
      <c r="X88" s="4"/>
      <c r="Y88" s="4"/>
      <c r="Z88" s="4"/>
    </row>
    <row r="89" ht="15.75" customHeight="1">
      <c r="A89" s="1"/>
      <c r="B89" s="1"/>
      <c r="C89" s="1"/>
      <c r="D89" s="1"/>
      <c r="E89" s="1"/>
      <c r="F89" s="1"/>
      <c r="G89" s="4"/>
      <c r="H89" s="4"/>
      <c r="I89" s="4"/>
      <c r="J89" s="4"/>
      <c r="K89" s="4"/>
      <c r="L89" s="4"/>
      <c r="M89" s="4"/>
      <c r="N89" s="4"/>
      <c r="O89" s="4"/>
      <c r="P89" s="4"/>
      <c r="Q89" s="4"/>
      <c r="R89" s="4"/>
      <c r="S89" s="4"/>
      <c r="T89" s="4"/>
      <c r="U89" s="4"/>
      <c r="V89" s="4"/>
      <c r="W89" s="4"/>
      <c r="X89" s="4"/>
      <c r="Y89" s="4"/>
      <c r="Z89" s="4"/>
    </row>
    <row r="90" ht="15.75" customHeight="1">
      <c r="A90" s="1"/>
      <c r="B90" s="1"/>
      <c r="C90" s="1"/>
      <c r="D90" s="1"/>
      <c r="E90" s="1"/>
      <c r="F90" s="1"/>
      <c r="G90" s="4"/>
      <c r="H90" s="4"/>
      <c r="I90" s="4"/>
      <c r="J90" s="4"/>
      <c r="K90" s="4"/>
      <c r="L90" s="4"/>
      <c r="M90" s="4"/>
      <c r="N90" s="4"/>
      <c r="O90" s="4"/>
      <c r="P90" s="4"/>
      <c r="Q90" s="4"/>
      <c r="R90" s="4"/>
      <c r="S90" s="4"/>
      <c r="T90" s="4"/>
      <c r="U90" s="4"/>
      <c r="V90" s="4"/>
      <c r="W90" s="4"/>
      <c r="X90" s="4"/>
      <c r="Y90" s="4"/>
      <c r="Z90" s="4"/>
    </row>
    <row r="91" ht="15.75" customHeight="1">
      <c r="A91" s="1"/>
      <c r="B91" s="1"/>
      <c r="C91" s="1"/>
      <c r="D91" s="1"/>
      <c r="E91" s="1"/>
      <c r="F91" s="1"/>
      <c r="G91" s="4"/>
      <c r="H91" s="4"/>
      <c r="I91" s="4"/>
      <c r="J91" s="4"/>
      <c r="K91" s="4"/>
      <c r="L91" s="4"/>
      <c r="M91" s="4"/>
      <c r="N91" s="4"/>
      <c r="O91" s="4"/>
      <c r="P91" s="4"/>
      <c r="Q91" s="4"/>
      <c r="R91" s="4"/>
      <c r="S91" s="4"/>
      <c r="T91" s="4"/>
      <c r="U91" s="4"/>
      <c r="V91" s="4"/>
      <c r="W91" s="4"/>
      <c r="X91" s="4"/>
      <c r="Y91" s="4"/>
      <c r="Z91" s="4"/>
    </row>
    <row r="92" ht="15.75" customHeight="1">
      <c r="A92" s="1"/>
      <c r="B92" s="1"/>
      <c r="C92" s="1"/>
      <c r="D92" s="1"/>
      <c r="E92" s="1"/>
      <c r="F92" s="1"/>
      <c r="G92" s="4"/>
      <c r="H92" s="4"/>
      <c r="I92" s="4"/>
      <c r="J92" s="4"/>
      <c r="K92" s="4"/>
      <c r="L92" s="4"/>
      <c r="M92" s="4"/>
      <c r="N92" s="4"/>
      <c r="O92" s="4"/>
      <c r="P92" s="4"/>
      <c r="Q92" s="4"/>
      <c r="R92" s="4"/>
      <c r="S92" s="4"/>
      <c r="T92" s="4"/>
      <c r="U92" s="4"/>
      <c r="V92" s="4"/>
      <c r="W92" s="4"/>
      <c r="X92" s="4"/>
      <c r="Y92" s="4"/>
      <c r="Z92" s="4"/>
    </row>
    <row r="93" ht="15.75" customHeight="1">
      <c r="A93" s="1"/>
      <c r="B93" s="1"/>
      <c r="C93" s="1"/>
      <c r="D93" s="1"/>
      <c r="E93" s="1"/>
      <c r="F93" s="1"/>
      <c r="G93" s="4"/>
      <c r="H93" s="4"/>
      <c r="I93" s="4"/>
      <c r="J93" s="4"/>
      <c r="K93" s="4"/>
      <c r="L93" s="4"/>
      <c r="M93" s="4"/>
      <c r="N93" s="4"/>
      <c r="O93" s="4"/>
      <c r="P93" s="4"/>
      <c r="Q93" s="4"/>
      <c r="R93" s="4"/>
      <c r="S93" s="4"/>
      <c r="T93" s="4"/>
      <c r="U93" s="4"/>
      <c r="V93" s="4"/>
      <c r="W93" s="4"/>
      <c r="X93" s="4"/>
      <c r="Y93" s="4"/>
      <c r="Z93" s="4"/>
    </row>
    <row r="94" ht="15.75" customHeight="1">
      <c r="A94" s="1"/>
      <c r="B94" s="1"/>
      <c r="C94" s="1"/>
      <c r="D94" s="1"/>
      <c r="E94" s="1"/>
      <c r="F94" s="1"/>
      <c r="G94" s="4"/>
      <c r="H94" s="4"/>
      <c r="I94" s="4"/>
      <c r="J94" s="4"/>
      <c r="K94" s="4"/>
      <c r="L94" s="4"/>
      <c r="M94" s="4"/>
      <c r="N94" s="4"/>
      <c r="O94" s="4"/>
      <c r="P94" s="4"/>
      <c r="Q94" s="4"/>
      <c r="R94" s="4"/>
      <c r="S94" s="4"/>
      <c r="T94" s="4"/>
      <c r="U94" s="4"/>
      <c r="V94" s="4"/>
      <c r="W94" s="4"/>
      <c r="X94" s="4"/>
      <c r="Y94" s="4"/>
      <c r="Z94" s="4"/>
    </row>
    <row r="95" ht="15.75" customHeight="1">
      <c r="A95" s="1"/>
      <c r="B95" s="1"/>
      <c r="C95" s="1"/>
      <c r="D95" s="1"/>
      <c r="E95" s="1"/>
      <c r="F95" s="1"/>
      <c r="G95" s="4"/>
      <c r="H95" s="4"/>
      <c r="I95" s="4"/>
      <c r="J95" s="4"/>
      <c r="K95" s="4"/>
      <c r="L95" s="4"/>
      <c r="M95" s="4"/>
      <c r="N95" s="4"/>
      <c r="O95" s="4"/>
      <c r="P95" s="4"/>
      <c r="Q95" s="4"/>
      <c r="R95" s="4"/>
      <c r="S95" s="4"/>
      <c r="T95" s="4"/>
      <c r="U95" s="4"/>
      <c r="V95" s="4"/>
      <c r="W95" s="4"/>
      <c r="X95" s="4"/>
      <c r="Y95" s="4"/>
      <c r="Z95" s="4"/>
    </row>
    <row r="96" ht="15.75" customHeight="1">
      <c r="A96" s="1"/>
      <c r="B96" s="1"/>
      <c r="C96" s="1"/>
      <c r="D96" s="1"/>
      <c r="E96" s="1"/>
      <c r="F96" s="1"/>
      <c r="G96" s="4"/>
      <c r="H96" s="4"/>
      <c r="I96" s="4"/>
      <c r="J96" s="4"/>
      <c r="K96" s="4"/>
      <c r="L96" s="4"/>
      <c r="M96" s="4"/>
      <c r="N96" s="4"/>
      <c r="O96" s="4"/>
      <c r="P96" s="4"/>
      <c r="Q96" s="4"/>
      <c r="R96" s="4"/>
      <c r="S96" s="4"/>
      <c r="T96" s="4"/>
      <c r="U96" s="4"/>
      <c r="V96" s="4"/>
      <c r="W96" s="4"/>
      <c r="X96" s="4"/>
      <c r="Y96" s="4"/>
      <c r="Z96" s="4"/>
    </row>
    <row r="97" ht="15.75" customHeight="1">
      <c r="A97" s="1"/>
      <c r="B97" s="1"/>
      <c r="C97" s="1"/>
      <c r="D97" s="1"/>
      <c r="E97" s="1"/>
      <c r="F97" s="1"/>
      <c r="G97" s="4"/>
      <c r="H97" s="4"/>
      <c r="I97" s="4"/>
      <c r="J97" s="4"/>
      <c r="K97" s="4"/>
      <c r="L97" s="4"/>
      <c r="M97" s="4"/>
      <c r="N97" s="4"/>
      <c r="O97" s="4"/>
      <c r="P97" s="4"/>
      <c r="Q97" s="4"/>
      <c r="R97" s="4"/>
      <c r="S97" s="4"/>
      <c r="T97" s="4"/>
      <c r="U97" s="4"/>
      <c r="V97" s="4"/>
      <c r="W97" s="4"/>
      <c r="X97" s="4"/>
      <c r="Y97" s="4"/>
      <c r="Z97" s="4"/>
    </row>
    <row r="98" ht="15.75" customHeight="1">
      <c r="A98" s="1"/>
      <c r="B98" s="1"/>
      <c r="C98" s="1"/>
      <c r="D98" s="1"/>
      <c r="E98" s="1"/>
      <c r="F98" s="1"/>
      <c r="G98" s="4"/>
      <c r="H98" s="4"/>
      <c r="I98" s="4"/>
      <c r="J98" s="4"/>
      <c r="K98" s="4"/>
      <c r="L98" s="4"/>
      <c r="M98" s="4"/>
      <c r="N98" s="4"/>
      <c r="O98" s="4"/>
      <c r="P98" s="4"/>
      <c r="Q98" s="4"/>
      <c r="R98" s="4"/>
      <c r="S98" s="4"/>
      <c r="T98" s="4"/>
      <c r="U98" s="4"/>
      <c r="V98" s="4"/>
      <c r="W98" s="4"/>
      <c r="X98" s="4"/>
      <c r="Y98" s="4"/>
      <c r="Z98" s="4"/>
    </row>
    <row r="99" ht="15.75" customHeight="1">
      <c r="A99" s="1"/>
      <c r="B99" s="1"/>
      <c r="C99" s="1"/>
      <c r="D99" s="1"/>
      <c r="E99" s="1"/>
      <c r="F99" s="1"/>
      <c r="G99" s="4"/>
      <c r="H99" s="4"/>
      <c r="I99" s="4"/>
      <c r="J99" s="4"/>
      <c r="K99" s="4"/>
      <c r="L99" s="4"/>
      <c r="M99" s="4"/>
      <c r="N99" s="4"/>
      <c r="O99" s="4"/>
      <c r="P99" s="4"/>
      <c r="Q99" s="4"/>
      <c r="R99" s="4"/>
      <c r="S99" s="4"/>
      <c r="T99" s="4"/>
      <c r="U99" s="4"/>
      <c r="V99" s="4"/>
      <c r="W99" s="4"/>
      <c r="X99" s="4"/>
      <c r="Y99" s="4"/>
      <c r="Z99" s="4"/>
    </row>
    <row r="100" ht="15.75" customHeight="1">
      <c r="A100" s="1"/>
      <c r="B100" s="1"/>
      <c r="C100" s="1"/>
      <c r="D100" s="1"/>
      <c r="E100" s="1"/>
      <c r="F100" s="1"/>
      <c r="G100" s="4"/>
      <c r="H100" s="4"/>
      <c r="I100" s="4"/>
      <c r="J100" s="4"/>
      <c r="K100" s="4"/>
      <c r="L100" s="4"/>
      <c r="M100" s="4"/>
      <c r="N100" s="4"/>
      <c r="O100" s="4"/>
      <c r="P100" s="4"/>
      <c r="Q100" s="4"/>
      <c r="R100" s="4"/>
      <c r="S100" s="4"/>
      <c r="T100" s="4"/>
      <c r="U100" s="4"/>
      <c r="V100" s="4"/>
      <c r="W100" s="4"/>
      <c r="X100" s="4"/>
      <c r="Y100" s="4"/>
      <c r="Z100" s="4"/>
    </row>
    <row r="101" ht="15.75" customHeight="1">
      <c r="A101" s="1"/>
      <c r="B101" s="1"/>
      <c r="C101" s="1"/>
      <c r="D101" s="1"/>
      <c r="E101" s="1"/>
      <c r="F101" s="1"/>
      <c r="G101" s="4"/>
      <c r="H101" s="4"/>
      <c r="I101" s="4"/>
      <c r="J101" s="4"/>
      <c r="K101" s="4"/>
      <c r="L101" s="4"/>
      <c r="M101" s="4"/>
      <c r="N101" s="4"/>
      <c r="O101" s="4"/>
      <c r="P101" s="4"/>
      <c r="Q101" s="4"/>
      <c r="R101" s="4"/>
      <c r="S101" s="4"/>
      <c r="T101" s="4"/>
      <c r="U101" s="4"/>
      <c r="V101" s="4"/>
      <c r="W101" s="4"/>
      <c r="X101" s="4"/>
      <c r="Y101" s="4"/>
      <c r="Z101" s="4"/>
    </row>
    <row r="102" ht="15.75" customHeight="1">
      <c r="A102" s="1"/>
      <c r="B102" s="1"/>
      <c r="C102" s="1"/>
      <c r="D102" s="1"/>
      <c r="E102" s="1"/>
      <c r="F102" s="1"/>
      <c r="G102" s="4"/>
      <c r="H102" s="4"/>
      <c r="I102" s="4"/>
      <c r="J102" s="4"/>
      <c r="K102" s="4"/>
      <c r="L102" s="4"/>
      <c r="M102" s="4"/>
      <c r="N102" s="4"/>
      <c r="O102" s="4"/>
      <c r="P102" s="4"/>
      <c r="Q102" s="4"/>
      <c r="R102" s="4"/>
      <c r="S102" s="4"/>
      <c r="T102" s="4"/>
      <c r="U102" s="4"/>
      <c r="V102" s="4"/>
      <c r="W102" s="4"/>
      <c r="X102" s="4"/>
      <c r="Y102" s="4"/>
      <c r="Z102" s="4"/>
    </row>
    <row r="103" ht="15.75" customHeight="1">
      <c r="A103" s="1"/>
      <c r="B103" s="1"/>
      <c r="C103" s="1"/>
      <c r="D103" s="1"/>
      <c r="E103" s="1"/>
      <c r="F103" s="1"/>
      <c r="G103" s="4"/>
      <c r="H103" s="4"/>
      <c r="I103" s="4"/>
      <c r="J103" s="4"/>
      <c r="K103" s="4"/>
      <c r="L103" s="4"/>
      <c r="M103" s="4"/>
      <c r="N103" s="4"/>
      <c r="O103" s="4"/>
      <c r="P103" s="4"/>
      <c r="Q103" s="4"/>
      <c r="R103" s="4"/>
      <c r="S103" s="4"/>
      <c r="T103" s="4"/>
      <c r="U103" s="4"/>
      <c r="V103" s="4"/>
      <c r="W103" s="4"/>
      <c r="X103" s="4"/>
      <c r="Y103" s="4"/>
      <c r="Z103" s="4"/>
    </row>
    <row r="104" ht="15.75" customHeight="1">
      <c r="A104" s="1"/>
      <c r="B104" s="1"/>
      <c r="C104" s="1"/>
      <c r="D104" s="1"/>
      <c r="E104" s="1"/>
      <c r="F104" s="1"/>
      <c r="G104" s="4"/>
      <c r="H104" s="4"/>
      <c r="I104" s="4"/>
      <c r="J104" s="4"/>
      <c r="K104" s="4"/>
      <c r="L104" s="4"/>
      <c r="M104" s="4"/>
      <c r="N104" s="4"/>
      <c r="O104" s="4"/>
      <c r="P104" s="4"/>
      <c r="Q104" s="4"/>
      <c r="R104" s="4"/>
      <c r="S104" s="4"/>
      <c r="T104" s="4"/>
      <c r="U104" s="4"/>
      <c r="V104" s="4"/>
      <c r="W104" s="4"/>
      <c r="X104" s="4"/>
      <c r="Y104" s="4"/>
      <c r="Z104" s="4"/>
    </row>
    <row r="105" ht="15.75" customHeight="1">
      <c r="A105" s="1"/>
      <c r="B105" s="1"/>
      <c r="C105" s="1"/>
      <c r="D105" s="1"/>
      <c r="E105" s="1"/>
      <c r="F105" s="1"/>
      <c r="G105" s="4"/>
      <c r="H105" s="4"/>
      <c r="I105" s="4"/>
      <c r="J105" s="4"/>
      <c r="K105" s="4"/>
      <c r="L105" s="4"/>
      <c r="M105" s="4"/>
      <c r="N105" s="4"/>
      <c r="O105" s="4"/>
      <c r="P105" s="4"/>
      <c r="Q105" s="4"/>
      <c r="R105" s="4"/>
      <c r="S105" s="4"/>
      <c r="T105" s="4"/>
      <c r="U105" s="4"/>
      <c r="V105" s="4"/>
      <c r="W105" s="4"/>
      <c r="X105" s="4"/>
      <c r="Y105" s="4"/>
      <c r="Z105" s="4"/>
    </row>
    <row r="106" ht="15.75" customHeight="1">
      <c r="A106" s="1"/>
      <c r="B106" s="1"/>
      <c r="C106" s="1"/>
      <c r="D106" s="1"/>
      <c r="E106" s="1"/>
      <c r="F106" s="1"/>
      <c r="G106" s="4"/>
      <c r="H106" s="4"/>
      <c r="I106" s="4"/>
      <c r="J106" s="4"/>
      <c r="K106" s="4"/>
      <c r="L106" s="4"/>
      <c r="M106" s="4"/>
      <c r="N106" s="4"/>
      <c r="O106" s="4"/>
      <c r="P106" s="4"/>
      <c r="Q106" s="4"/>
      <c r="R106" s="4"/>
      <c r="S106" s="4"/>
      <c r="T106" s="4"/>
      <c r="U106" s="4"/>
      <c r="V106" s="4"/>
      <c r="W106" s="4"/>
      <c r="X106" s="4"/>
      <c r="Y106" s="4"/>
      <c r="Z106" s="4"/>
    </row>
    <row r="107" ht="15.75" customHeight="1">
      <c r="A107" s="1"/>
      <c r="B107" s="1"/>
      <c r="C107" s="1"/>
      <c r="D107" s="1"/>
      <c r="E107" s="1"/>
      <c r="F107" s="1"/>
      <c r="G107" s="4"/>
      <c r="H107" s="4"/>
      <c r="I107" s="4"/>
      <c r="J107" s="4"/>
      <c r="K107" s="4"/>
      <c r="L107" s="4"/>
      <c r="M107" s="4"/>
      <c r="N107" s="4"/>
      <c r="O107" s="4"/>
      <c r="P107" s="4"/>
      <c r="Q107" s="4"/>
      <c r="R107" s="4"/>
      <c r="S107" s="4"/>
      <c r="T107" s="4"/>
      <c r="U107" s="4"/>
      <c r="V107" s="4"/>
      <c r="W107" s="4"/>
      <c r="X107" s="4"/>
      <c r="Y107" s="4"/>
      <c r="Z107" s="4"/>
    </row>
    <row r="108" ht="15.75" customHeight="1">
      <c r="A108" s="1"/>
      <c r="B108" s="1"/>
      <c r="C108" s="1"/>
      <c r="D108" s="1"/>
      <c r="E108" s="1"/>
      <c r="F108" s="1"/>
      <c r="G108" s="4"/>
      <c r="H108" s="4"/>
      <c r="I108" s="4"/>
      <c r="J108" s="4"/>
      <c r="K108" s="4"/>
      <c r="L108" s="4"/>
      <c r="M108" s="4"/>
      <c r="N108" s="4"/>
      <c r="O108" s="4"/>
      <c r="P108" s="4"/>
      <c r="Q108" s="4"/>
      <c r="R108" s="4"/>
      <c r="S108" s="4"/>
      <c r="T108" s="4"/>
      <c r="U108" s="4"/>
      <c r="V108" s="4"/>
      <c r="W108" s="4"/>
      <c r="X108" s="4"/>
      <c r="Y108" s="4"/>
      <c r="Z108" s="4"/>
    </row>
    <row r="109" ht="15.75" customHeight="1">
      <c r="A109" s="1"/>
      <c r="B109" s="1"/>
      <c r="C109" s="1"/>
      <c r="D109" s="1"/>
      <c r="E109" s="1"/>
      <c r="F109" s="1"/>
      <c r="G109" s="4"/>
      <c r="H109" s="4"/>
      <c r="I109" s="4"/>
      <c r="J109" s="4"/>
      <c r="K109" s="4"/>
      <c r="L109" s="4"/>
      <c r="M109" s="4"/>
      <c r="N109" s="4"/>
      <c r="O109" s="4"/>
      <c r="P109" s="4"/>
      <c r="Q109" s="4"/>
      <c r="R109" s="4"/>
      <c r="S109" s="4"/>
      <c r="T109" s="4"/>
      <c r="U109" s="4"/>
      <c r="V109" s="4"/>
      <c r="W109" s="4"/>
      <c r="X109" s="4"/>
      <c r="Y109" s="4"/>
      <c r="Z109" s="4"/>
    </row>
    <row r="110" ht="15.75" customHeight="1">
      <c r="A110" s="1"/>
      <c r="B110" s="1"/>
      <c r="C110" s="1"/>
      <c r="D110" s="1"/>
      <c r="E110" s="1"/>
      <c r="F110" s="1"/>
      <c r="G110" s="4"/>
      <c r="H110" s="4"/>
      <c r="I110" s="4"/>
      <c r="J110" s="4"/>
      <c r="K110" s="4"/>
      <c r="L110" s="4"/>
      <c r="M110" s="4"/>
      <c r="N110" s="4"/>
      <c r="O110" s="4"/>
      <c r="P110" s="4"/>
      <c r="Q110" s="4"/>
      <c r="R110" s="4"/>
      <c r="S110" s="4"/>
      <c r="T110" s="4"/>
      <c r="U110" s="4"/>
      <c r="V110" s="4"/>
      <c r="W110" s="4"/>
      <c r="X110" s="4"/>
      <c r="Y110" s="4"/>
      <c r="Z110" s="4"/>
    </row>
    <row r="111" ht="15.75" customHeight="1">
      <c r="A111" s="1"/>
      <c r="B111" s="1"/>
      <c r="C111" s="1"/>
      <c r="D111" s="1"/>
      <c r="E111" s="1"/>
      <c r="F111" s="1"/>
      <c r="G111" s="4"/>
      <c r="H111" s="4"/>
      <c r="I111" s="4"/>
      <c r="J111" s="4"/>
      <c r="K111" s="4"/>
      <c r="L111" s="4"/>
      <c r="M111" s="4"/>
      <c r="N111" s="4"/>
      <c r="O111" s="4"/>
      <c r="P111" s="4"/>
      <c r="Q111" s="4"/>
      <c r="R111" s="4"/>
      <c r="S111" s="4"/>
      <c r="T111" s="4"/>
      <c r="U111" s="4"/>
      <c r="V111" s="4"/>
      <c r="W111" s="4"/>
      <c r="X111" s="4"/>
      <c r="Y111" s="4"/>
      <c r="Z111" s="4"/>
    </row>
    <row r="112" ht="15.75" customHeight="1">
      <c r="A112" s="1"/>
      <c r="B112" s="1"/>
      <c r="C112" s="1"/>
      <c r="D112" s="1"/>
      <c r="E112" s="1"/>
      <c r="F112" s="1"/>
      <c r="G112" s="4"/>
      <c r="H112" s="4"/>
      <c r="I112" s="4"/>
      <c r="J112" s="4"/>
      <c r="K112" s="4"/>
      <c r="L112" s="4"/>
      <c r="M112" s="4"/>
      <c r="N112" s="4"/>
      <c r="O112" s="4"/>
      <c r="P112" s="4"/>
      <c r="Q112" s="4"/>
      <c r="R112" s="4"/>
      <c r="S112" s="4"/>
      <c r="T112" s="4"/>
      <c r="U112" s="4"/>
      <c r="V112" s="4"/>
      <c r="W112" s="4"/>
      <c r="X112" s="4"/>
      <c r="Y112" s="4"/>
      <c r="Z112" s="4"/>
    </row>
    <row r="113" ht="15.75" customHeight="1">
      <c r="A113" s="1"/>
      <c r="B113" s="1"/>
      <c r="C113" s="1"/>
      <c r="D113" s="1"/>
      <c r="E113" s="1"/>
      <c r="F113" s="1"/>
      <c r="G113" s="4"/>
      <c r="H113" s="4"/>
      <c r="I113" s="4"/>
      <c r="J113" s="4"/>
      <c r="K113" s="4"/>
      <c r="L113" s="4"/>
      <c r="M113" s="4"/>
      <c r="N113" s="4"/>
      <c r="O113" s="4"/>
      <c r="P113" s="4"/>
      <c r="Q113" s="4"/>
      <c r="R113" s="4"/>
      <c r="S113" s="4"/>
      <c r="T113" s="4"/>
      <c r="U113" s="4"/>
      <c r="V113" s="4"/>
      <c r="W113" s="4"/>
      <c r="X113" s="4"/>
      <c r="Y113" s="4"/>
      <c r="Z113" s="4"/>
    </row>
    <row r="114" ht="15.75" customHeight="1">
      <c r="A114" s="1"/>
      <c r="B114" s="1"/>
      <c r="C114" s="1"/>
      <c r="D114" s="1"/>
      <c r="E114" s="1"/>
      <c r="F114" s="1"/>
      <c r="G114" s="4"/>
      <c r="H114" s="4"/>
      <c r="I114" s="4"/>
      <c r="J114" s="4"/>
      <c r="K114" s="4"/>
      <c r="L114" s="4"/>
      <c r="M114" s="4"/>
      <c r="N114" s="4"/>
      <c r="O114" s="4"/>
      <c r="P114" s="4"/>
      <c r="Q114" s="4"/>
      <c r="R114" s="4"/>
      <c r="S114" s="4"/>
      <c r="T114" s="4"/>
      <c r="U114" s="4"/>
      <c r="V114" s="4"/>
      <c r="W114" s="4"/>
      <c r="X114" s="4"/>
      <c r="Y114" s="4"/>
      <c r="Z114" s="4"/>
    </row>
    <row r="115" ht="15.75" customHeight="1">
      <c r="A115" s="1"/>
      <c r="B115" s="1"/>
      <c r="C115" s="1"/>
      <c r="D115" s="1"/>
      <c r="E115" s="1"/>
      <c r="F115" s="1"/>
      <c r="G115" s="4"/>
      <c r="H115" s="4"/>
      <c r="I115" s="4"/>
      <c r="J115" s="4"/>
      <c r="K115" s="4"/>
      <c r="L115" s="4"/>
      <c r="M115" s="4"/>
      <c r="N115" s="4"/>
      <c r="O115" s="4"/>
      <c r="P115" s="4"/>
      <c r="Q115" s="4"/>
      <c r="R115" s="4"/>
      <c r="S115" s="4"/>
      <c r="T115" s="4"/>
      <c r="U115" s="4"/>
      <c r="V115" s="4"/>
      <c r="W115" s="4"/>
      <c r="X115" s="4"/>
      <c r="Y115" s="4"/>
      <c r="Z115" s="4"/>
    </row>
    <row r="116" ht="15.75" customHeight="1">
      <c r="A116" s="1"/>
      <c r="B116" s="1"/>
      <c r="C116" s="1"/>
      <c r="D116" s="1"/>
      <c r="E116" s="1"/>
      <c r="F116" s="1"/>
      <c r="G116" s="4"/>
      <c r="H116" s="4"/>
      <c r="I116" s="4"/>
      <c r="J116" s="4"/>
      <c r="K116" s="4"/>
      <c r="L116" s="4"/>
      <c r="M116" s="4"/>
      <c r="N116" s="4"/>
      <c r="O116" s="4"/>
      <c r="P116" s="4"/>
      <c r="Q116" s="4"/>
      <c r="R116" s="4"/>
      <c r="S116" s="4"/>
      <c r="T116" s="4"/>
      <c r="U116" s="4"/>
      <c r="V116" s="4"/>
      <c r="W116" s="4"/>
      <c r="X116" s="4"/>
      <c r="Y116" s="4"/>
      <c r="Z116" s="4"/>
    </row>
    <row r="117" ht="15.75" customHeight="1">
      <c r="A117" s="1"/>
      <c r="B117" s="1"/>
      <c r="C117" s="1"/>
      <c r="D117" s="1"/>
      <c r="E117" s="1"/>
      <c r="F117" s="1"/>
      <c r="G117" s="4"/>
      <c r="H117" s="4"/>
      <c r="I117" s="4"/>
      <c r="J117" s="4"/>
      <c r="K117" s="4"/>
      <c r="L117" s="4"/>
      <c r="M117" s="4"/>
      <c r="N117" s="4"/>
      <c r="O117" s="4"/>
      <c r="P117" s="4"/>
      <c r="Q117" s="4"/>
      <c r="R117" s="4"/>
      <c r="S117" s="4"/>
      <c r="T117" s="4"/>
      <c r="U117" s="4"/>
      <c r="V117" s="4"/>
      <c r="W117" s="4"/>
      <c r="X117" s="4"/>
      <c r="Y117" s="4"/>
      <c r="Z117" s="4"/>
    </row>
    <row r="118" ht="15.75" customHeight="1">
      <c r="A118" s="1"/>
      <c r="B118" s="1"/>
      <c r="C118" s="1"/>
      <c r="D118" s="1"/>
      <c r="E118" s="1"/>
      <c r="F118" s="1"/>
      <c r="G118" s="4"/>
      <c r="H118" s="4"/>
      <c r="I118" s="4"/>
      <c r="J118" s="4"/>
      <c r="K118" s="4"/>
      <c r="L118" s="4"/>
      <c r="M118" s="4"/>
      <c r="N118" s="4"/>
      <c r="O118" s="4"/>
      <c r="P118" s="4"/>
      <c r="Q118" s="4"/>
      <c r="R118" s="4"/>
      <c r="S118" s="4"/>
      <c r="T118" s="4"/>
      <c r="U118" s="4"/>
      <c r="V118" s="4"/>
      <c r="W118" s="4"/>
      <c r="X118" s="4"/>
      <c r="Y118" s="4"/>
      <c r="Z118" s="4"/>
    </row>
    <row r="119" ht="15.75" customHeight="1">
      <c r="A119" s="1"/>
      <c r="B119" s="1"/>
      <c r="C119" s="1"/>
      <c r="D119" s="1"/>
      <c r="E119" s="1"/>
      <c r="F119" s="1"/>
      <c r="G119" s="4"/>
      <c r="H119" s="4"/>
      <c r="I119" s="4"/>
      <c r="J119" s="4"/>
      <c r="K119" s="4"/>
      <c r="L119" s="4"/>
      <c r="M119" s="4"/>
      <c r="N119" s="4"/>
      <c r="O119" s="4"/>
      <c r="P119" s="4"/>
      <c r="Q119" s="4"/>
      <c r="R119" s="4"/>
      <c r="S119" s="4"/>
      <c r="T119" s="4"/>
      <c r="U119" s="4"/>
      <c r="V119" s="4"/>
      <c r="W119" s="4"/>
      <c r="X119" s="4"/>
      <c r="Y119" s="4"/>
      <c r="Z119" s="4"/>
    </row>
    <row r="120" ht="15.75" customHeight="1">
      <c r="A120" s="1"/>
      <c r="B120" s="1"/>
      <c r="C120" s="1"/>
      <c r="D120" s="1"/>
      <c r="E120" s="1"/>
      <c r="F120" s="1"/>
      <c r="G120" s="4"/>
      <c r="H120" s="4"/>
      <c r="I120" s="4"/>
      <c r="J120" s="4"/>
      <c r="K120" s="4"/>
      <c r="L120" s="4"/>
      <c r="M120" s="4"/>
      <c r="N120" s="4"/>
      <c r="O120" s="4"/>
      <c r="P120" s="4"/>
      <c r="Q120" s="4"/>
      <c r="R120" s="4"/>
      <c r="S120" s="4"/>
      <c r="T120" s="4"/>
      <c r="U120" s="4"/>
      <c r="V120" s="4"/>
      <c r="W120" s="4"/>
      <c r="X120" s="4"/>
      <c r="Y120" s="4"/>
      <c r="Z120" s="4"/>
    </row>
    <row r="121" ht="15.75" customHeight="1">
      <c r="A121" s="1"/>
      <c r="B121" s="1"/>
      <c r="C121" s="1"/>
      <c r="D121" s="1"/>
      <c r="E121" s="1"/>
      <c r="F121" s="1"/>
      <c r="G121" s="4"/>
      <c r="H121" s="4"/>
      <c r="I121" s="4"/>
      <c r="J121" s="4"/>
      <c r="K121" s="4"/>
      <c r="L121" s="4"/>
      <c r="M121" s="4"/>
      <c r="N121" s="4"/>
      <c r="O121" s="4"/>
      <c r="P121" s="4"/>
      <c r="Q121" s="4"/>
      <c r="R121" s="4"/>
      <c r="S121" s="4"/>
      <c r="T121" s="4"/>
      <c r="U121" s="4"/>
      <c r="V121" s="4"/>
      <c r="W121" s="4"/>
      <c r="X121" s="4"/>
      <c r="Y121" s="4"/>
      <c r="Z121" s="4"/>
    </row>
    <row r="122" ht="15.75" customHeight="1">
      <c r="A122" s="1"/>
      <c r="B122" s="1"/>
      <c r="C122" s="1"/>
      <c r="D122" s="1"/>
      <c r="E122" s="1"/>
      <c r="F122" s="1"/>
      <c r="G122" s="4"/>
      <c r="H122" s="4"/>
      <c r="I122" s="4"/>
      <c r="J122" s="4"/>
      <c r="K122" s="4"/>
      <c r="L122" s="4"/>
      <c r="M122" s="4"/>
      <c r="N122" s="4"/>
      <c r="O122" s="4"/>
      <c r="P122" s="4"/>
      <c r="Q122" s="4"/>
      <c r="R122" s="4"/>
      <c r="S122" s="4"/>
      <c r="T122" s="4"/>
      <c r="U122" s="4"/>
      <c r="V122" s="4"/>
      <c r="W122" s="4"/>
      <c r="X122" s="4"/>
      <c r="Y122" s="4"/>
      <c r="Z122" s="4"/>
    </row>
    <row r="123" ht="15.75" customHeight="1">
      <c r="A123" s="1"/>
      <c r="B123" s="1"/>
      <c r="C123" s="1"/>
      <c r="D123" s="1"/>
      <c r="E123" s="1"/>
      <c r="F123" s="1"/>
      <c r="G123" s="4"/>
      <c r="H123" s="4"/>
      <c r="I123" s="4"/>
      <c r="J123" s="4"/>
      <c r="K123" s="4"/>
      <c r="L123" s="4"/>
      <c r="M123" s="4"/>
      <c r="N123" s="4"/>
      <c r="O123" s="4"/>
      <c r="P123" s="4"/>
      <c r="Q123" s="4"/>
      <c r="R123" s="4"/>
      <c r="S123" s="4"/>
      <c r="T123" s="4"/>
      <c r="U123" s="4"/>
      <c r="V123" s="4"/>
      <c r="W123" s="4"/>
      <c r="X123" s="4"/>
      <c r="Y123" s="4"/>
      <c r="Z123" s="4"/>
    </row>
    <row r="124" ht="15.75" customHeight="1">
      <c r="A124" s="1"/>
      <c r="B124" s="1"/>
      <c r="C124" s="1"/>
      <c r="D124" s="1"/>
      <c r="E124" s="1"/>
      <c r="F124" s="1"/>
      <c r="G124" s="4"/>
      <c r="H124" s="4"/>
      <c r="I124" s="4"/>
      <c r="J124" s="4"/>
      <c r="K124" s="4"/>
      <c r="L124" s="4"/>
      <c r="M124" s="4"/>
      <c r="N124" s="4"/>
      <c r="O124" s="4"/>
      <c r="P124" s="4"/>
      <c r="Q124" s="4"/>
      <c r="R124" s="4"/>
      <c r="S124" s="4"/>
      <c r="T124" s="4"/>
      <c r="U124" s="4"/>
      <c r="V124" s="4"/>
      <c r="W124" s="4"/>
      <c r="X124" s="4"/>
      <c r="Y124" s="4"/>
      <c r="Z124" s="4"/>
    </row>
    <row r="125" ht="15.75" customHeight="1">
      <c r="A125" s="1"/>
      <c r="B125" s="1"/>
      <c r="C125" s="1"/>
      <c r="D125" s="1"/>
      <c r="E125" s="1"/>
      <c r="F125" s="1"/>
      <c r="G125" s="4"/>
      <c r="H125" s="4"/>
      <c r="I125" s="4"/>
      <c r="J125" s="4"/>
      <c r="K125" s="4"/>
      <c r="L125" s="4"/>
      <c r="M125" s="4"/>
      <c r="N125" s="4"/>
      <c r="O125" s="4"/>
      <c r="P125" s="4"/>
      <c r="Q125" s="4"/>
      <c r="R125" s="4"/>
      <c r="S125" s="4"/>
      <c r="T125" s="4"/>
      <c r="U125" s="4"/>
      <c r="V125" s="4"/>
      <c r="W125" s="4"/>
      <c r="X125" s="4"/>
      <c r="Y125" s="4"/>
      <c r="Z125" s="4"/>
    </row>
    <row r="126" ht="15.75" customHeight="1">
      <c r="A126" s="1"/>
      <c r="B126" s="1"/>
      <c r="C126" s="1"/>
      <c r="D126" s="1"/>
      <c r="E126" s="1"/>
      <c r="F126" s="1"/>
      <c r="G126" s="4"/>
      <c r="H126" s="4"/>
      <c r="I126" s="4"/>
      <c r="J126" s="4"/>
      <c r="K126" s="4"/>
      <c r="L126" s="4"/>
      <c r="M126" s="4"/>
      <c r="N126" s="4"/>
      <c r="O126" s="4"/>
      <c r="P126" s="4"/>
      <c r="Q126" s="4"/>
      <c r="R126" s="4"/>
      <c r="S126" s="4"/>
      <c r="T126" s="4"/>
      <c r="U126" s="4"/>
      <c r="V126" s="4"/>
      <c r="W126" s="4"/>
      <c r="X126" s="4"/>
      <c r="Y126" s="4"/>
      <c r="Z126" s="4"/>
    </row>
    <row r="127" ht="15.75" customHeight="1">
      <c r="A127" s="1"/>
      <c r="B127" s="1"/>
      <c r="C127" s="1"/>
      <c r="D127" s="1"/>
      <c r="E127" s="1"/>
      <c r="F127" s="1"/>
      <c r="G127" s="4"/>
      <c r="H127" s="4"/>
      <c r="I127" s="4"/>
      <c r="J127" s="4"/>
      <c r="K127" s="4"/>
      <c r="L127" s="4"/>
      <c r="M127" s="4"/>
      <c r="N127" s="4"/>
      <c r="O127" s="4"/>
      <c r="P127" s="4"/>
      <c r="Q127" s="4"/>
      <c r="R127" s="4"/>
      <c r="S127" s="4"/>
      <c r="T127" s="4"/>
      <c r="U127" s="4"/>
      <c r="V127" s="4"/>
      <c r="W127" s="4"/>
      <c r="X127" s="4"/>
      <c r="Y127" s="4"/>
      <c r="Z127" s="4"/>
    </row>
    <row r="128" ht="15.75" customHeight="1">
      <c r="A128" s="1"/>
      <c r="B128" s="1"/>
      <c r="C128" s="1"/>
      <c r="D128" s="1"/>
      <c r="E128" s="1"/>
      <c r="F128" s="1"/>
      <c r="G128" s="4"/>
      <c r="H128" s="4"/>
      <c r="I128" s="4"/>
      <c r="J128" s="4"/>
      <c r="K128" s="4"/>
      <c r="L128" s="4"/>
      <c r="M128" s="4"/>
      <c r="N128" s="4"/>
      <c r="O128" s="4"/>
      <c r="P128" s="4"/>
      <c r="Q128" s="4"/>
      <c r="R128" s="4"/>
      <c r="S128" s="4"/>
      <c r="T128" s="4"/>
      <c r="U128" s="4"/>
      <c r="V128" s="4"/>
      <c r="W128" s="4"/>
      <c r="X128" s="4"/>
      <c r="Y128" s="4"/>
      <c r="Z128" s="4"/>
    </row>
    <row r="129" ht="15.75" customHeight="1">
      <c r="A129" s="1"/>
      <c r="B129" s="1"/>
      <c r="C129" s="1"/>
      <c r="D129" s="1"/>
      <c r="E129" s="1"/>
      <c r="F129" s="1"/>
      <c r="G129" s="4"/>
      <c r="H129" s="4"/>
      <c r="I129" s="4"/>
      <c r="J129" s="4"/>
      <c r="K129" s="4"/>
      <c r="L129" s="4"/>
      <c r="M129" s="4"/>
      <c r="N129" s="4"/>
      <c r="O129" s="4"/>
      <c r="P129" s="4"/>
      <c r="Q129" s="4"/>
      <c r="R129" s="4"/>
      <c r="S129" s="4"/>
      <c r="T129" s="4"/>
      <c r="U129" s="4"/>
      <c r="V129" s="4"/>
      <c r="W129" s="4"/>
      <c r="X129" s="4"/>
      <c r="Y129" s="4"/>
      <c r="Z129" s="4"/>
    </row>
    <row r="130" ht="15.75" customHeight="1">
      <c r="A130" s="1"/>
      <c r="B130" s="1"/>
      <c r="C130" s="1"/>
      <c r="D130" s="1"/>
      <c r="E130" s="1"/>
      <c r="F130" s="1"/>
      <c r="G130" s="4"/>
      <c r="H130" s="4"/>
      <c r="I130" s="4"/>
      <c r="J130" s="4"/>
      <c r="K130" s="4"/>
      <c r="L130" s="4"/>
      <c r="M130" s="4"/>
      <c r="N130" s="4"/>
      <c r="O130" s="4"/>
      <c r="P130" s="4"/>
      <c r="Q130" s="4"/>
      <c r="R130" s="4"/>
      <c r="S130" s="4"/>
      <c r="T130" s="4"/>
      <c r="U130" s="4"/>
      <c r="V130" s="4"/>
      <c r="W130" s="4"/>
      <c r="X130" s="4"/>
      <c r="Y130" s="4"/>
      <c r="Z130" s="4"/>
    </row>
    <row r="131" ht="15.75" customHeight="1">
      <c r="A131" s="1"/>
      <c r="B131" s="1"/>
      <c r="C131" s="1"/>
      <c r="D131" s="1"/>
      <c r="E131" s="1"/>
      <c r="F131" s="1"/>
      <c r="G131" s="4"/>
      <c r="H131" s="4"/>
      <c r="I131" s="4"/>
      <c r="J131" s="4"/>
      <c r="K131" s="4"/>
      <c r="L131" s="4"/>
      <c r="M131" s="4"/>
      <c r="N131" s="4"/>
      <c r="O131" s="4"/>
      <c r="P131" s="4"/>
      <c r="Q131" s="4"/>
      <c r="R131" s="4"/>
      <c r="S131" s="4"/>
      <c r="T131" s="4"/>
      <c r="U131" s="4"/>
      <c r="V131" s="4"/>
      <c r="W131" s="4"/>
      <c r="X131" s="4"/>
      <c r="Y131" s="4"/>
      <c r="Z131" s="4"/>
    </row>
    <row r="132" ht="15.75" customHeight="1">
      <c r="A132" s="1"/>
      <c r="B132" s="1"/>
      <c r="C132" s="1"/>
      <c r="D132" s="1"/>
      <c r="E132" s="1"/>
      <c r="F132" s="1"/>
      <c r="G132" s="4"/>
      <c r="H132" s="4"/>
      <c r="I132" s="4"/>
      <c r="J132" s="4"/>
      <c r="K132" s="4"/>
      <c r="L132" s="4"/>
      <c r="M132" s="4"/>
      <c r="N132" s="4"/>
      <c r="O132" s="4"/>
      <c r="P132" s="4"/>
      <c r="Q132" s="4"/>
      <c r="R132" s="4"/>
      <c r="S132" s="4"/>
      <c r="T132" s="4"/>
      <c r="U132" s="4"/>
      <c r="V132" s="4"/>
      <c r="W132" s="4"/>
      <c r="X132" s="4"/>
      <c r="Y132" s="4"/>
      <c r="Z132" s="4"/>
    </row>
    <row r="133" ht="15.75" customHeight="1">
      <c r="A133" s="1"/>
      <c r="B133" s="1"/>
      <c r="C133" s="1"/>
      <c r="D133" s="1"/>
      <c r="E133" s="1"/>
      <c r="F133" s="1"/>
      <c r="G133" s="4"/>
      <c r="H133" s="4"/>
      <c r="I133" s="4"/>
      <c r="J133" s="4"/>
      <c r="K133" s="4"/>
      <c r="L133" s="4"/>
      <c r="M133" s="4"/>
      <c r="N133" s="4"/>
      <c r="O133" s="4"/>
      <c r="P133" s="4"/>
      <c r="Q133" s="4"/>
      <c r="R133" s="4"/>
      <c r="S133" s="4"/>
      <c r="T133" s="4"/>
      <c r="U133" s="4"/>
      <c r="V133" s="4"/>
      <c r="W133" s="4"/>
      <c r="X133" s="4"/>
      <c r="Y133" s="4"/>
      <c r="Z133" s="4"/>
    </row>
    <row r="134" ht="15.75" customHeight="1">
      <c r="A134" s="1"/>
      <c r="B134" s="1"/>
      <c r="C134" s="1"/>
      <c r="D134" s="1"/>
      <c r="E134" s="1"/>
      <c r="F134" s="1"/>
      <c r="G134" s="4"/>
      <c r="H134" s="4"/>
      <c r="I134" s="4"/>
      <c r="J134" s="4"/>
      <c r="K134" s="4"/>
      <c r="L134" s="4"/>
      <c r="M134" s="4"/>
      <c r="N134" s="4"/>
      <c r="O134" s="4"/>
      <c r="P134" s="4"/>
      <c r="Q134" s="4"/>
      <c r="R134" s="4"/>
      <c r="S134" s="4"/>
      <c r="T134" s="4"/>
      <c r="U134" s="4"/>
      <c r="V134" s="4"/>
      <c r="W134" s="4"/>
      <c r="X134" s="4"/>
      <c r="Y134" s="4"/>
      <c r="Z134" s="4"/>
    </row>
    <row r="135" ht="15.75" customHeight="1">
      <c r="A135" s="1"/>
      <c r="B135" s="1"/>
      <c r="C135" s="1"/>
      <c r="D135" s="1"/>
      <c r="E135" s="1"/>
      <c r="F135" s="1"/>
      <c r="G135" s="4"/>
      <c r="H135" s="4"/>
      <c r="I135" s="4"/>
      <c r="J135" s="4"/>
      <c r="K135" s="4"/>
      <c r="L135" s="4"/>
      <c r="M135" s="4"/>
      <c r="N135" s="4"/>
      <c r="O135" s="4"/>
      <c r="P135" s="4"/>
      <c r="Q135" s="4"/>
      <c r="R135" s="4"/>
      <c r="S135" s="4"/>
      <c r="T135" s="4"/>
      <c r="U135" s="4"/>
      <c r="V135" s="4"/>
      <c r="W135" s="4"/>
      <c r="X135" s="4"/>
      <c r="Y135" s="4"/>
      <c r="Z135" s="4"/>
    </row>
    <row r="136" ht="15.75" customHeight="1">
      <c r="A136" s="1"/>
      <c r="B136" s="1"/>
      <c r="C136" s="1"/>
      <c r="D136" s="1"/>
      <c r="E136" s="1"/>
      <c r="F136" s="1"/>
      <c r="G136" s="4"/>
      <c r="H136" s="4"/>
      <c r="I136" s="4"/>
      <c r="J136" s="4"/>
      <c r="K136" s="4"/>
      <c r="L136" s="4"/>
      <c r="M136" s="4"/>
      <c r="N136" s="4"/>
      <c r="O136" s="4"/>
      <c r="P136" s="4"/>
      <c r="Q136" s="4"/>
      <c r="R136" s="4"/>
      <c r="S136" s="4"/>
      <c r="T136" s="4"/>
      <c r="U136" s="4"/>
      <c r="V136" s="4"/>
      <c r="W136" s="4"/>
      <c r="X136" s="4"/>
      <c r="Y136" s="4"/>
      <c r="Z136" s="4"/>
    </row>
    <row r="137" ht="15.75" customHeight="1">
      <c r="A137" s="1"/>
      <c r="B137" s="1"/>
      <c r="C137" s="1"/>
      <c r="D137" s="1"/>
      <c r="E137" s="1"/>
      <c r="F137" s="1"/>
      <c r="G137" s="4"/>
      <c r="H137" s="4"/>
      <c r="I137" s="4"/>
      <c r="J137" s="4"/>
      <c r="K137" s="4"/>
      <c r="L137" s="4"/>
      <c r="M137" s="4"/>
      <c r="N137" s="4"/>
      <c r="O137" s="4"/>
      <c r="P137" s="4"/>
      <c r="Q137" s="4"/>
      <c r="R137" s="4"/>
      <c r="S137" s="4"/>
      <c r="T137" s="4"/>
      <c r="U137" s="4"/>
      <c r="V137" s="4"/>
      <c r="W137" s="4"/>
      <c r="X137" s="4"/>
      <c r="Y137" s="4"/>
      <c r="Z137" s="4"/>
    </row>
    <row r="138" ht="15.75" customHeight="1">
      <c r="A138" s="1"/>
      <c r="B138" s="1"/>
      <c r="C138" s="1"/>
      <c r="D138" s="1"/>
      <c r="E138" s="1"/>
      <c r="F138" s="1"/>
      <c r="G138" s="4"/>
      <c r="H138" s="4"/>
      <c r="I138" s="4"/>
      <c r="J138" s="4"/>
      <c r="K138" s="4"/>
      <c r="L138" s="4"/>
      <c r="M138" s="4"/>
      <c r="N138" s="4"/>
      <c r="O138" s="4"/>
      <c r="P138" s="4"/>
      <c r="Q138" s="4"/>
      <c r="R138" s="4"/>
      <c r="S138" s="4"/>
      <c r="T138" s="4"/>
      <c r="U138" s="4"/>
      <c r="V138" s="4"/>
      <c r="W138" s="4"/>
      <c r="X138" s="4"/>
      <c r="Y138" s="4"/>
      <c r="Z138" s="4"/>
    </row>
    <row r="139" ht="15.75" customHeight="1">
      <c r="A139" s="1"/>
      <c r="B139" s="1"/>
      <c r="C139" s="1"/>
      <c r="D139" s="1"/>
      <c r="E139" s="1"/>
      <c r="F139" s="1"/>
      <c r="G139" s="4"/>
      <c r="H139" s="4"/>
      <c r="I139" s="4"/>
      <c r="J139" s="4"/>
      <c r="K139" s="4"/>
      <c r="L139" s="4"/>
      <c r="M139" s="4"/>
      <c r="N139" s="4"/>
      <c r="O139" s="4"/>
      <c r="P139" s="4"/>
      <c r="Q139" s="4"/>
      <c r="R139" s="4"/>
      <c r="S139" s="4"/>
      <c r="T139" s="4"/>
      <c r="U139" s="4"/>
      <c r="V139" s="4"/>
      <c r="W139" s="4"/>
      <c r="X139" s="4"/>
      <c r="Y139" s="4"/>
      <c r="Z139" s="4"/>
    </row>
    <row r="140" ht="15.75" customHeight="1">
      <c r="A140" s="1"/>
      <c r="B140" s="1"/>
      <c r="C140" s="1"/>
      <c r="D140" s="1"/>
      <c r="E140" s="1"/>
      <c r="F140" s="1"/>
      <c r="G140" s="4"/>
      <c r="H140" s="4"/>
      <c r="I140" s="4"/>
      <c r="J140" s="4"/>
      <c r="K140" s="4"/>
      <c r="L140" s="4"/>
      <c r="M140" s="4"/>
      <c r="N140" s="4"/>
      <c r="O140" s="4"/>
      <c r="P140" s="4"/>
      <c r="Q140" s="4"/>
      <c r="R140" s="4"/>
      <c r="S140" s="4"/>
      <c r="T140" s="4"/>
      <c r="U140" s="4"/>
      <c r="V140" s="4"/>
      <c r="W140" s="4"/>
      <c r="X140" s="4"/>
      <c r="Y140" s="4"/>
      <c r="Z140" s="4"/>
    </row>
    <row r="141" ht="15.75" customHeight="1">
      <c r="A141" s="1"/>
      <c r="B141" s="1"/>
      <c r="C141" s="1"/>
      <c r="D141" s="1"/>
      <c r="E141" s="1"/>
      <c r="F141" s="1"/>
      <c r="G141" s="4"/>
      <c r="H141" s="4"/>
      <c r="I141" s="4"/>
      <c r="J141" s="4"/>
      <c r="K141" s="4"/>
      <c r="L141" s="4"/>
      <c r="M141" s="4"/>
      <c r="N141" s="4"/>
      <c r="O141" s="4"/>
      <c r="P141" s="4"/>
      <c r="Q141" s="4"/>
      <c r="R141" s="4"/>
      <c r="S141" s="4"/>
      <c r="T141" s="4"/>
      <c r="U141" s="4"/>
      <c r="V141" s="4"/>
      <c r="W141" s="4"/>
      <c r="X141" s="4"/>
      <c r="Y141" s="4"/>
      <c r="Z141" s="4"/>
    </row>
    <row r="142" ht="15.75" customHeight="1">
      <c r="A142" s="1"/>
      <c r="B142" s="1"/>
      <c r="C142" s="1"/>
      <c r="D142" s="1"/>
      <c r="E142" s="1"/>
      <c r="F142" s="1"/>
      <c r="G142" s="4"/>
      <c r="H142" s="4"/>
      <c r="I142" s="4"/>
      <c r="J142" s="4"/>
      <c r="K142" s="4"/>
      <c r="L142" s="4"/>
      <c r="M142" s="4"/>
      <c r="N142" s="4"/>
      <c r="O142" s="4"/>
      <c r="P142" s="4"/>
      <c r="Q142" s="4"/>
      <c r="R142" s="4"/>
      <c r="S142" s="4"/>
      <c r="T142" s="4"/>
      <c r="U142" s="4"/>
      <c r="V142" s="4"/>
      <c r="W142" s="4"/>
      <c r="X142" s="4"/>
      <c r="Y142" s="4"/>
      <c r="Z142" s="4"/>
    </row>
    <row r="143" ht="15.75" customHeight="1">
      <c r="A143" s="1"/>
      <c r="B143" s="1"/>
      <c r="C143" s="1"/>
      <c r="D143" s="1"/>
      <c r="E143" s="1"/>
      <c r="F143" s="1"/>
      <c r="G143" s="4"/>
      <c r="H143" s="4"/>
      <c r="I143" s="4"/>
      <c r="J143" s="4"/>
      <c r="K143" s="4"/>
      <c r="L143" s="4"/>
      <c r="M143" s="4"/>
      <c r="N143" s="4"/>
      <c r="O143" s="4"/>
      <c r="P143" s="4"/>
      <c r="Q143" s="4"/>
      <c r="R143" s="4"/>
      <c r="S143" s="4"/>
      <c r="T143" s="4"/>
      <c r="U143" s="4"/>
      <c r="V143" s="4"/>
      <c r="W143" s="4"/>
      <c r="X143" s="4"/>
      <c r="Y143" s="4"/>
      <c r="Z143" s="4"/>
    </row>
    <row r="144" ht="15.75" customHeight="1">
      <c r="A144" s="1"/>
      <c r="B144" s="1"/>
      <c r="C144" s="1"/>
      <c r="D144" s="1"/>
      <c r="E144" s="1"/>
      <c r="F144" s="1"/>
      <c r="G144" s="4"/>
      <c r="H144" s="4"/>
      <c r="I144" s="4"/>
      <c r="J144" s="4"/>
      <c r="K144" s="4"/>
      <c r="L144" s="4"/>
      <c r="M144" s="4"/>
      <c r="N144" s="4"/>
      <c r="O144" s="4"/>
      <c r="P144" s="4"/>
      <c r="Q144" s="4"/>
      <c r="R144" s="4"/>
      <c r="S144" s="4"/>
      <c r="T144" s="4"/>
      <c r="U144" s="4"/>
      <c r="V144" s="4"/>
      <c r="W144" s="4"/>
      <c r="X144" s="4"/>
      <c r="Y144" s="4"/>
      <c r="Z144" s="4"/>
    </row>
    <row r="145" ht="15.75" customHeight="1">
      <c r="A145" s="1"/>
      <c r="B145" s="1"/>
      <c r="C145" s="1"/>
      <c r="D145" s="1"/>
      <c r="E145" s="1"/>
      <c r="F145" s="1"/>
      <c r="G145" s="4"/>
      <c r="H145" s="4"/>
      <c r="I145" s="4"/>
      <c r="J145" s="4"/>
      <c r="K145" s="4"/>
      <c r="L145" s="4"/>
      <c r="M145" s="4"/>
      <c r="N145" s="4"/>
      <c r="O145" s="4"/>
      <c r="P145" s="4"/>
      <c r="Q145" s="4"/>
      <c r="R145" s="4"/>
      <c r="S145" s="4"/>
      <c r="T145" s="4"/>
      <c r="U145" s="4"/>
      <c r="V145" s="4"/>
      <c r="W145" s="4"/>
      <c r="X145" s="4"/>
      <c r="Y145" s="4"/>
      <c r="Z145" s="4"/>
    </row>
    <row r="146" ht="15.75" customHeight="1">
      <c r="A146" s="1"/>
      <c r="B146" s="1"/>
      <c r="C146" s="1"/>
      <c r="D146" s="1"/>
      <c r="E146" s="1"/>
      <c r="F146" s="1"/>
      <c r="G146" s="4"/>
      <c r="H146" s="4"/>
      <c r="I146" s="4"/>
      <c r="J146" s="4"/>
      <c r="K146" s="4"/>
      <c r="L146" s="4"/>
      <c r="M146" s="4"/>
      <c r="N146" s="4"/>
      <c r="O146" s="4"/>
      <c r="P146" s="4"/>
      <c r="Q146" s="4"/>
      <c r="R146" s="4"/>
      <c r="S146" s="4"/>
      <c r="T146" s="4"/>
      <c r="U146" s="4"/>
      <c r="V146" s="4"/>
      <c r="W146" s="4"/>
      <c r="X146" s="4"/>
      <c r="Y146" s="4"/>
      <c r="Z146" s="4"/>
    </row>
    <row r="147" ht="15.75" customHeight="1">
      <c r="A147" s="1"/>
      <c r="B147" s="1"/>
      <c r="C147" s="1"/>
      <c r="D147" s="1"/>
      <c r="E147" s="1"/>
      <c r="F147" s="1"/>
      <c r="G147" s="4"/>
      <c r="H147" s="4"/>
      <c r="I147" s="4"/>
      <c r="J147" s="4"/>
      <c r="K147" s="4"/>
      <c r="L147" s="4"/>
      <c r="M147" s="4"/>
      <c r="N147" s="4"/>
      <c r="O147" s="4"/>
      <c r="P147" s="4"/>
      <c r="Q147" s="4"/>
      <c r="R147" s="4"/>
      <c r="S147" s="4"/>
      <c r="T147" s="4"/>
      <c r="U147" s="4"/>
      <c r="V147" s="4"/>
      <c r="W147" s="4"/>
      <c r="X147" s="4"/>
      <c r="Y147" s="4"/>
      <c r="Z147" s="4"/>
    </row>
    <row r="148" ht="15.75" customHeight="1">
      <c r="A148" s="1"/>
      <c r="B148" s="1"/>
      <c r="C148" s="1"/>
      <c r="D148" s="1"/>
      <c r="E148" s="1"/>
      <c r="F148" s="1"/>
      <c r="G148" s="4"/>
      <c r="H148" s="4"/>
      <c r="I148" s="4"/>
      <c r="J148" s="4"/>
      <c r="K148" s="4"/>
      <c r="L148" s="4"/>
      <c r="M148" s="4"/>
      <c r="N148" s="4"/>
      <c r="O148" s="4"/>
      <c r="P148" s="4"/>
      <c r="Q148" s="4"/>
      <c r="R148" s="4"/>
      <c r="S148" s="4"/>
      <c r="T148" s="4"/>
      <c r="U148" s="4"/>
      <c r="V148" s="4"/>
      <c r="W148" s="4"/>
      <c r="X148" s="4"/>
      <c r="Y148" s="4"/>
      <c r="Z148" s="4"/>
    </row>
    <row r="149" ht="15.75" customHeight="1">
      <c r="A149" s="1"/>
      <c r="B149" s="1"/>
      <c r="C149" s="1"/>
      <c r="D149" s="1"/>
      <c r="E149" s="1"/>
      <c r="F149" s="1"/>
      <c r="G149" s="4"/>
      <c r="H149" s="4"/>
      <c r="I149" s="4"/>
      <c r="J149" s="4"/>
      <c r="K149" s="4"/>
      <c r="L149" s="4"/>
      <c r="M149" s="4"/>
      <c r="N149" s="4"/>
      <c r="O149" s="4"/>
      <c r="P149" s="4"/>
      <c r="Q149" s="4"/>
      <c r="R149" s="4"/>
      <c r="S149" s="4"/>
      <c r="T149" s="4"/>
      <c r="U149" s="4"/>
      <c r="V149" s="4"/>
      <c r="W149" s="4"/>
      <c r="X149" s="4"/>
      <c r="Y149" s="4"/>
      <c r="Z149" s="4"/>
    </row>
    <row r="150" ht="15.75" customHeight="1">
      <c r="A150" s="1"/>
      <c r="B150" s="1"/>
      <c r="C150" s="1"/>
      <c r="D150" s="1"/>
      <c r="E150" s="1"/>
      <c r="F150" s="1"/>
      <c r="G150" s="4"/>
      <c r="H150" s="4"/>
      <c r="I150" s="4"/>
      <c r="J150" s="4"/>
      <c r="K150" s="4"/>
      <c r="L150" s="4"/>
      <c r="M150" s="4"/>
      <c r="N150" s="4"/>
      <c r="O150" s="4"/>
      <c r="P150" s="4"/>
      <c r="Q150" s="4"/>
      <c r="R150" s="4"/>
      <c r="S150" s="4"/>
      <c r="T150" s="4"/>
      <c r="U150" s="4"/>
      <c r="V150" s="4"/>
      <c r="W150" s="4"/>
      <c r="X150" s="4"/>
      <c r="Y150" s="4"/>
      <c r="Z150" s="4"/>
    </row>
    <row r="151" ht="15.75" customHeight="1">
      <c r="A151" s="1"/>
      <c r="B151" s="1"/>
      <c r="C151" s="1"/>
      <c r="D151" s="1"/>
      <c r="E151" s="1"/>
      <c r="F151" s="1"/>
      <c r="G151" s="4"/>
      <c r="H151" s="4"/>
      <c r="I151" s="4"/>
      <c r="J151" s="4"/>
      <c r="K151" s="4"/>
      <c r="L151" s="4"/>
      <c r="M151" s="4"/>
      <c r="N151" s="4"/>
      <c r="O151" s="4"/>
      <c r="P151" s="4"/>
      <c r="Q151" s="4"/>
      <c r="R151" s="4"/>
      <c r="S151" s="4"/>
      <c r="T151" s="4"/>
      <c r="U151" s="4"/>
      <c r="V151" s="4"/>
      <c r="W151" s="4"/>
      <c r="X151" s="4"/>
      <c r="Y151" s="4"/>
      <c r="Z151" s="4"/>
    </row>
    <row r="152" ht="15.75" customHeight="1">
      <c r="A152" s="1"/>
      <c r="B152" s="1"/>
      <c r="C152" s="1"/>
      <c r="D152" s="1"/>
      <c r="E152" s="1"/>
      <c r="F152" s="1"/>
      <c r="G152" s="4"/>
      <c r="H152" s="4"/>
      <c r="I152" s="4"/>
      <c r="J152" s="4"/>
      <c r="K152" s="4"/>
      <c r="L152" s="4"/>
      <c r="M152" s="4"/>
      <c r="N152" s="4"/>
      <c r="O152" s="4"/>
      <c r="P152" s="4"/>
      <c r="Q152" s="4"/>
      <c r="R152" s="4"/>
      <c r="S152" s="4"/>
      <c r="T152" s="4"/>
      <c r="U152" s="4"/>
      <c r="V152" s="4"/>
      <c r="W152" s="4"/>
      <c r="X152" s="4"/>
      <c r="Y152" s="4"/>
      <c r="Z152" s="4"/>
    </row>
    <row r="153" ht="15.75" customHeight="1">
      <c r="A153" s="1"/>
      <c r="B153" s="1"/>
      <c r="C153" s="1"/>
      <c r="D153" s="1"/>
      <c r="E153" s="1"/>
      <c r="F153" s="1"/>
      <c r="G153" s="4"/>
      <c r="H153" s="4"/>
      <c r="I153" s="4"/>
      <c r="J153" s="4"/>
      <c r="K153" s="4"/>
      <c r="L153" s="4"/>
      <c r="M153" s="4"/>
      <c r="N153" s="4"/>
      <c r="O153" s="4"/>
      <c r="P153" s="4"/>
      <c r="Q153" s="4"/>
      <c r="R153" s="4"/>
      <c r="S153" s="4"/>
      <c r="T153" s="4"/>
      <c r="U153" s="4"/>
      <c r="V153" s="4"/>
      <c r="W153" s="4"/>
      <c r="X153" s="4"/>
      <c r="Y153" s="4"/>
      <c r="Z153" s="4"/>
    </row>
    <row r="154" ht="15.75" customHeight="1">
      <c r="A154" s="1"/>
      <c r="B154" s="1"/>
      <c r="C154" s="1"/>
      <c r="D154" s="1"/>
      <c r="E154" s="1"/>
      <c r="F154" s="1"/>
      <c r="G154" s="4"/>
      <c r="H154" s="4"/>
      <c r="I154" s="4"/>
      <c r="J154" s="4"/>
      <c r="K154" s="4"/>
      <c r="L154" s="4"/>
      <c r="M154" s="4"/>
      <c r="N154" s="4"/>
      <c r="O154" s="4"/>
      <c r="P154" s="4"/>
      <c r="Q154" s="4"/>
      <c r="R154" s="4"/>
      <c r="S154" s="4"/>
      <c r="T154" s="4"/>
      <c r="U154" s="4"/>
      <c r="V154" s="4"/>
      <c r="W154" s="4"/>
      <c r="X154" s="4"/>
      <c r="Y154" s="4"/>
      <c r="Z154" s="4"/>
    </row>
    <row r="155" ht="15.75" customHeight="1">
      <c r="A155" s="1"/>
      <c r="B155" s="1"/>
      <c r="C155" s="1"/>
      <c r="D155" s="1"/>
      <c r="E155" s="1"/>
      <c r="F155" s="1"/>
      <c r="G155" s="4"/>
      <c r="H155" s="4"/>
      <c r="I155" s="4"/>
      <c r="J155" s="4"/>
      <c r="K155" s="4"/>
      <c r="L155" s="4"/>
      <c r="M155" s="4"/>
      <c r="N155" s="4"/>
      <c r="O155" s="4"/>
      <c r="P155" s="4"/>
      <c r="Q155" s="4"/>
      <c r="R155" s="4"/>
      <c r="S155" s="4"/>
      <c r="T155" s="4"/>
      <c r="U155" s="4"/>
      <c r="V155" s="4"/>
      <c r="W155" s="4"/>
      <c r="X155" s="4"/>
      <c r="Y155" s="4"/>
      <c r="Z155" s="4"/>
    </row>
    <row r="156" ht="15.75" customHeight="1">
      <c r="A156" s="1"/>
      <c r="B156" s="1"/>
      <c r="C156" s="1"/>
      <c r="D156" s="1"/>
      <c r="E156" s="1"/>
      <c r="F156" s="1"/>
      <c r="G156" s="4"/>
      <c r="H156" s="4"/>
      <c r="I156" s="4"/>
      <c r="J156" s="4"/>
      <c r="K156" s="4"/>
      <c r="L156" s="4"/>
      <c r="M156" s="4"/>
      <c r="N156" s="4"/>
      <c r="O156" s="4"/>
      <c r="P156" s="4"/>
      <c r="Q156" s="4"/>
      <c r="R156" s="4"/>
      <c r="S156" s="4"/>
      <c r="T156" s="4"/>
      <c r="U156" s="4"/>
      <c r="V156" s="4"/>
      <c r="W156" s="4"/>
      <c r="X156" s="4"/>
      <c r="Y156" s="4"/>
      <c r="Z156" s="4"/>
    </row>
    <row r="157" ht="15.75" customHeight="1">
      <c r="A157" s="1"/>
      <c r="B157" s="1"/>
      <c r="C157" s="1"/>
      <c r="D157" s="1"/>
      <c r="E157" s="1"/>
      <c r="F157" s="1"/>
      <c r="G157" s="4"/>
      <c r="H157" s="4"/>
      <c r="I157" s="4"/>
      <c r="J157" s="4"/>
      <c r="K157" s="4"/>
      <c r="L157" s="4"/>
      <c r="M157" s="4"/>
      <c r="N157" s="4"/>
      <c r="O157" s="4"/>
      <c r="P157" s="4"/>
      <c r="Q157" s="4"/>
      <c r="R157" s="4"/>
      <c r="S157" s="4"/>
      <c r="T157" s="4"/>
      <c r="U157" s="4"/>
      <c r="V157" s="4"/>
      <c r="W157" s="4"/>
      <c r="X157" s="4"/>
      <c r="Y157" s="4"/>
      <c r="Z157" s="4"/>
    </row>
    <row r="158" ht="15.75" customHeight="1">
      <c r="A158" s="1"/>
      <c r="B158" s="1"/>
      <c r="C158" s="1"/>
      <c r="D158" s="1"/>
      <c r="E158" s="1"/>
      <c r="F158" s="1"/>
      <c r="G158" s="4"/>
      <c r="H158" s="4"/>
      <c r="I158" s="4"/>
      <c r="J158" s="4"/>
      <c r="K158" s="4"/>
      <c r="L158" s="4"/>
      <c r="M158" s="4"/>
      <c r="N158" s="4"/>
      <c r="O158" s="4"/>
      <c r="P158" s="4"/>
      <c r="Q158" s="4"/>
      <c r="R158" s="4"/>
      <c r="S158" s="4"/>
      <c r="T158" s="4"/>
      <c r="U158" s="4"/>
      <c r="V158" s="4"/>
      <c r="W158" s="4"/>
      <c r="X158" s="4"/>
      <c r="Y158" s="4"/>
      <c r="Z158" s="4"/>
    </row>
    <row r="159" ht="15.75" customHeight="1">
      <c r="A159" s="1"/>
      <c r="B159" s="1"/>
      <c r="C159" s="1"/>
      <c r="D159" s="1"/>
      <c r="E159" s="1"/>
      <c r="F159" s="1"/>
      <c r="G159" s="4"/>
      <c r="H159" s="4"/>
      <c r="I159" s="4"/>
      <c r="J159" s="4"/>
      <c r="K159" s="4"/>
      <c r="L159" s="4"/>
      <c r="M159" s="4"/>
      <c r="N159" s="4"/>
      <c r="O159" s="4"/>
      <c r="P159" s="4"/>
      <c r="Q159" s="4"/>
      <c r="R159" s="4"/>
      <c r="S159" s="4"/>
      <c r="T159" s="4"/>
      <c r="U159" s="4"/>
      <c r="V159" s="4"/>
      <c r="W159" s="4"/>
      <c r="X159" s="4"/>
      <c r="Y159" s="4"/>
      <c r="Z159" s="4"/>
    </row>
    <row r="160" ht="15.75" customHeight="1">
      <c r="A160" s="1"/>
      <c r="B160" s="1"/>
      <c r="C160" s="1"/>
      <c r="D160" s="1"/>
      <c r="E160" s="1"/>
      <c r="F160" s="1"/>
      <c r="G160" s="4"/>
      <c r="H160" s="4"/>
      <c r="I160" s="4"/>
      <c r="J160" s="4"/>
      <c r="K160" s="4"/>
      <c r="L160" s="4"/>
      <c r="M160" s="4"/>
      <c r="N160" s="4"/>
      <c r="O160" s="4"/>
      <c r="P160" s="4"/>
      <c r="Q160" s="4"/>
      <c r="R160" s="4"/>
      <c r="S160" s="4"/>
      <c r="T160" s="4"/>
      <c r="U160" s="4"/>
      <c r="V160" s="4"/>
      <c r="W160" s="4"/>
      <c r="X160" s="4"/>
      <c r="Y160" s="4"/>
      <c r="Z160" s="4"/>
    </row>
    <row r="161" ht="15.75" customHeight="1">
      <c r="A161" s="1"/>
      <c r="B161" s="1"/>
      <c r="C161" s="1"/>
      <c r="D161" s="1"/>
      <c r="E161" s="1"/>
      <c r="F161" s="1"/>
      <c r="G161" s="4"/>
      <c r="H161" s="4"/>
      <c r="I161" s="4"/>
      <c r="J161" s="4"/>
      <c r="K161" s="4"/>
      <c r="L161" s="4"/>
      <c r="M161" s="4"/>
      <c r="N161" s="4"/>
      <c r="O161" s="4"/>
      <c r="P161" s="4"/>
      <c r="Q161" s="4"/>
      <c r="R161" s="4"/>
      <c r="S161" s="4"/>
      <c r="T161" s="4"/>
      <c r="U161" s="4"/>
      <c r="V161" s="4"/>
      <c r="W161" s="4"/>
      <c r="X161" s="4"/>
      <c r="Y161" s="4"/>
      <c r="Z161" s="4"/>
    </row>
    <row r="162" ht="15.75" customHeight="1">
      <c r="A162" s="1"/>
      <c r="B162" s="1"/>
      <c r="C162" s="1"/>
      <c r="D162" s="1"/>
      <c r="E162" s="1"/>
      <c r="F162" s="1"/>
      <c r="G162" s="4"/>
      <c r="H162" s="4"/>
      <c r="I162" s="4"/>
      <c r="J162" s="4"/>
      <c r="K162" s="4"/>
      <c r="L162" s="4"/>
      <c r="M162" s="4"/>
      <c r="N162" s="4"/>
      <c r="O162" s="4"/>
      <c r="P162" s="4"/>
      <c r="Q162" s="4"/>
      <c r="R162" s="4"/>
      <c r="S162" s="4"/>
      <c r="T162" s="4"/>
      <c r="U162" s="4"/>
      <c r="V162" s="4"/>
      <c r="W162" s="4"/>
      <c r="X162" s="4"/>
      <c r="Y162" s="4"/>
      <c r="Z162" s="4"/>
    </row>
    <row r="163" ht="15.75" customHeight="1">
      <c r="A163" s="1"/>
      <c r="B163" s="1"/>
      <c r="C163" s="1"/>
      <c r="D163" s="1"/>
      <c r="E163" s="1"/>
      <c r="F163" s="1"/>
      <c r="G163" s="4"/>
      <c r="H163" s="4"/>
      <c r="I163" s="4"/>
      <c r="J163" s="4"/>
      <c r="K163" s="4"/>
      <c r="L163" s="4"/>
      <c r="M163" s="4"/>
      <c r="N163" s="4"/>
      <c r="O163" s="4"/>
      <c r="P163" s="4"/>
      <c r="Q163" s="4"/>
      <c r="R163" s="4"/>
      <c r="S163" s="4"/>
      <c r="T163" s="4"/>
      <c r="U163" s="4"/>
      <c r="V163" s="4"/>
      <c r="W163" s="4"/>
      <c r="X163" s="4"/>
      <c r="Y163" s="4"/>
      <c r="Z163" s="4"/>
    </row>
    <row r="164" ht="15.75" customHeight="1">
      <c r="A164" s="1"/>
      <c r="B164" s="1"/>
      <c r="C164" s="1"/>
      <c r="D164" s="1"/>
      <c r="E164" s="1"/>
      <c r="F164" s="1"/>
      <c r="G164" s="4"/>
      <c r="H164" s="4"/>
      <c r="I164" s="4"/>
      <c r="J164" s="4"/>
      <c r="K164" s="4"/>
      <c r="L164" s="4"/>
      <c r="M164" s="4"/>
      <c r="N164" s="4"/>
      <c r="O164" s="4"/>
      <c r="P164" s="4"/>
      <c r="Q164" s="4"/>
      <c r="R164" s="4"/>
      <c r="S164" s="4"/>
      <c r="T164" s="4"/>
      <c r="U164" s="4"/>
      <c r="V164" s="4"/>
      <c r="W164" s="4"/>
      <c r="X164" s="4"/>
      <c r="Y164" s="4"/>
      <c r="Z164" s="4"/>
    </row>
    <row r="165" ht="15.75" customHeight="1">
      <c r="A165" s="1"/>
      <c r="B165" s="1"/>
      <c r="C165" s="1"/>
      <c r="D165" s="1"/>
      <c r="E165" s="1"/>
      <c r="F165" s="1"/>
      <c r="G165" s="4"/>
      <c r="H165" s="4"/>
      <c r="I165" s="4"/>
      <c r="J165" s="4"/>
      <c r="K165" s="4"/>
      <c r="L165" s="4"/>
      <c r="M165" s="4"/>
      <c r="N165" s="4"/>
      <c r="O165" s="4"/>
      <c r="P165" s="4"/>
      <c r="Q165" s="4"/>
      <c r="R165" s="4"/>
      <c r="S165" s="4"/>
      <c r="T165" s="4"/>
      <c r="U165" s="4"/>
      <c r="V165" s="4"/>
      <c r="W165" s="4"/>
      <c r="X165" s="4"/>
      <c r="Y165" s="4"/>
      <c r="Z165" s="4"/>
    </row>
    <row r="166" ht="15.75" customHeight="1">
      <c r="A166" s="1"/>
      <c r="B166" s="1"/>
      <c r="C166" s="1"/>
      <c r="D166" s="1"/>
      <c r="E166" s="1"/>
      <c r="F166" s="1"/>
      <c r="G166" s="4"/>
      <c r="H166" s="4"/>
      <c r="I166" s="4"/>
      <c r="J166" s="4"/>
      <c r="K166" s="4"/>
      <c r="L166" s="4"/>
      <c r="M166" s="4"/>
      <c r="N166" s="4"/>
      <c r="O166" s="4"/>
      <c r="P166" s="4"/>
      <c r="Q166" s="4"/>
      <c r="R166" s="4"/>
      <c r="S166" s="4"/>
      <c r="T166" s="4"/>
      <c r="U166" s="4"/>
      <c r="V166" s="4"/>
      <c r="W166" s="4"/>
      <c r="X166" s="4"/>
      <c r="Y166" s="4"/>
      <c r="Z166" s="4"/>
    </row>
    <row r="167" ht="15.75" customHeight="1">
      <c r="A167" s="1"/>
      <c r="B167" s="1"/>
      <c r="C167" s="1"/>
      <c r="D167" s="1"/>
      <c r="E167" s="1"/>
      <c r="F167" s="1"/>
      <c r="G167" s="4"/>
      <c r="H167" s="4"/>
      <c r="I167" s="4"/>
      <c r="J167" s="4"/>
      <c r="K167" s="4"/>
      <c r="L167" s="4"/>
      <c r="M167" s="4"/>
      <c r="N167" s="4"/>
      <c r="O167" s="4"/>
      <c r="P167" s="4"/>
      <c r="Q167" s="4"/>
      <c r="R167" s="4"/>
      <c r="S167" s="4"/>
      <c r="T167" s="4"/>
      <c r="U167" s="4"/>
      <c r="V167" s="4"/>
      <c r="W167" s="4"/>
      <c r="X167" s="4"/>
      <c r="Y167" s="4"/>
      <c r="Z167" s="4"/>
    </row>
    <row r="168" ht="15.75" customHeight="1">
      <c r="A168" s="1"/>
      <c r="B168" s="1"/>
      <c r="C168" s="1"/>
      <c r="D168" s="1"/>
      <c r="E168" s="1"/>
      <c r="F168" s="1"/>
      <c r="G168" s="4"/>
      <c r="H168" s="4"/>
      <c r="I168" s="4"/>
      <c r="J168" s="4"/>
      <c r="K168" s="4"/>
      <c r="L168" s="4"/>
      <c r="M168" s="4"/>
      <c r="N168" s="4"/>
      <c r="O168" s="4"/>
      <c r="P168" s="4"/>
      <c r="Q168" s="4"/>
      <c r="R168" s="4"/>
      <c r="S168" s="4"/>
      <c r="T168" s="4"/>
      <c r="U168" s="4"/>
      <c r="V168" s="4"/>
      <c r="W168" s="4"/>
      <c r="X168" s="4"/>
      <c r="Y168" s="4"/>
      <c r="Z168" s="4"/>
    </row>
    <row r="169" ht="15.75" customHeight="1">
      <c r="A169" s="1"/>
      <c r="B169" s="1"/>
      <c r="C169" s="1"/>
      <c r="D169" s="1"/>
      <c r="E169" s="1"/>
      <c r="F169" s="1"/>
      <c r="G169" s="4"/>
      <c r="H169" s="4"/>
      <c r="I169" s="4"/>
      <c r="J169" s="4"/>
      <c r="K169" s="4"/>
      <c r="L169" s="4"/>
      <c r="M169" s="4"/>
      <c r="N169" s="4"/>
      <c r="O169" s="4"/>
      <c r="P169" s="4"/>
      <c r="Q169" s="4"/>
      <c r="R169" s="4"/>
      <c r="S169" s="4"/>
      <c r="T169" s="4"/>
      <c r="U169" s="4"/>
      <c r="V169" s="4"/>
      <c r="W169" s="4"/>
      <c r="X169" s="4"/>
      <c r="Y169" s="4"/>
      <c r="Z169" s="4"/>
    </row>
    <row r="170" ht="15.75" customHeight="1">
      <c r="A170" s="1"/>
      <c r="B170" s="1"/>
      <c r="C170" s="1"/>
      <c r="D170" s="1"/>
      <c r="E170" s="1"/>
      <c r="F170" s="1"/>
      <c r="G170" s="4"/>
      <c r="H170" s="4"/>
      <c r="I170" s="4"/>
      <c r="J170" s="4"/>
      <c r="K170" s="4"/>
      <c r="L170" s="4"/>
      <c r="M170" s="4"/>
      <c r="N170" s="4"/>
      <c r="O170" s="4"/>
      <c r="P170" s="4"/>
      <c r="Q170" s="4"/>
      <c r="R170" s="4"/>
      <c r="S170" s="4"/>
      <c r="T170" s="4"/>
      <c r="U170" s="4"/>
      <c r="V170" s="4"/>
      <c r="W170" s="4"/>
      <c r="X170" s="4"/>
      <c r="Y170" s="4"/>
      <c r="Z170" s="4"/>
    </row>
    <row r="171" ht="15.75" customHeight="1">
      <c r="A171" s="1"/>
      <c r="B171" s="1"/>
      <c r="C171" s="1"/>
      <c r="D171" s="1"/>
      <c r="E171" s="1"/>
      <c r="F171" s="1"/>
      <c r="G171" s="4"/>
      <c r="H171" s="4"/>
      <c r="I171" s="4"/>
      <c r="J171" s="4"/>
      <c r="K171" s="4"/>
      <c r="L171" s="4"/>
      <c r="M171" s="4"/>
      <c r="N171" s="4"/>
      <c r="O171" s="4"/>
      <c r="P171" s="4"/>
      <c r="Q171" s="4"/>
      <c r="R171" s="4"/>
      <c r="S171" s="4"/>
      <c r="T171" s="4"/>
      <c r="U171" s="4"/>
      <c r="V171" s="4"/>
      <c r="W171" s="4"/>
      <c r="X171" s="4"/>
      <c r="Y171" s="4"/>
      <c r="Z171" s="4"/>
    </row>
    <row r="172" ht="15.75" customHeight="1">
      <c r="A172" s="1"/>
      <c r="B172" s="1"/>
      <c r="C172" s="1"/>
      <c r="D172" s="1"/>
      <c r="E172" s="1"/>
      <c r="F172" s="1"/>
      <c r="G172" s="4"/>
      <c r="H172" s="4"/>
      <c r="I172" s="4"/>
      <c r="J172" s="4"/>
      <c r="K172" s="4"/>
      <c r="L172" s="4"/>
      <c r="M172" s="4"/>
      <c r="N172" s="4"/>
      <c r="O172" s="4"/>
      <c r="P172" s="4"/>
      <c r="Q172" s="4"/>
      <c r="R172" s="4"/>
      <c r="S172" s="4"/>
      <c r="T172" s="4"/>
      <c r="U172" s="4"/>
      <c r="V172" s="4"/>
      <c r="W172" s="4"/>
      <c r="X172" s="4"/>
      <c r="Y172" s="4"/>
      <c r="Z172" s="4"/>
    </row>
    <row r="173" ht="15.75" customHeight="1">
      <c r="A173" s="1"/>
      <c r="B173" s="1"/>
      <c r="C173" s="1"/>
      <c r="D173" s="1"/>
      <c r="E173" s="1"/>
      <c r="F173" s="1"/>
      <c r="G173" s="4"/>
      <c r="H173" s="4"/>
      <c r="I173" s="4"/>
      <c r="J173" s="4"/>
      <c r="K173" s="4"/>
      <c r="L173" s="4"/>
      <c r="M173" s="4"/>
      <c r="N173" s="4"/>
      <c r="O173" s="4"/>
      <c r="P173" s="4"/>
      <c r="Q173" s="4"/>
      <c r="R173" s="4"/>
      <c r="S173" s="4"/>
      <c r="T173" s="4"/>
      <c r="U173" s="4"/>
      <c r="V173" s="4"/>
      <c r="W173" s="4"/>
      <c r="X173" s="4"/>
      <c r="Y173" s="4"/>
      <c r="Z173" s="4"/>
    </row>
    <row r="174" ht="15.75" customHeight="1">
      <c r="A174" s="1"/>
      <c r="B174" s="1"/>
      <c r="C174" s="1"/>
      <c r="D174" s="1"/>
      <c r="E174" s="1"/>
      <c r="F174" s="1"/>
      <c r="G174" s="4"/>
      <c r="H174" s="4"/>
      <c r="I174" s="4"/>
      <c r="J174" s="4"/>
      <c r="K174" s="4"/>
      <c r="L174" s="4"/>
      <c r="M174" s="4"/>
      <c r="N174" s="4"/>
      <c r="O174" s="4"/>
      <c r="P174" s="4"/>
      <c r="Q174" s="4"/>
      <c r="R174" s="4"/>
      <c r="S174" s="4"/>
      <c r="T174" s="4"/>
      <c r="U174" s="4"/>
      <c r="V174" s="4"/>
      <c r="W174" s="4"/>
      <c r="X174" s="4"/>
      <c r="Y174" s="4"/>
      <c r="Z174" s="4"/>
    </row>
    <row r="175" ht="15.75" customHeight="1">
      <c r="A175" s="1"/>
      <c r="B175" s="1"/>
      <c r="C175" s="1"/>
      <c r="D175" s="1"/>
      <c r="E175" s="1"/>
      <c r="F175" s="1"/>
      <c r="G175" s="4"/>
      <c r="H175" s="4"/>
      <c r="I175" s="4"/>
      <c r="J175" s="4"/>
      <c r="K175" s="4"/>
      <c r="L175" s="4"/>
      <c r="M175" s="4"/>
      <c r="N175" s="4"/>
      <c r="O175" s="4"/>
      <c r="P175" s="4"/>
      <c r="Q175" s="4"/>
      <c r="R175" s="4"/>
      <c r="S175" s="4"/>
      <c r="T175" s="4"/>
      <c r="U175" s="4"/>
      <c r="V175" s="4"/>
      <c r="W175" s="4"/>
      <c r="X175" s="4"/>
      <c r="Y175" s="4"/>
      <c r="Z175" s="4"/>
    </row>
    <row r="176" ht="15.75" customHeight="1">
      <c r="A176" s="1"/>
      <c r="B176" s="1"/>
      <c r="C176" s="1"/>
      <c r="D176" s="1"/>
      <c r="E176" s="1"/>
      <c r="F176" s="1"/>
      <c r="G176" s="4"/>
      <c r="H176" s="4"/>
      <c r="I176" s="4"/>
      <c r="J176" s="4"/>
      <c r="K176" s="4"/>
      <c r="L176" s="4"/>
      <c r="M176" s="4"/>
      <c r="N176" s="4"/>
      <c r="O176" s="4"/>
      <c r="P176" s="4"/>
      <c r="Q176" s="4"/>
      <c r="R176" s="4"/>
      <c r="S176" s="4"/>
      <c r="T176" s="4"/>
      <c r="U176" s="4"/>
      <c r="V176" s="4"/>
      <c r="W176" s="4"/>
      <c r="X176" s="4"/>
      <c r="Y176" s="4"/>
      <c r="Z176" s="4"/>
    </row>
    <row r="177" ht="15.75" customHeight="1">
      <c r="A177" s="1"/>
      <c r="B177" s="1"/>
      <c r="C177" s="1"/>
      <c r="D177" s="1"/>
      <c r="E177" s="1"/>
      <c r="F177" s="1"/>
      <c r="G177" s="4"/>
      <c r="H177" s="4"/>
      <c r="I177" s="4"/>
      <c r="J177" s="4"/>
      <c r="K177" s="4"/>
      <c r="L177" s="4"/>
      <c r="M177" s="4"/>
      <c r="N177" s="4"/>
      <c r="O177" s="4"/>
      <c r="P177" s="4"/>
      <c r="Q177" s="4"/>
      <c r="R177" s="4"/>
      <c r="S177" s="4"/>
      <c r="T177" s="4"/>
      <c r="U177" s="4"/>
      <c r="V177" s="4"/>
      <c r="W177" s="4"/>
      <c r="X177" s="4"/>
      <c r="Y177" s="4"/>
      <c r="Z177" s="4"/>
    </row>
    <row r="178" ht="15.75" customHeight="1">
      <c r="A178" s="1"/>
      <c r="B178" s="1"/>
      <c r="C178" s="1"/>
      <c r="D178" s="1"/>
      <c r="E178" s="1"/>
      <c r="F178" s="1"/>
      <c r="G178" s="4"/>
      <c r="H178" s="4"/>
      <c r="I178" s="4"/>
      <c r="J178" s="4"/>
      <c r="K178" s="4"/>
      <c r="L178" s="4"/>
      <c r="M178" s="4"/>
      <c r="N178" s="4"/>
      <c r="O178" s="4"/>
      <c r="P178" s="4"/>
      <c r="Q178" s="4"/>
      <c r="R178" s="4"/>
      <c r="S178" s="4"/>
      <c r="T178" s="4"/>
      <c r="U178" s="4"/>
      <c r="V178" s="4"/>
      <c r="W178" s="4"/>
      <c r="X178" s="4"/>
      <c r="Y178" s="4"/>
      <c r="Z178" s="4"/>
    </row>
    <row r="179" ht="15.75" customHeight="1">
      <c r="A179" s="1"/>
      <c r="B179" s="1"/>
      <c r="C179" s="1"/>
      <c r="D179" s="1"/>
      <c r="E179" s="1"/>
      <c r="F179" s="1"/>
      <c r="G179" s="4"/>
      <c r="H179" s="4"/>
      <c r="I179" s="4"/>
      <c r="J179" s="4"/>
      <c r="K179" s="4"/>
      <c r="L179" s="4"/>
      <c r="M179" s="4"/>
      <c r="N179" s="4"/>
      <c r="O179" s="4"/>
      <c r="P179" s="4"/>
      <c r="Q179" s="4"/>
      <c r="R179" s="4"/>
      <c r="S179" s="4"/>
      <c r="T179" s="4"/>
      <c r="U179" s="4"/>
      <c r="V179" s="4"/>
      <c r="W179" s="4"/>
      <c r="X179" s="4"/>
      <c r="Y179" s="4"/>
      <c r="Z179" s="4"/>
    </row>
    <row r="180" ht="15.75" customHeight="1">
      <c r="A180" s="1"/>
      <c r="B180" s="1"/>
      <c r="C180" s="1"/>
      <c r="D180" s="1"/>
      <c r="E180" s="1"/>
      <c r="F180" s="1"/>
      <c r="G180" s="4"/>
      <c r="H180" s="4"/>
      <c r="I180" s="4"/>
      <c r="J180" s="4"/>
      <c r="K180" s="4"/>
      <c r="L180" s="4"/>
      <c r="M180" s="4"/>
      <c r="N180" s="4"/>
      <c r="O180" s="4"/>
      <c r="P180" s="4"/>
      <c r="Q180" s="4"/>
      <c r="R180" s="4"/>
      <c r="S180" s="4"/>
      <c r="T180" s="4"/>
      <c r="U180" s="4"/>
      <c r="V180" s="4"/>
      <c r="W180" s="4"/>
      <c r="X180" s="4"/>
      <c r="Y180" s="4"/>
      <c r="Z180" s="4"/>
    </row>
    <row r="181" ht="15.75" customHeight="1">
      <c r="A181" s="1"/>
      <c r="B181" s="1"/>
      <c r="C181" s="1"/>
      <c r="D181" s="1"/>
      <c r="E181" s="1"/>
      <c r="F181" s="1"/>
      <c r="G181" s="4"/>
      <c r="H181" s="4"/>
      <c r="I181" s="4"/>
      <c r="J181" s="4"/>
      <c r="K181" s="4"/>
      <c r="L181" s="4"/>
      <c r="M181" s="4"/>
      <c r="N181" s="4"/>
      <c r="O181" s="4"/>
      <c r="P181" s="4"/>
      <c r="Q181" s="4"/>
      <c r="R181" s="4"/>
      <c r="S181" s="4"/>
      <c r="T181" s="4"/>
      <c r="U181" s="4"/>
      <c r="V181" s="4"/>
      <c r="W181" s="4"/>
      <c r="X181" s="4"/>
      <c r="Y181" s="4"/>
      <c r="Z181" s="4"/>
    </row>
    <row r="182" ht="15.75" customHeight="1">
      <c r="A182" s="1"/>
      <c r="B182" s="1"/>
      <c r="C182" s="1"/>
      <c r="D182" s="1"/>
      <c r="E182" s="1"/>
      <c r="F182" s="1"/>
      <c r="G182" s="4"/>
      <c r="H182" s="4"/>
      <c r="I182" s="4"/>
      <c r="J182" s="4"/>
      <c r="K182" s="4"/>
      <c r="L182" s="4"/>
      <c r="M182" s="4"/>
      <c r="N182" s="4"/>
      <c r="O182" s="4"/>
      <c r="P182" s="4"/>
      <c r="Q182" s="4"/>
      <c r="R182" s="4"/>
      <c r="S182" s="4"/>
      <c r="T182" s="4"/>
      <c r="U182" s="4"/>
      <c r="V182" s="4"/>
      <c r="W182" s="4"/>
      <c r="X182" s="4"/>
      <c r="Y182" s="4"/>
      <c r="Z182" s="4"/>
    </row>
    <row r="183" ht="15.75" customHeight="1">
      <c r="A183" s="1"/>
      <c r="B183" s="1"/>
      <c r="C183" s="1"/>
      <c r="D183" s="1"/>
      <c r="E183" s="1"/>
      <c r="F183" s="1"/>
      <c r="G183" s="4"/>
      <c r="H183" s="4"/>
      <c r="I183" s="4"/>
      <c r="J183" s="4"/>
      <c r="K183" s="4"/>
      <c r="L183" s="4"/>
      <c r="M183" s="4"/>
      <c r="N183" s="4"/>
      <c r="O183" s="4"/>
      <c r="P183" s="4"/>
      <c r="Q183" s="4"/>
      <c r="R183" s="4"/>
      <c r="S183" s="4"/>
      <c r="T183" s="4"/>
      <c r="U183" s="4"/>
      <c r="V183" s="4"/>
      <c r="W183" s="4"/>
      <c r="X183" s="4"/>
      <c r="Y183" s="4"/>
      <c r="Z183" s="4"/>
    </row>
    <row r="184" ht="15.75" customHeight="1">
      <c r="A184" s="1"/>
      <c r="B184" s="1"/>
      <c r="C184" s="1"/>
      <c r="D184" s="1"/>
      <c r="E184" s="1"/>
      <c r="F184" s="1"/>
      <c r="G184" s="4"/>
      <c r="H184" s="4"/>
      <c r="I184" s="4"/>
      <c r="J184" s="4"/>
      <c r="K184" s="4"/>
      <c r="L184" s="4"/>
      <c r="M184" s="4"/>
      <c r="N184" s="4"/>
      <c r="O184" s="4"/>
      <c r="P184" s="4"/>
      <c r="Q184" s="4"/>
      <c r="R184" s="4"/>
      <c r="S184" s="4"/>
      <c r="T184" s="4"/>
      <c r="U184" s="4"/>
      <c r="V184" s="4"/>
      <c r="W184" s="4"/>
      <c r="X184" s="4"/>
      <c r="Y184" s="4"/>
      <c r="Z184" s="4"/>
    </row>
    <row r="185" ht="15.75" customHeight="1">
      <c r="A185" s="1"/>
      <c r="B185" s="1"/>
      <c r="C185" s="1"/>
      <c r="D185" s="1"/>
      <c r="E185" s="1"/>
      <c r="F185" s="1"/>
      <c r="G185" s="4"/>
      <c r="H185" s="4"/>
      <c r="I185" s="4"/>
      <c r="J185" s="4"/>
      <c r="K185" s="4"/>
      <c r="L185" s="4"/>
      <c r="M185" s="4"/>
      <c r="N185" s="4"/>
      <c r="O185" s="4"/>
      <c r="P185" s="4"/>
      <c r="Q185" s="4"/>
      <c r="R185" s="4"/>
      <c r="S185" s="4"/>
      <c r="T185" s="4"/>
      <c r="U185" s="4"/>
      <c r="V185" s="4"/>
      <c r="W185" s="4"/>
      <c r="X185" s="4"/>
      <c r="Y185" s="4"/>
      <c r="Z185" s="4"/>
    </row>
    <row r="186" ht="15.75" customHeight="1">
      <c r="A186" s="1"/>
      <c r="B186" s="1"/>
      <c r="C186" s="1"/>
      <c r="D186" s="1"/>
      <c r="E186" s="1"/>
      <c r="F186" s="1"/>
      <c r="G186" s="4"/>
      <c r="H186" s="4"/>
      <c r="I186" s="4"/>
      <c r="J186" s="4"/>
      <c r="K186" s="4"/>
      <c r="L186" s="4"/>
      <c r="M186" s="4"/>
      <c r="N186" s="4"/>
      <c r="O186" s="4"/>
      <c r="P186" s="4"/>
      <c r="Q186" s="4"/>
      <c r="R186" s="4"/>
      <c r="S186" s="4"/>
      <c r="T186" s="4"/>
      <c r="U186" s="4"/>
      <c r="V186" s="4"/>
      <c r="W186" s="4"/>
      <c r="X186" s="4"/>
      <c r="Y186" s="4"/>
      <c r="Z186" s="4"/>
    </row>
    <row r="187" ht="15.75" customHeight="1">
      <c r="A187" s="1"/>
      <c r="B187" s="1"/>
      <c r="C187" s="1"/>
      <c r="D187" s="1"/>
      <c r="E187" s="1"/>
      <c r="F187" s="1"/>
      <c r="G187" s="4"/>
      <c r="H187" s="4"/>
      <c r="I187" s="4"/>
      <c r="J187" s="4"/>
      <c r="K187" s="4"/>
      <c r="L187" s="4"/>
      <c r="M187" s="4"/>
      <c r="N187" s="4"/>
      <c r="O187" s="4"/>
      <c r="P187" s="4"/>
      <c r="Q187" s="4"/>
      <c r="R187" s="4"/>
      <c r="S187" s="4"/>
      <c r="T187" s="4"/>
      <c r="U187" s="4"/>
      <c r="V187" s="4"/>
      <c r="W187" s="4"/>
      <c r="X187" s="4"/>
      <c r="Y187" s="4"/>
      <c r="Z187" s="4"/>
    </row>
    <row r="188" ht="15.75" customHeight="1">
      <c r="A188" s="1"/>
      <c r="B188" s="1"/>
      <c r="C188" s="1"/>
      <c r="D188" s="1"/>
      <c r="E188" s="1"/>
      <c r="F188" s="1"/>
      <c r="G188" s="4"/>
      <c r="H188" s="4"/>
      <c r="I188" s="4"/>
      <c r="J188" s="4"/>
      <c r="K188" s="4"/>
      <c r="L188" s="4"/>
      <c r="M188" s="4"/>
      <c r="N188" s="4"/>
      <c r="O188" s="4"/>
      <c r="P188" s="4"/>
      <c r="Q188" s="4"/>
      <c r="R188" s="4"/>
      <c r="S188" s="4"/>
      <c r="T188" s="4"/>
      <c r="U188" s="4"/>
      <c r="V188" s="4"/>
      <c r="W188" s="4"/>
      <c r="X188" s="4"/>
      <c r="Y188" s="4"/>
      <c r="Z188" s="4"/>
    </row>
    <row r="189" ht="15.75" customHeight="1">
      <c r="A189" s="1"/>
      <c r="B189" s="1"/>
      <c r="C189" s="1"/>
      <c r="D189" s="1"/>
      <c r="E189" s="1"/>
      <c r="F189" s="1"/>
      <c r="G189" s="4"/>
      <c r="H189" s="4"/>
      <c r="I189" s="4"/>
      <c r="J189" s="4"/>
      <c r="K189" s="4"/>
      <c r="L189" s="4"/>
      <c r="M189" s="4"/>
      <c r="N189" s="4"/>
      <c r="O189" s="4"/>
      <c r="P189" s="4"/>
      <c r="Q189" s="4"/>
      <c r="R189" s="4"/>
      <c r="S189" s="4"/>
      <c r="T189" s="4"/>
      <c r="U189" s="4"/>
      <c r="V189" s="4"/>
      <c r="W189" s="4"/>
      <c r="X189" s="4"/>
      <c r="Y189" s="4"/>
      <c r="Z189" s="4"/>
    </row>
    <row r="190" ht="15.75" customHeight="1">
      <c r="A190" s="1"/>
      <c r="B190" s="1"/>
      <c r="C190" s="1"/>
      <c r="D190" s="1"/>
      <c r="E190" s="1"/>
      <c r="F190" s="1"/>
      <c r="G190" s="4"/>
      <c r="H190" s="4"/>
      <c r="I190" s="4"/>
      <c r="J190" s="4"/>
      <c r="K190" s="4"/>
      <c r="L190" s="4"/>
      <c r="M190" s="4"/>
      <c r="N190" s="4"/>
      <c r="O190" s="4"/>
      <c r="P190" s="4"/>
      <c r="Q190" s="4"/>
      <c r="R190" s="4"/>
      <c r="S190" s="4"/>
      <c r="T190" s="4"/>
      <c r="U190" s="4"/>
      <c r="V190" s="4"/>
      <c r="W190" s="4"/>
      <c r="X190" s="4"/>
      <c r="Y190" s="4"/>
      <c r="Z190" s="4"/>
    </row>
    <row r="191" ht="15.75" customHeight="1">
      <c r="A191" s="1"/>
      <c r="B191" s="1"/>
      <c r="C191" s="1"/>
      <c r="D191" s="1"/>
      <c r="E191" s="1"/>
      <c r="F191" s="1"/>
      <c r="G191" s="4"/>
      <c r="H191" s="4"/>
      <c r="I191" s="4"/>
      <c r="J191" s="4"/>
      <c r="K191" s="4"/>
      <c r="L191" s="4"/>
      <c r="M191" s="4"/>
      <c r="N191" s="4"/>
      <c r="O191" s="4"/>
      <c r="P191" s="4"/>
      <c r="Q191" s="4"/>
      <c r="R191" s="4"/>
      <c r="S191" s="4"/>
      <c r="T191" s="4"/>
      <c r="U191" s="4"/>
      <c r="V191" s="4"/>
      <c r="W191" s="4"/>
      <c r="X191" s="4"/>
      <c r="Y191" s="4"/>
      <c r="Z191" s="4"/>
    </row>
    <row r="192" ht="15.75" customHeight="1">
      <c r="A192" s="1"/>
      <c r="B192" s="1"/>
      <c r="C192" s="1"/>
      <c r="D192" s="1"/>
      <c r="E192" s="1"/>
      <c r="F192" s="1"/>
      <c r="G192" s="4"/>
      <c r="H192" s="4"/>
      <c r="I192" s="4"/>
      <c r="J192" s="4"/>
      <c r="K192" s="4"/>
      <c r="L192" s="4"/>
      <c r="M192" s="4"/>
      <c r="N192" s="4"/>
      <c r="O192" s="4"/>
      <c r="P192" s="4"/>
      <c r="Q192" s="4"/>
      <c r="R192" s="4"/>
      <c r="S192" s="4"/>
      <c r="T192" s="4"/>
      <c r="U192" s="4"/>
      <c r="V192" s="4"/>
      <c r="W192" s="4"/>
      <c r="X192" s="4"/>
      <c r="Y192" s="4"/>
      <c r="Z192" s="4"/>
    </row>
    <row r="193" ht="15.75" customHeight="1">
      <c r="A193" s="1"/>
      <c r="B193" s="1"/>
      <c r="C193" s="1"/>
      <c r="D193" s="1"/>
      <c r="E193" s="1"/>
      <c r="F193" s="1"/>
      <c r="G193" s="4"/>
      <c r="H193" s="4"/>
      <c r="I193" s="4"/>
      <c r="J193" s="4"/>
      <c r="K193" s="4"/>
      <c r="L193" s="4"/>
      <c r="M193" s="4"/>
      <c r="N193" s="4"/>
      <c r="O193" s="4"/>
      <c r="P193" s="4"/>
      <c r="Q193" s="4"/>
      <c r="R193" s="4"/>
      <c r="S193" s="4"/>
      <c r="T193" s="4"/>
      <c r="U193" s="4"/>
      <c r="V193" s="4"/>
      <c r="W193" s="4"/>
      <c r="X193" s="4"/>
      <c r="Y193" s="4"/>
      <c r="Z193" s="4"/>
    </row>
    <row r="194" ht="15.75" customHeight="1">
      <c r="A194" s="1"/>
      <c r="B194" s="1"/>
      <c r="C194" s="1"/>
      <c r="D194" s="1"/>
      <c r="E194" s="1"/>
      <c r="F194" s="1"/>
      <c r="G194" s="4"/>
      <c r="H194" s="4"/>
      <c r="I194" s="4"/>
      <c r="J194" s="4"/>
      <c r="K194" s="4"/>
      <c r="L194" s="4"/>
      <c r="M194" s="4"/>
      <c r="N194" s="4"/>
      <c r="O194" s="4"/>
      <c r="P194" s="4"/>
      <c r="Q194" s="4"/>
      <c r="R194" s="4"/>
      <c r="S194" s="4"/>
      <c r="T194" s="4"/>
      <c r="U194" s="4"/>
      <c r="V194" s="4"/>
      <c r="W194" s="4"/>
      <c r="X194" s="4"/>
      <c r="Y194" s="4"/>
      <c r="Z194" s="4"/>
    </row>
    <row r="195" ht="15.75" customHeight="1">
      <c r="A195" s="1"/>
      <c r="B195" s="1"/>
      <c r="C195" s="1"/>
      <c r="D195" s="1"/>
      <c r="E195" s="1"/>
      <c r="F195" s="1"/>
      <c r="G195" s="4"/>
      <c r="H195" s="4"/>
      <c r="I195" s="4"/>
      <c r="J195" s="4"/>
      <c r="K195" s="4"/>
      <c r="L195" s="4"/>
      <c r="M195" s="4"/>
      <c r="N195" s="4"/>
      <c r="O195" s="4"/>
      <c r="P195" s="4"/>
      <c r="Q195" s="4"/>
      <c r="R195" s="4"/>
      <c r="S195" s="4"/>
      <c r="T195" s="4"/>
      <c r="U195" s="4"/>
      <c r="V195" s="4"/>
      <c r="W195" s="4"/>
      <c r="X195" s="4"/>
      <c r="Y195" s="4"/>
      <c r="Z195" s="4"/>
    </row>
    <row r="196" ht="15.75" customHeight="1">
      <c r="A196" s="1"/>
      <c r="B196" s="1"/>
      <c r="C196" s="1"/>
      <c r="D196" s="1"/>
      <c r="E196" s="1"/>
      <c r="F196" s="1"/>
      <c r="G196" s="4"/>
      <c r="H196" s="4"/>
      <c r="I196" s="4"/>
      <c r="J196" s="4"/>
      <c r="K196" s="4"/>
      <c r="L196" s="4"/>
      <c r="M196" s="4"/>
      <c r="N196" s="4"/>
      <c r="O196" s="4"/>
      <c r="P196" s="4"/>
      <c r="Q196" s="4"/>
      <c r="R196" s="4"/>
      <c r="S196" s="4"/>
      <c r="T196" s="4"/>
      <c r="U196" s="4"/>
      <c r="V196" s="4"/>
      <c r="W196" s="4"/>
      <c r="X196" s="4"/>
      <c r="Y196" s="4"/>
      <c r="Z196" s="4"/>
    </row>
    <row r="197" ht="15.75" customHeight="1">
      <c r="A197" s="1"/>
      <c r="B197" s="1"/>
      <c r="C197" s="1"/>
      <c r="D197" s="1"/>
      <c r="E197" s="1"/>
      <c r="F197" s="1"/>
      <c r="G197" s="4"/>
      <c r="H197" s="4"/>
      <c r="I197" s="4"/>
      <c r="J197" s="4"/>
      <c r="K197" s="4"/>
      <c r="L197" s="4"/>
      <c r="M197" s="4"/>
      <c r="N197" s="4"/>
      <c r="O197" s="4"/>
      <c r="P197" s="4"/>
      <c r="Q197" s="4"/>
      <c r="R197" s="4"/>
      <c r="S197" s="4"/>
      <c r="T197" s="4"/>
      <c r="U197" s="4"/>
      <c r="V197" s="4"/>
      <c r="W197" s="4"/>
      <c r="X197" s="4"/>
      <c r="Y197" s="4"/>
      <c r="Z197" s="4"/>
    </row>
    <row r="198" ht="15.75" customHeight="1">
      <c r="A198" s="1"/>
      <c r="B198" s="1"/>
      <c r="C198" s="1"/>
      <c r="D198" s="1"/>
      <c r="E198" s="1"/>
      <c r="F198" s="1"/>
      <c r="G198" s="4"/>
      <c r="H198" s="4"/>
      <c r="I198" s="4"/>
      <c r="J198" s="4"/>
      <c r="K198" s="4"/>
      <c r="L198" s="4"/>
      <c r="M198" s="4"/>
      <c r="N198" s="4"/>
      <c r="O198" s="4"/>
      <c r="P198" s="4"/>
      <c r="Q198" s="4"/>
      <c r="R198" s="4"/>
      <c r="S198" s="4"/>
      <c r="T198" s="4"/>
      <c r="U198" s="4"/>
      <c r="V198" s="4"/>
      <c r="W198" s="4"/>
      <c r="X198" s="4"/>
      <c r="Y198" s="4"/>
      <c r="Z198" s="4"/>
    </row>
    <row r="199" ht="15.75" customHeight="1">
      <c r="A199" s="1"/>
      <c r="B199" s="1"/>
      <c r="C199" s="1"/>
      <c r="D199" s="1"/>
      <c r="E199" s="1"/>
      <c r="F199" s="1"/>
      <c r="G199" s="4"/>
      <c r="H199" s="4"/>
      <c r="I199" s="4"/>
      <c r="J199" s="4"/>
      <c r="K199" s="4"/>
      <c r="L199" s="4"/>
      <c r="M199" s="4"/>
      <c r="N199" s="4"/>
      <c r="O199" s="4"/>
      <c r="P199" s="4"/>
      <c r="Q199" s="4"/>
      <c r="R199" s="4"/>
      <c r="S199" s="4"/>
      <c r="T199" s="4"/>
      <c r="U199" s="4"/>
      <c r="V199" s="4"/>
      <c r="W199" s="4"/>
      <c r="X199" s="4"/>
      <c r="Y199" s="4"/>
      <c r="Z199" s="4"/>
    </row>
    <row r="200" ht="15.75" customHeight="1">
      <c r="A200" s="1"/>
      <c r="B200" s="1"/>
      <c r="C200" s="1"/>
      <c r="D200" s="1"/>
      <c r="E200" s="1"/>
      <c r="F200" s="1"/>
      <c r="G200" s="4"/>
      <c r="H200" s="4"/>
      <c r="I200" s="4"/>
      <c r="J200" s="4"/>
      <c r="K200" s="4"/>
      <c r="L200" s="4"/>
      <c r="M200" s="4"/>
      <c r="N200" s="4"/>
      <c r="O200" s="4"/>
      <c r="P200" s="4"/>
      <c r="Q200" s="4"/>
      <c r="R200" s="4"/>
      <c r="S200" s="4"/>
      <c r="T200" s="4"/>
      <c r="U200" s="4"/>
      <c r="V200" s="4"/>
      <c r="W200" s="4"/>
      <c r="X200" s="4"/>
      <c r="Y200" s="4"/>
      <c r="Z200" s="4"/>
    </row>
    <row r="201" ht="15.75" customHeight="1">
      <c r="A201" s="1"/>
      <c r="B201" s="1"/>
      <c r="C201" s="1"/>
      <c r="D201" s="1"/>
      <c r="E201" s="1"/>
      <c r="F201" s="1"/>
      <c r="G201" s="4"/>
      <c r="H201" s="4"/>
      <c r="I201" s="4"/>
      <c r="J201" s="4"/>
      <c r="K201" s="4"/>
      <c r="L201" s="4"/>
      <c r="M201" s="4"/>
      <c r="N201" s="4"/>
      <c r="O201" s="4"/>
      <c r="P201" s="4"/>
      <c r="Q201" s="4"/>
      <c r="R201" s="4"/>
      <c r="S201" s="4"/>
      <c r="T201" s="4"/>
      <c r="U201" s="4"/>
      <c r="V201" s="4"/>
      <c r="W201" s="4"/>
      <c r="X201" s="4"/>
      <c r="Y201" s="4"/>
      <c r="Z201" s="4"/>
    </row>
    <row r="202" ht="15.75" customHeight="1">
      <c r="A202" s="1"/>
      <c r="B202" s="1"/>
      <c r="C202" s="1"/>
      <c r="D202" s="1"/>
      <c r="E202" s="1"/>
      <c r="F202" s="1"/>
      <c r="G202" s="4"/>
      <c r="H202" s="4"/>
      <c r="I202" s="4"/>
      <c r="J202" s="4"/>
      <c r="K202" s="4"/>
      <c r="L202" s="4"/>
      <c r="M202" s="4"/>
      <c r="N202" s="4"/>
      <c r="O202" s="4"/>
      <c r="P202" s="4"/>
      <c r="Q202" s="4"/>
      <c r="R202" s="4"/>
      <c r="S202" s="4"/>
      <c r="T202" s="4"/>
      <c r="U202" s="4"/>
      <c r="V202" s="4"/>
      <c r="W202" s="4"/>
      <c r="X202" s="4"/>
      <c r="Y202" s="4"/>
      <c r="Z202" s="4"/>
    </row>
    <row r="203" ht="15.75" customHeight="1">
      <c r="A203" s="1"/>
      <c r="B203" s="1"/>
      <c r="C203" s="1"/>
      <c r="D203" s="1"/>
      <c r="E203" s="1"/>
      <c r="F203" s="1"/>
      <c r="G203" s="4"/>
      <c r="H203" s="4"/>
      <c r="I203" s="4"/>
      <c r="J203" s="4"/>
      <c r="K203" s="4"/>
      <c r="L203" s="4"/>
      <c r="M203" s="4"/>
      <c r="N203" s="4"/>
      <c r="O203" s="4"/>
      <c r="P203" s="4"/>
      <c r="Q203" s="4"/>
      <c r="R203" s="4"/>
      <c r="S203" s="4"/>
      <c r="T203" s="4"/>
      <c r="U203" s="4"/>
      <c r="V203" s="4"/>
      <c r="W203" s="4"/>
      <c r="X203" s="4"/>
      <c r="Y203" s="4"/>
      <c r="Z203" s="4"/>
    </row>
    <row r="204" ht="15.75" customHeight="1">
      <c r="A204" s="1"/>
      <c r="B204" s="1"/>
      <c r="C204" s="1"/>
      <c r="D204" s="1"/>
      <c r="E204" s="1"/>
      <c r="F204" s="1"/>
      <c r="G204" s="4"/>
      <c r="H204" s="4"/>
      <c r="I204" s="4"/>
      <c r="J204" s="4"/>
      <c r="K204" s="4"/>
      <c r="L204" s="4"/>
      <c r="M204" s="4"/>
      <c r="N204" s="4"/>
      <c r="O204" s="4"/>
      <c r="P204" s="4"/>
      <c r="Q204" s="4"/>
      <c r="R204" s="4"/>
      <c r="S204" s="4"/>
      <c r="T204" s="4"/>
      <c r="U204" s="4"/>
      <c r="V204" s="4"/>
      <c r="W204" s="4"/>
      <c r="X204" s="4"/>
      <c r="Y204" s="4"/>
      <c r="Z204" s="4"/>
    </row>
    <row r="205" ht="15.75" customHeight="1">
      <c r="A205" s="1"/>
      <c r="B205" s="1"/>
      <c r="C205" s="1"/>
      <c r="D205" s="1"/>
      <c r="E205" s="1"/>
      <c r="F205" s="1"/>
      <c r="G205" s="4"/>
      <c r="H205" s="4"/>
      <c r="I205" s="4"/>
      <c r="J205" s="4"/>
      <c r="K205" s="4"/>
      <c r="L205" s="4"/>
      <c r="M205" s="4"/>
      <c r="N205" s="4"/>
      <c r="O205" s="4"/>
      <c r="P205" s="4"/>
      <c r="Q205" s="4"/>
      <c r="R205" s="4"/>
      <c r="S205" s="4"/>
      <c r="T205" s="4"/>
      <c r="U205" s="4"/>
      <c r="V205" s="4"/>
      <c r="W205" s="4"/>
      <c r="X205" s="4"/>
      <c r="Y205" s="4"/>
      <c r="Z205" s="4"/>
    </row>
    <row r="206" ht="15.75" customHeight="1">
      <c r="A206" s="1"/>
      <c r="B206" s="1"/>
      <c r="C206" s="1"/>
      <c r="D206" s="1"/>
      <c r="E206" s="1"/>
      <c r="F206" s="1"/>
      <c r="G206" s="4"/>
      <c r="H206" s="4"/>
      <c r="I206" s="4"/>
      <c r="J206" s="4"/>
      <c r="K206" s="4"/>
      <c r="L206" s="4"/>
      <c r="M206" s="4"/>
      <c r="N206" s="4"/>
      <c r="O206" s="4"/>
      <c r="P206" s="4"/>
      <c r="Q206" s="4"/>
      <c r="R206" s="4"/>
      <c r="S206" s="4"/>
      <c r="T206" s="4"/>
      <c r="U206" s="4"/>
      <c r="V206" s="4"/>
      <c r="W206" s="4"/>
      <c r="X206" s="4"/>
      <c r="Y206" s="4"/>
      <c r="Z206" s="4"/>
    </row>
    <row r="207" ht="15.75" customHeight="1">
      <c r="A207" s="1"/>
      <c r="B207" s="1"/>
      <c r="C207" s="1"/>
      <c r="D207" s="1"/>
      <c r="E207" s="1"/>
      <c r="F207" s="1"/>
      <c r="G207" s="4"/>
      <c r="H207" s="4"/>
      <c r="I207" s="4"/>
      <c r="J207" s="4"/>
      <c r="K207" s="4"/>
      <c r="L207" s="4"/>
      <c r="M207" s="4"/>
      <c r="N207" s="4"/>
      <c r="O207" s="4"/>
      <c r="P207" s="4"/>
      <c r="Q207" s="4"/>
      <c r="R207" s="4"/>
      <c r="S207" s="4"/>
      <c r="T207" s="4"/>
      <c r="U207" s="4"/>
      <c r="V207" s="4"/>
      <c r="W207" s="4"/>
      <c r="X207" s="4"/>
      <c r="Y207" s="4"/>
      <c r="Z207" s="4"/>
    </row>
    <row r="208" ht="15.75" customHeight="1">
      <c r="A208" s="1"/>
      <c r="B208" s="1"/>
      <c r="C208" s="1"/>
      <c r="D208" s="1"/>
      <c r="E208" s="1"/>
      <c r="F208" s="1"/>
      <c r="G208" s="4"/>
      <c r="H208" s="4"/>
      <c r="I208" s="4"/>
      <c r="J208" s="4"/>
      <c r="K208" s="4"/>
      <c r="L208" s="4"/>
      <c r="M208" s="4"/>
      <c r="N208" s="4"/>
      <c r="O208" s="4"/>
      <c r="P208" s="4"/>
      <c r="Q208" s="4"/>
      <c r="R208" s="4"/>
      <c r="S208" s="4"/>
      <c r="T208" s="4"/>
      <c r="U208" s="4"/>
      <c r="V208" s="4"/>
      <c r="W208" s="4"/>
      <c r="X208" s="4"/>
      <c r="Y208" s="4"/>
      <c r="Z208" s="4"/>
    </row>
    <row r="209" ht="15.75" customHeight="1">
      <c r="A209" s="1"/>
      <c r="B209" s="1"/>
      <c r="C209" s="1"/>
      <c r="D209" s="1"/>
      <c r="E209" s="1"/>
      <c r="F209" s="1"/>
      <c r="G209" s="4"/>
      <c r="H209" s="4"/>
      <c r="I209" s="4"/>
      <c r="J209" s="4"/>
      <c r="K209" s="4"/>
      <c r="L209" s="4"/>
      <c r="M209" s="4"/>
      <c r="N209" s="4"/>
      <c r="O209" s="4"/>
      <c r="P209" s="4"/>
      <c r="Q209" s="4"/>
      <c r="R209" s="4"/>
      <c r="S209" s="4"/>
      <c r="T209" s="4"/>
      <c r="U209" s="4"/>
      <c r="V209" s="4"/>
      <c r="W209" s="4"/>
      <c r="X209" s="4"/>
      <c r="Y209" s="4"/>
      <c r="Z209" s="4"/>
    </row>
    <row r="210" ht="15.75" customHeight="1">
      <c r="A210" s="1"/>
      <c r="B210" s="1"/>
      <c r="C210" s="1"/>
      <c r="D210" s="1"/>
      <c r="E210" s="1"/>
      <c r="F210" s="1"/>
      <c r="G210" s="4"/>
      <c r="H210" s="4"/>
      <c r="I210" s="4"/>
      <c r="J210" s="4"/>
      <c r="K210" s="4"/>
      <c r="L210" s="4"/>
      <c r="M210" s="4"/>
      <c r="N210" s="4"/>
      <c r="O210" s="4"/>
      <c r="P210" s="4"/>
      <c r="Q210" s="4"/>
      <c r="R210" s="4"/>
      <c r="S210" s="4"/>
      <c r="T210" s="4"/>
      <c r="U210" s="4"/>
      <c r="V210" s="4"/>
      <c r="W210" s="4"/>
      <c r="X210" s="4"/>
      <c r="Y210" s="4"/>
      <c r="Z210" s="4"/>
    </row>
    <row r="211" ht="15.75" customHeight="1">
      <c r="A211" s="1"/>
      <c r="B211" s="1"/>
      <c r="C211" s="1"/>
      <c r="D211" s="1"/>
      <c r="E211" s="1"/>
      <c r="F211" s="1"/>
      <c r="G211" s="4"/>
      <c r="H211" s="4"/>
      <c r="I211" s="4"/>
      <c r="J211" s="4"/>
      <c r="K211" s="4"/>
      <c r="L211" s="4"/>
      <c r="M211" s="4"/>
      <c r="N211" s="4"/>
      <c r="O211" s="4"/>
      <c r="P211" s="4"/>
      <c r="Q211" s="4"/>
      <c r="R211" s="4"/>
      <c r="S211" s="4"/>
      <c r="T211" s="4"/>
      <c r="U211" s="4"/>
      <c r="V211" s="4"/>
      <c r="W211" s="4"/>
      <c r="X211" s="4"/>
      <c r="Y211" s="4"/>
      <c r="Z211" s="4"/>
    </row>
    <row r="212" ht="15.75" customHeight="1">
      <c r="A212" s="1"/>
      <c r="B212" s="1"/>
      <c r="C212" s="1"/>
      <c r="D212" s="1"/>
      <c r="E212" s="1"/>
      <c r="F212" s="1"/>
      <c r="G212" s="4"/>
      <c r="H212" s="4"/>
      <c r="I212" s="4"/>
      <c r="J212" s="4"/>
      <c r="K212" s="4"/>
      <c r="L212" s="4"/>
      <c r="M212" s="4"/>
      <c r="N212" s="4"/>
      <c r="O212" s="4"/>
      <c r="P212" s="4"/>
      <c r="Q212" s="4"/>
      <c r="R212" s="4"/>
      <c r="S212" s="4"/>
      <c r="T212" s="4"/>
      <c r="U212" s="4"/>
      <c r="V212" s="4"/>
      <c r="W212" s="4"/>
      <c r="X212" s="4"/>
      <c r="Y212" s="4"/>
      <c r="Z212" s="4"/>
    </row>
    <row r="213" ht="15.75" customHeight="1">
      <c r="A213" s="1"/>
      <c r="B213" s="1"/>
      <c r="C213" s="1"/>
      <c r="D213" s="1"/>
      <c r="E213" s="1"/>
      <c r="F213" s="1"/>
      <c r="G213" s="4"/>
      <c r="H213" s="4"/>
      <c r="I213" s="4"/>
      <c r="J213" s="4"/>
      <c r="K213" s="4"/>
      <c r="L213" s="4"/>
      <c r="M213" s="4"/>
      <c r="N213" s="4"/>
      <c r="O213" s="4"/>
      <c r="P213" s="4"/>
      <c r="Q213" s="4"/>
      <c r="R213" s="4"/>
      <c r="S213" s="4"/>
      <c r="T213" s="4"/>
      <c r="U213" s="4"/>
      <c r="V213" s="4"/>
      <c r="W213" s="4"/>
      <c r="X213" s="4"/>
      <c r="Y213" s="4"/>
      <c r="Z213" s="4"/>
    </row>
    <row r="214" ht="15.75" customHeight="1">
      <c r="A214" s="1"/>
      <c r="B214" s="1"/>
      <c r="C214" s="1"/>
      <c r="D214" s="1"/>
      <c r="E214" s="1"/>
      <c r="F214" s="1"/>
      <c r="G214" s="4"/>
      <c r="H214" s="4"/>
      <c r="I214" s="4"/>
      <c r="J214" s="4"/>
      <c r="K214" s="4"/>
      <c r="L214" s="4"/>
      <c r="M214" s="4"/>
      <c r="N214" s="4"/>
      <c r="O214" s="4"/>
      <c r="P214" s="4"/>
      <c r="Q214" s="4"/>
      <c r="R214" s="4"/>
      <c r="S214" s="4"/>
      <c r="T214" s="4"/>
      <c r="U214" s="4"/>
      <c r="V214" s="4"/>
      <c r="W214" s="4"/>
      <c r="X214" s="4"/>
      <c r="Y214" s="4"/>
      <c r="Z214" s="4"/>
    </row>
    <row r="215" ht="15.75" customHeight="1">
      <c r="A215" s="1"/>
      <c r="B215" s="1"/>
      <c r="C215" s="1"/>
      <c r="D215" s="1"/>
      <c r="E215" s="1"/>
      <c r="F215" s="1"/>
      <c r="G215" s="4"/>
      <c r="H215" s="4"/>
      <c r="I215" s="4"/>
      <c r="J215" s="4"/>
      <c r="K215" s="4"/>
      <c r="L215" s="4"/>
      <c r="M215" s="4"/>
      <c r="N215" s="4"/>
      <c r="O215" s="4"/>
      <c r="P215" s="4"/>
      <c r="Q215" s="4"/>
      <c r="R215" s="4"/>
      <c r="S215" s="4"/>
      <c r="T215" s="4"/>
      <c r="U215" s="4"/>
      <c r="V215" s="4"/>
      <c r="W215" s="4"/>
      <c r="X215" s="4"/>
      <c r="Y215" s="4"/>
      <c r="Z215" s="4"/>
    </row>
    <row r="216" ht="15.75" customHeight="1">
      <c r="A216" s="1"/>
      <c r="B216" s="1"/>
      <c r="C216" s="1"/>
      <c r="D216" s="1"/>
      <c r="E216" s="1"/>
      <c r="F216" s="1"/>
      <c r="G216" s="4"/>
      <c r="H216" s="4"/>
      <c r="I216" s="4"/>
      <c r="J216" s="4"/>
      <c r="K216" s="4"/>
      <c r="L216" s="4"/>
      <c r="M216" s="4"/>
      <c r="N216" s="4"/>
      <c r="O216" s="4"/>
      <c r="P216" s="4"/>
      <c r="Q216" s="4"/>
      <c r="R216" s="4"/>
      <c r="S216" s="4"/>
      <c r="T216" s="4"/>
      <c r="U216" s="4"/>
      <c r="V216" s="4"/>
      <c r="W216" s="4"/>
      <c r="X216" s="4"/>
      <c r="Y216" s="4"/>
      <c r="Z216" s="4"/>
    </row>
    <row r="217" ht="15.75" customHeight="1">
      <c r="A217" s="1"/>
      <c r="B217" s="1"/>
      <c r="C217" s="1"/>
      <c r="D217" s="1"/>
      <c r="E217" s="1"/>
      <c r="F217" s="1"/>
      <c r="G217" s="4"/>
      <c r="H217" s="4"/>
      <c r="I217" s="4"/>
      <c r="J217" s="4"/>
      <c r="K217" s="4"/>
      <c r="L217" s="4"/>
      <c r="M217" s="4"/>
      <c r="N217" s="4"/>
      <c r="O217" s="4"/>
      <c r="P217" s="4"/>
      <c r="Q217" s="4"/>
      <c r="R217" s="4"/>
      <c r="S217" s="4"/>
      <c r="T217" s="4"/>
      <c r="U217" s="4"/>
      <c r="V217" s="4"/>
      <c r="W217" s="4"/>
      <c r="X217" s="4"/>
      <c r="Y217" s="4"/>
      <c r="Z217" s="4"/>
    </row>
    <row r="218" ht="15.75" customHeight="1">
      <c r="A218" s="1"/>
      <c r="B218" s="1"/>
      <c r="C218" s="1"/>
      <c r="D218" s="1"/>
      <c r="E218" s="1"/>
      <c r="F218" s="1"/>
      <c r="G218" s="4"/>
      <c r="H218" s="4"/>
      <c r="I218" s="4"/>
      <c r="J218" s="4"/>
      <c r="K218" s="4"/>
      <c r="L218" s="4"/>
      <c r="M218" s="4"/>
      <c r="N218" s="4"/>
      <c r="O218" s="4"/>
      <c r="P218" s="4"/>
      <c r="Q218" s="4"/>
      <c r="R218" s="4"/>
      <c r="S218" s="4"/>
      <c r="T218" s="4"/>
      <c r="U218" s="4"/>
      <c r="V218" s="4"/>
      <c r="W218" s="4"/>
      <c r="X218" s="4"/>
      <c r="Y218" s="4"/>
      <c r="Z218" s="4"/>
    </row>
    <row r="219" ht="15.75" customHeight="1">
      <c r="A219" s="1"/>
      <c r="B219" s="1"/>
      <c r="C219" s="1"/>
      <c r="D219" s="1"/>
      <c r="E219" s="1"/>
      <c r="F219" s="1"/>
      <c r="G219" s="4"/>
      <c r="H219" s="4"/>
      <c r="I219" s="4"/>
      <c r="J219" s="4"/>
      <c r="K219" s="4"/>
      <c r="L219" s="4"/>
      <c r="M219" s="4"/>
      <c r="N219" s="4"/>
      <c r="O219" s="4"/>
      <c r="P219" s="4"/>
      <c r="Q219" s="4"/>
      <c r="R219" s="4"/>
      <c r="S219" s="4"/>
      <c r="T219" s="4"/>
      <c r="U219" s="4"/>
      <c r="V219" s="4"/>
      <c r="W219" s="4"/>
      <c r="X219" s="4"/>
      <c r="Y219" s="4"/>
      <c r="Z219" s="4"/>
    </row>
    <row r="220" ht="15.75" customHeight="1">
      <c r="A220" s="1"/>
      <c r="B220" s="1"/>
      <c r="C220" s="1"/>
      <c r="D220" s="1"/>
      <c r="E220" s="1"/>
      <c r="F220" s="1"/>
      <c r="G220" s="4"/>
      <c r="H220" s="4"/>
      <c r="I220" s="4"/>
      <c r="J220" s="4"/>
      <c r="K220" s="4"/>
      <c r="L220" s="4"/>
      <c r="M220" s="4"/>
      <c r="N220" s="4"/>
      <c r="O220" s="4"/>
      <c r="P220" s="4"/>
      <c r="Q220" s="4"/>
      <c r="R220" s="4"/>
      <c r="S220" s="4"/>
      <c r="T220" s="4"/>
      <c r="U220" s="4"/>
      <c r="V220" s="4"/>
      <c r="W220" s="4"/>
      <c r="X220" s="4"/>
      <c r="Y220" s="4"/>
      <c r="Z220" s="4"/>
    </row>
    <row r="221" ht="15.75" customHeight="1">
      <c r="A221" s="1"/>
      <c r="B221" s="1"/>
      <c r="C221" s="1"/>
      <c r="D221" s="1"/>
      <c r="E221" s="1"/>
      <c r="F221" s="1"/>
      <c r="G221" s="4"/>
      <c r="H221" s="4"/>
      <c r="I221" s="4"/>
      <c r="J221" s="4"/>
      <c r="K221" s="4"/>
      <c r="L221" s="4"/>
      <c r="M221" s="4"/>
      <c r="N221" s="4"/>
      <c r="O221" s="4"/>
      <c r="P221" s="4"/>
      <c r="Q221" s="4"/>
      <c r="R221" s="4"/>
      <c r="S221" s="4"/>
      <c r="T221" s="4"/>
      <c r="U221" s="4"/>
      <c r="V221" s="4"/>
      <c r="W221" s="4"/>
      <c r="X221" s="4"/>
      <c r="Y221" s="4"/>
      <c r="Z221" s="4"/>
    </row>
    <row r="222" ht="15.75" customHeight="1">
      <c r="A222" s="1"/>
      <c r="B222" s="1"/>
      <c r="C222" s="1"/>
      <c r="D222" s="1"/>
      <c r="E222" s="1"/>
      <c r="F222" s="1"/>
      <c r="G222" s="4"/>
      <c r="H222" s="4"/>
      <c r="I222" s="4"/>
      <c r="J222" s="4"/>
      <c r="K222" s="4"/>
      <c r="L222" s="4"/>
      <c r="M222" s="4"/>
      <c r="N222" s="4"/>
      <c r="O222" s="4"/>
      <c r="P222" s="4"/>
      <c r="Q222" s="4"/>
      <c r="R222" s="4"/>
      <c r="S222" s="4"/>
      <c r="T222" s="4"/>
      <c r="U222" s="4"/>
      <c r="V222" s="4"/>
      <c r="W222" s="4"/>
      <c r="X222" s="4"/>
      <c r="Y222" s="4"/>
      <c r="Z222" s="4"/>
    </row>
    <row r="223" ht="15.75" customHeight="1">
      <c r="A223" s="1"/>
      <c r="B223" s="1"/>
      <c r="C223" s="1"/>
      <c r="D223" s="1"/>
      <c r="E223" s="1"/>
      <c r="F223" s="1"/>
      <c r="G223" s="4"/>
      <c r="H223" s="4"/>
      <c r="I223" s="4"/>
      <c r="J223" s="4"/>
      <c r="K223" s="4"/>
      <c r="L223" s="4"/>
      <c r="M223" s="4"/>
      <c r="N223" s="4"/>
      <c r="O223" s="4"/>
      <c r="P223" s="4"/>
      <c r="Q223" s="4"/>
      <c r="R223" s="4"/>
      <c r="S223" s="4"/>
      <c r="T223" s="4"/>
      <c r="U223" s="4"/>
      <c r="V223" s="4"/>
      <c r="W223" s="4"/>
      <c r="X223" s="4"/>
      <c r="Y223" s="4"/>
      <c r="Z223" s="4"/>
    </row>
    <row r="224" ht="15.75" customHeight="1">
      <c r="A224" s="1"/>
      <c r="B224" s="1"/>
      <c r="C224" s="1"/>
      <c r="D224" s="1"/>
      <c r="E224" s="1"/>
      <c r="F224" s="1"/>
      <c r="G224" s="4"/>
      <c r="H224" s="4"/>
      <c r="I224" s="4"/>
      <c r="J224" s="4"/>
      <c r="K224" s="4"/>
      <c r="L224" s="4"/>
      <c r="M224" s="4"/>
      <c r="N224" s="4"/>
      <c r="O224" s="4"/>
      <c r="P224" s="4"/>
      <c r="Q224" s="4"/>
      <c r="R224" s="4"/>
      <c r="S224" s="4"/>
      <c r="T224" s="4"/>
      <c r="U224" s="4"/>
      <c r="V224" s="4"/>
      <c r="W224" s="4"/>
      <c r="X224" s="4"/>
      <c r="Y224" s="4"/>
      <c r="Z224" s="4"/>
    </row>
    <row r="225" ht="15.75" customHeight="1">
      <c r="A225" s="1"/>
      <c r="B225" s="1"/>
      <c r="C225" s="1"/>
      <c r="D225" s="1"/>
      <c r="E225" s="1"/>
      <c r="F225" s="1"/>
      <c r="G225" s="4"/>
      <c r="H225" s="4"/>
      <c r="I225" s="4"/>
      <c r="J225" s="4"/>
      <c r="K225" s="4"/>
      <c r="L225" s="4"/>
      <c r="M225" s="4"/>
      <c r="N225" s="4"/>
      <c r="O225" s="4"/>
      <c r="P225" s="4"/>
      <c r="Q225" s="4"/>
      <c r="R225" s="4"/>
      <c r="S225" s="4"/>
      <c r="T225" s="4"/>
      <c r="U225" s="4"/>
      <c r="V225" s="4"/>
      <c r="W225" s="4"/>
      <c r="X225" s="4"/>
      <c r="Y225" s="4"/>
      <c r="Z225" s="4"/>
    </row>
    <row r="226" ht="15.75" customHeight="1">
      <c r="A226" s="1"/>
      <c r="B226" s="1"/>
      <c r="C226" s="1"/>
      <c r="D226" s="1"/>
      <c r="E226" s="1"/>
      <c r="F226" s="1"/>
      <c r="G226" s="4"/>
      <c r="H226" s="4"/>
      <c r="I226" s="4"/>
      <c r="J226" s="4"/>
      <c r="K226" s="4"/>
      <c r="L226" s="4"/>
      <c r="M226" s="4"/>
      <c r="N226" s="4"/>
      <c r="O226" s="4"/>
      <c r="P226" s="4"/>
      <c r="Q226" s="4"/>
      <c r="R226" s="4"/>
      <c r="S226" s="4"/>
      <c r="T226" s="4"/>
      <c r="U226" s="4"/>
      <c r="V226" s="4"/>
      <c r="W226" s="4"/>
      <c r="X226" s="4"/>
      <c r="Y226" s="4"/>
      <c r="Z226" s="4"/>
    </row>
    <row r="227" ht="15.75" customHeight="1">
      <c r="A227" s="1"/>
      <c r="B227" s="1"/>
      <c r="C227" s="1"/>
      <c r="D227" s="1"/>
      <c r="E227" s="1"/>
      <c r="F227" s="1"/>
      <c r="G227" s="4"/>
      <c r="H227" s="4"/>
      <c r="I227" s="4"/>
      <c r="J227" s="4"/>
      <c r="K227" s="4"/>
      <c r="L227" s="4"/>
      <c r="M227" s="4"/>
      <c r="N227" s="4"/>
      <c r="O227" s="4"/>
      <c r="P227" s="4"/>
      <c r="Q227" s="4"/>
      <c r="R227" s="4"/>
      <c r="S227" s="4"/>
      <c r="T227" s="4"/>
      <c r="U227" s="4"/>
      <c r="V227" s="4"/>
      <c r="W227" s="4"/>
      <c r="X227" s="4"/>
      <c r="Y227" s="4"/>
      <c r="Z227" s="4"/>
    </row>
    <row r="228" ht="15.75" customHeight="1">
      <c r="A228" s="1"/>
      <c r="B228" s="1"/>
      <c r="C228" s="1"/>
      <c r="D228" s="1"/>
      <c r="E228" s="1"/>
      <c r="F228" s="1"/>
      <c r="G228" s="4"/>
      <c r="H228" s="4"/>
      <c r="I228" s="4"/>
      <c r="J228" s="4"/>
      <c r="K228" s="4"/>
      <c r="L228" s="4"/>
      <c r="M228" s="4"/>
      <c r="N228" s="4"/>
      <c r="O228" s="4"/>
      <c r="P228" s="4"/>
      <c r="Q228" s="4"/>
      <c r="R228" s="4"/>
      <c r="S228" s="4"/>
      <c r="T228" s="4"/>
      <c r="U228" s="4"/>
      <c r="V228" s="4"/>
      <c r="W228" s="4"/>
      <c r="X228" s="4"/>
      <c r="Y228" s="4"/>
      <c r="Z228" s="4"/>
    </row>
    <row r="229" ht="15.75" customHeight="1">
      <c r="A229" s="1"/>
      <c r="B229" s="1"/>
      <c r="C229" s="1"/>
      <c r="D229" s="1"/>
      <c r="E229" s="1"/>
      <c r="F229" s="1"/>
      <c r="G229" s="4"/>
      <c r="H229" s="4"/>
      <c r="I229" s="4"/>
      <c r="J229" s="4"/>
      <c r="K229" s="4"/>
      <c r="L229" s="4"/>
      <c r="M229" s="4"/>
      <c r="N229" s="4"/>
      <c r="O229" s="4"/>
      <c r="P229" s="4"/>
      <c r="Q229" s="4"/>
      <c r="R229" s="4"/>
      <c r="S229" s="4"/>
      <c r="T229" s="4"/>
      <c r="U229" s="4"/>
      <c r="V229" s="4"/>
      <c r="W229" s="4"/>
      <c r="X229" s="4"/>
      <c r="Y229" s="4"/>
      <c r="Z229" s="4"/>
    </row>
    <row r="230" ht="15.75" customHeight="1">
      <c r="A230" s="1"/>
      <c r="B230" s="1"/>
      <c r="C230" s="1"/>
      <c r="D230" s="1"/>
      <c r="E230" s="1"/>
      <c r="F230" s="1"/>
      <c r="G230" s="4"/>
      <c r="H230" s="4"/>
      <c r="I230" s="4"/>
      <c r="J230" s="4"/>
      <c r="K230" s="4"/>
      <c r="L230" s="4"/>
      <c r="M230" s="4"/>
      <c r="N230" s="4"/>
      <c r="O230" s="4"/>
      <c r="P230" s="4"/>
      <c r="Q230" s="4"/>
      <c r="R230" s="4"/>
      <c r="S230" s="4"/>
      <c r="T230" s="4"/>
      <c r="U230" s="4"/>
      <c r="V230" s="4"/>
      <c r="W230" s="4"/>
      <c r="X230" s="4"/>
      <c r="Y230" s="4"/>
      <c r="Z230" s="4"/>
    </row>
    <row r="231" ht="15.75" customHeight="1">
      <c r="A231" s="1"/>
      <c r="B231" s="1"/>
      <c r="C231" s="1"/>
      <c r="D231" s="1"/>
      <c r="E231" s="1"/>
      <c r="F231" s="1"/>
      <c r="G231" s="4"/>
      <c r="H231" s="4"/>
      <c r="I231" s="4"/>
      <c r="J231" s="4"/>
      <c r="K231" s="4"/>
      <c r="L231" s="4"/>
      <c r="M231" s="4"/>
      <c r="N231" s="4"/>
      <c r="O231" s="4"/>
      <c r="P231" s="4"/>
      <c r="Q231" s="4"/>
      <c r="R231" s="4"/>
      <c r="S231" s="4"/>
      <c r="T231" s="4"/>
      <c r="U231" s="4"/>
      <c r="V231" s="4"/>
      <c r="W231" s="4"/>
      <c r="X231" s="4"/>
      <c r="Y231" s="4"/>
      <c r="Z231" s="4"/>
    </row>
    <row r="232" ht="15.75" customHeight="1">
      <c r="A232" s="1"/>
      <c r="B232" s="1"/>
      <c r="C232" s="1"/>
      <c r="D232" s="1"/>
      <c r="E232" s="1"/>
      <c r="F232" s="1"/>
      <c r="G232" s="4"/>
      <c r="H232" s="4"/>
      <c r="I232" s="4"/>
      <c r="J232" s="4"/>
      <c r="K232" s="4"/>
      <c r="L232" s="4"/>
      <c r="M232" s="4"/>
      <c r="N232" s="4"/>
      <c r="O232" s="4"/>
      <c r="P232" s="4"/>
      <c r="Q232" s="4"/>
      <c r="R232" s="4"/>
      <c r="S232" s="4"/>
      <c r="T232" s="4"/>
      <c r="U232" s="4"/>
      <c r="V232" s="4"/>
      <c r="W232" s="4"/>
      <c r="X232" s="4"/>
      <c r="Y232" s="4"/>
      <c r="Z232" s="4"/>
    </row>
    <row r="233" ht="15.75" customHeight="1">
      <c r="A233" s="1"/>
      <c r="B233" s="1"/>
      <c r="C233" s="1"/>
      <c r="D233" s="1"/>
      <c r="E233" s="1"/>
      <c r="F233" s="1"/>
      <c r="G233" s="4"/>
      <c r="H233" s="4"/>
      <c r="I233" s="4"/>
      <c r="J233" s="4"/>
      <c r="K233" s="4"/>
      <c r="L233" s="4"/>
      <c r="M233" s="4"/>
      <c r="N233" s="4"/>
      <c r="O233" s="4"/>
      <c r="P233" s="4"/>
      <c r="Q233" s="4"/>
      <c r="R233" s="4"/>
      <c r="S233" s="4"/>
      <c r="T233" s="4"/>
      <c r="U233" s="4"/>
      <c r="V233" s="4"/>
      <c r="W233" s="4"/>
      <c r="X233" s="4"/>
      <c r="Y233" s="4"/>
      <c r="Z233" s="4"/>
    </row>
    <row r="234" ht="15.75" customHeight="1">
      <c r="A234" s="1"/>
      <c r="B234" s="1"/>
      <c r="C234" s="1"/>
      <c r="D234" s="1"/>
      <c r="E234" s="1"/>
      <c r="F234" s="1"/>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36:H36"/>
    <mergeCell ref="A39:H39"/>
    <mergeCell ref="A1:H1"/>
    <mergeCell ref="A2:H2"/>
    <mergeCell ref="A4:H4"/>
    <mergeCell ref="A14:H14"/>
    <mergeCell ref="A22:H22"/>
    <mergeCell ref="A30:H30"/>
    <mergeCell ref="A31:H31"/>
  </mergeCells>
  <dataValidations>
    <dataValidation type="list" allowBlank="1" showErrorMessage="1" sqref="E6:E12">
      <formula1>"Applicable,Not Applicable,Pending Determination"</formula1>
    </dataValidation>
    <dataValidation type="list" allowBlank="1" showErrorMessage="1" sqref="F6:F12 D16:D20 D23:D26 C32">
      <formula1>"Yes,Partial,No,N/A"</formula1>
    </dataValidation>
  </dataValidation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
    <col customWidth="1" min="2" max="2" width="40.29"/>
    <col customWidth="1" min="3" max="3" width="21.0"/>
    <col customWidth="1" min="4" max="4" width="22.14"/>
    <col customWidth="1" min="5" max="5" width="27.29"/>
    <col customWidth="1" min="6" max="6" width="25.86"/>
    <col customWidth="1" min="7" max="7" width="14.0"/>
  </cols>
  <sheetData>
    <row r="1" ht="15.0" customHeight="1">
      <c r="A1" s="143" t="s">
        <v>596</v>
      </c>
      <c r="H1" s="4"/>
      <c r="I1" s="4"/>
      <c r="J1" s="4"/>
      <c r="K1" s="4"/>
      <c r="L1" s="4"/>
      <c r="M1" s="4"/>
      <c r="N1" s="4"/>
      <c r="O1" s="4"/>
      <c r="P1" s="4"/>
      <c r="Q1" s="4"/>
      <c r="R1" s="4"/>
      <c r="S1" s="4"/>
      <c r="T1" s="4"/>
      <c r="U1" s="4"/>
      <c r="V1" s="4"/>
      <c r="W1" s="4"/>
      <c r="X1" s="4"/>
      <c r="Y1" s="4"/>
      <c r="Z1" s="4"/>
    </row>
    <row r="2" ht="15.0" customHeight="1">
      <c r="A2" s="1"/>
      <c r="B2" s="1"/>
      <c r="C2" s="1"/>
      <c r="D2" s="1"/>
      <c r="E2" s="1"/>
      <c r="F2" s="1"/>
      <c r="G2" s="1"/>
      <c r="H2" s="4"/>
      <c r="I2" s="4"/>
      <c r="J2" s="4"/>
      <c r="K2" s="4"/>
      <c r="L2" s="4"/>
      <c r="M2" s="4"/>
      <c r="N2" s="4"/>
      <c r="O2" s="4"/>
      <c r="P2" s="4"/>
      <c r="Q2" s="4"/>
      <c r="R2" s="4"/>
      <c r="S2" s="4"/>
      <c r="T2" s="4"/>
      <c r="U2" s="4"/>
      <c r="V2" s="4"/>
      <c r="W2" s="4"/>
      <c r="X2" s="4"/>
      <c r="Y2" s="4"/>
      <c r="Z2" s="4"/>
    </row>
    <row r="3" ht="15.0" customHeight="1">
      <c r="A3" s="144" t="s">
        <v>609</v>
      </c>
      <c r="H3" s="4"/>
      <c r="I3" s="4"/>
      <c r="J3" s="4"/>
      <c r="K3" s="4"/>
      <c r="L3" s="4"/>
      <c r="M3" s="4"/>
      <c r="N3" s="4"/>
      <c r="O3" s="4"/>
      <c r="P3" s="4"/>
      <c r="Q3" s="4"/>
      <c r="R3" s="4"/>
      <c r="S3" s="4"/>
      <c r="T3" s="4"/>
      <c r="U3" s="4"/>
      <c r="V3" s="4"/>
      <c r="W3" s="4"/>
      <c r="X3" s="4"/>
      <c r="Y3" s="4"/>
      <c r="Z3" s="4"/>
    </row>
    <row r="4" ht="66.0" customHeight="1">
      <c r="A4" s="54" t="s">
        <v>613</v>
      </c>
      <c r="I4" s="4"/>
      <c r="J4" s="4"/>
      <c r="K4" s="4"/>
      <c r="L4" s="4"/>
      <c r="M4" s="4"/>
      <c r="N4" s="4"/>
      <c r="O4" s="4"/>
      <c r="P4" s="4"/>
      <c r="Q4" s="4"/>
      <c r="R4" s="4"/>
      <c r="S4" s="4"/>
      <c r="T4" s="4"/>
      <c r="U4" s="4"/>
      <c r="V4" s="4"/>
      <c r="W4" s="4"/>
      <c r="X4" s="4"/>
      <c r="Y4" s="4"/>
      <c r="Z4" s="4"/>
    </row>
    <row r="5" ht="24.0" customHeight="1">
      <c r="A5" s="9"/>
      <c r="B5" s="75" t="s">
        <v>615</v>
      </c>
      <c r="C5" s="75" t="s">
        <v>617</v>
      </c>
      <c r="D5" s="75" t="s">
        <v>618</v>
      </c>
      <c r="E5" s="75" t="s">
        <v>620</v>
      </c>
      <c r="F5" s="75" t="s">
        <v>621</v>
      </c>
      <c r="G5" s="75" t="s">
        <v>622</v>
      </c>
      <c r="H5" s="83" t="s">
        <v>623</v>
      </c>
      <c r="I5" s="4"/>
      <c r="J5" s="4"/>
      <c r="K5" s="4"/>
      <c r="L5" s="4"/>
      <c r="M5" s="4"/>
      <c r="N5" s="4"/>
      <c r="O5" s="4"/>
      <c r="P5" s="4"/>
      <c r="Q5" s="4"/>
      <c r="R5" s="4"/>
      <c r="S5" s="4"/>
      <c r="T5" s="4"/>
      <c r="U5" s="4"/>
      <c r="V5" s="4"/>
      <c r="W5" s="4"/>
      <c r="X5" s="4"/>
      <c r="Y5" s="4"/>
      <c r="Z5" s="4"/>
    </row>
    <row r="6" ht="15.0" customHeight="1">
      <c r="A6" s="12"/>
      <c r="B6" s="31"/>
      <c r="C6" s="31"/>
      <c r="D6" s="31"/>
      <c r="E6" s="31"/>
      <c r="F6" s="31"/>
      <c r="G6" s="31"/>
      <c r="H6" s="29"/>
      <c r="I6" s="4"/>
      <c r="J6" s="4"/>
      <c r="K6" s="4"/>
      <c r="L6" s="4"/>
      <c r="M6" s="4"/>
      <c r="N6" s="4"/>
      <c r="O6" s="4"/>
      <c r="P6" s="4"/>
      <c r="Q6" s="4"/>
      <c r="R6" s="4"/>
      <c r="S6" s="4"/>
      <c r="T6" s="4"/>
      <c r="U6" s="4"/>
      <c r="V6" s="4"/>
      <c r="W6" s="4"/>
      <c r="X6" s="4"/>
      <c r="Y6" s="4"/>
      <c r="Z6" s="4"/>
    </row>
    <row r="7" ht="15.0" customHeight="1">
      <c r="A7" s="16"/>
      <c r="B7" s="34"/>
      <c r="C7" s="34"/>
      <c r="D7" s="34"/>
      <c r="E7" s="34"/>
      <c r="F7" s="34"/>
      <c r="G7" s="34"/>
      <c r="H7" s="29"/>
      <c r="I7" s="4"/>
      <c r="J7" s="4"/>
      <c r="K7" s="4"/>
      <c r="L7" s="4"/>
      <c r="M7" s="4"/>
      <c r="N7" s="4"/>
      <c r="O7" s="4"/>
      <c r="P7" s="4"/>
      <c r="Q7" s="4"/>
      <c r="R7" s="4"/>
      <c r="S7" s="4"/>
      <c r="T7" s="4"/>
      <c r="U7" s="4"/>
      <c r="V7" s="4"/>
      <c r="W7" s="4"/>
      <c r="X7" s="4"/>
      <c r="Y7" s="4"/>
      <c r="Z7" s="4"/>
    </row>
    <row r="8" ht="15.0" customHeight="1">
      <c r="A8" s="12"/>
      <c r="B8" s="31"/>
      <c r="C8" s="31"/>
      <c r="D8" s="31"/>
      <c r="E8" s="31"/>
      <c r="F8" s="31"/>
      <c r="G8" s="31"/>
      <c r="H8" s="29"/>
      <c r="I8" s="4"/>
      <c r="J8" s="4"/>
      <c r="K8" s="4"/>
      <c r="L8" s="4"/>
      <c r="M8" s="4"/>
      <c r="N8" s="4"/>
      <c r="O8" s="4"/>
      <c r="P8" s="4"/>
      <c r="Q8" s="4"/>
      <c r="R8" s="4"/>
      <c r="S8" s="4"/>
      <c r="T8" s="4"/>
      <c r="U8" s="4"/>
      <c r="V8" s="4"/>
      <c r="W8" s="4"/>
      <c r="X8" s="4"/>
      <c r="Y8" s="4"/>
      <c r="Z8" s="4"/>
    </row>
    <row r="9" ht="15.0" customHeight="1">
      <c r="A9" s="16"/>
      <c r="B9" s="34"/>
      <c r="C9" s="34"/>
      <c r="D9" s="34"/>
      <c r="E9" s="34"/>
      <c r="F9" s="34"/>
      <c r="G9" s="34"/>
      <c r="H9" s="29"/>
      <c r="I9" s="4"/>
      <c r="J9" s="4"/>
      <c r="K9" s="4"/>
      <c r="L9" s="4"/>
      <c r="M9" s="4"/>
      <c r="N9" s="4"/>
      <c r="O9" s="4"/>
      <c r="P9" s="4"/>
      <c r="Q9" s="4"/>
      <c r="R9" s="4"/>
      <c r="S9" s="4"/>
      <c r="T9" s="4"/>
      <c r="U9" s="4"/>
      <c r="V9" s="4"/>
      <c r="W9" s="4"/>
      <c r="X9" s="4"/>
      <c r="Y9" s="4"/>
      <c r="Z9" s="4"/>
    </row>
    <row r="10" ht="15.0" customHeight="1">
      <c r="A10" s="12"/>
      <c r="B10" s="31"/>
      <c r="C10" s="31"/>
      <c r="D10" s="31"/>
      <c r="E10" s="31"/>
      <c r="F10" s="31"/>
      <c r="G10" s="31"/>
      <c r="H10" s="29"/>
      <c r="I10" s="4"/>
      <c r="J10" s="4"/>
      <c r="K10" s="4"/>
      <c r="L10" s="4"/>
      <c r="M10" s="4"/>
      <c r="N10" s="4"/>
      <c r="O10" s="4"/>
      <c r="P10" s="4"/>
      <c r="Q10" s="4"/>
      <c r="R10" s="4"/>
      <c r="S10" s="4"/>
      <c r="T10" s="4"/>
      <c r="U10" s="4"/>
      <c r="V10" s="4"/>
      <c r="W10" s="4"/>
      <c r="X10" s="4"/>
      <c r="Y10" s="4"/>
      <c r="Z10" s="4"/>
    </row>
    <row r="11" ht="15.0" customHeight="1">
      <c r="A11" s="1"/>
      <c r="B11" s="29"/>
      <c r="C11" s="29"/>
      <c r="D11" s="29"/>
      <c r="E11" s="29"/>
      <c r="F11" s="29"/>
      <c r="G11" s="29"/>
      <c r="H11" s="29"/>
      <c r="I11" s="4"/>
      <c r="J11" s="4"/>
      <c r="K11" s="4"/>
      <c r="L11" s="4"/>
      <c r="M11" s="4"/>
      <c r="N11" s="4"/>
      <c r="O11" s="4"/>
      <c r="P11" s="4"/>
      <c r="Q11" s="4"/>
      <c r="R11" s="4"/>
      <c r="S11" s="4"/>
      <c r="T11" s="4"/>
      <c r="U11" s="4"/>
      <c r="V11" s="4"/>
      <c r="W11" s="4"/>
      <c r="X11" s="4"/>
      <c r="Y11" s="4"/>
      <c r="Z11" s="4"/>
    </row>
    <row r="12" ht="15.0" customHeight="1">
      <c r="A12" s="144" t="s">
        <v>637</v>
      </c>
      <c r="H12" s="4"/>
      <c r="I12" s="4"/>
      <c r="J12" s="4"/>
      <c r="K12" s="4"/>
      <c r="L12" s="4"/>
      <c r="M12" s="4"/>
      <c r="N12" s="4"/>
      <c r="O12" s="4"/>
      <c r="P12" s="4"/>
      <c r="Q12" s="4"/>
      <c r="R12" s="4"/>
      <c r="S12" s="4"/>
      <c r="T12" s="4"/>
      <c r="U12" s="4"/>
      <c r="V12" s="4"/>
      <c r="W12" s="4"/>
      <c r="X12" s="4"/>
      <c r="Y12" s="4"/>
      <c r="Z12" s="4"/>
    </row>
    <row r="13" ht="15.0" customHeight="1">
      <c r="A13" s="9"/>
      <c r="B13" s="9" t="s">
        <v>124</v>
      </c>
      <c r="C13" s="9" t="s">
        <v>135</v>
      </c>
      <c r="D13" s="9" t="s">
        <v>162</v>
      </c>
      <c r="E13" s="9" t="s">
        <v>163</v>
      </c>
      <c r="F13" s="1"/>
      <c r="G13" s="1"/>
      <c r="H13" s="4"/>
      <c r="I13" s="4"/>
      <c r="J13" s="4"/>
      <c r="K13" s="4"/>
      <c r="L13" s="4"/>
      <c r="M13" s="4"/>
      <c r="N13" s="4"/>
      <c r="O13" s="4"/>
      <c r="P13" s="4"/>
      <c r="Q13" s="4"/>
      <c r="R13" s="4"/>
      <c r="S13" s="4"/>
      <c r="T13" s="4"/>
      <c r="U13" s="4"/>
      <c r="V13" s="4"/>
      <c r="W13" s="4"/>
      <c r="X13" s="4"/>
      <c r="Y13" s="4"/>
      <c r="Z13" s="4"/>
    </row>
    <row r="14" ht="15.0" customHeight="1">
      <c r="A14" s="12"/>
      <c r="B14" s="12" t="s">
        <v>641</v>
      </c>
      <c r="C14" s="12"/>
      <c r="D14" s="12" t="s">
        <v>171</v>
      </c>
      <c r="E14" s="12"/>
      <c r="F14" s="1"/>
      <c r="G14" s="1"/>
      <c r="H14" s="4"/>
      <c r="I14" s="4"/>
      <c r="J14" s="4"/>
      <c r="K14" s="4"/>
      <c r="L14" s="4"/>
      <c r="M14" s="4"/>
      <c r="N14" s="4"/>
      <c r="O14" s="4"/>
      <c r="P14" s="4"/>
      <c r="Q14" s="4"/>
      <c r="R14" s="4"/>
      <c r="S14" s="4"/>
      <c r="T14" s="4"/>
      <c r="U14" s="4"/>
      <c r="V14" s="4"/>
      <c r="W14" s="4"/>
      <c r="X14" s="4"/>
      <c r="Y14" s="4"/>
      <c r="Z14" s="4"/>
    </row>
    <row r="15" ht="15.0" customHeight="1">
      <c r="A15" s="16"/>
      <c r="B15" s="16" t="s">
        <v>648</v>
      </c>
      <c r="C15" s="16"/>
      <c r="D15" s="16" t="s">
        <v>171</v>
      </c>
      <c r="E15" s="16"/>
      <c r="F15" s="1"/>
      <c r="G15" s="1"/>
      <c r="H15" s="4"/>
      <c r="I15" s="4"/>
      <c r="J15" s="4"/>
      <c r="K15" s="4"/>
      <c r="L15" s="4"/>
      <c r="M15" s="4"/>
      <c r="N15" s="4"/>
      <c r="O15" s="4"/>
      <c r="P15" s="4"/>
      <c r="Q15" s="4"/>
      <c r="R15" s="4"/>
      <c r="S15" s="4"/>
      <c r="T15" s="4"/>
      <c r="U15" s="4"/>
      <c r="V15" s="4"/>
      <c r="W15" s="4"/>
      <c r="X15" s="4"/>
      <c r="Y15" s="4"/>
      <c r="Z15" s="4"/>
    </row>
    <row r="16" ht="15.0" customHeight="1">
      <c r="A16" s="12"/>
      <c r="B16" s="12" t="s">
        <v>649</v>
      </c>
      <c r="C16" s="12"/>
      <c r="D16" s="12" t="s">
        <v>171</v>
      </c>
      <c r="E16" s="12"/>
      <c r="F16" s="1"/>
      <c r="G16" s="1"/>
      <c r="H16" s="4"/>
      <c r="I16" s="4"/>
      <c r="J16" s="4"/>
      <c r="K16" s="4"/>
      <c r="L16" s="4"/>
      <c r="M16" s="4"/>
      <c r="N16" s="4"/>
      <c r="O16" s="4"/>
      <c r="P16" s="4"/>
      <c r="Q16" s="4"/>
      <c r="R16" s="4"/>
      <c r="S16" s="4"/>
      <c r="T16" s="4"/>
      <c r="U16" s="4"/>
      <c r="V16" s="4"/>
      <c r="W16" s="4"/>
      <c r="X16" s="4"/>
      <c r="Y16" s="4"/>
      <c r="Z16" s="4"/>
    </row>
    <row r="17" ht="24.0" customHeight="1">
      <c r="A17" s="16"/>
      <c r="B17" s="16" t="s">
        <v>651</v>
      </c>
      <c r="C17" s="16"/>
      <c r="D17" s="16" t="s">
        <v>652</v>
      </c>
      <c r="E17" s="16"/>
      <c r="F17" s="1"/>
      <c r="G17" s="1"/>
      <c r="H17" s="4"/>
      <c r="I17" s="4"/>
      <c r="J17" s="4"/>
      <c r="K17" s="4"/>
      <c r="L17" s="4"/>
      <c r="M17" s="4"/>
      <c r="N17" s="4"/>
      <c r="O17" s="4"/>
      <c r="P17" s="4"/>
      <c r="Q17" s="4"/>
      <c r="R17" s="4"/>
      <c r="S17" s="4"/>
      <c r="T17" s="4"/>
      <c r="U17" s="4"/>
      <c r="V17" s="4"/>
      <c r="W17" s="4"/>
      <c r="X17" s="4"/>
      <c r="Y17" s="4"/>
      <c r="Z17" s="4"/>
    </row>
    <row r="18" ht="24.0" customHeight="1">
      <c r="A18" s="12"/>
      <c r="B18" s="12" t="s">
        <v>655</v>
      </c>
      <c r="C18" s="12"/>
      <c r="D18" s="12" t="s">
        <v>171</v>
      </c>
      <c r="E18" s="12"/>
      <c r="F18" s="1"/>
      <c r="G18" s="1"/>
      <c r="H18" s="4"/>
      <c r="I18" s="4"/>
      <c r="J18" s="4"/>
      <c r="K18" s="4"/>
      <c r="L18" s="4"/>
      <c r="M18" s="4"/>
      <c r="N18" s="4"/>
      <c r="O18" s="4"/>
      <c r="P18" s="4"/>
      <c r="Q18" s="4"/>
      <c r="R18" s="4"/>
      <c r="S18" s="4"/>
      <c r="T18" s="4"/>
      <c r="U18" s="4"/>
      <c r="V18" s="4"/>
      <c r="W18" s="4"/>
      <c r="X18" s="4"/>
      <c r="Y18" s="4"/>
      <c r="Z18" s="4"/>
    </row>
    <row r="19" ht="15.0" customHeight="1">
      <c r="A19" s="16"/>
      <c r="B19" s="16" t="s">
        <v>656</v>
      </c>
      <c r="C19" s="16"/>
      <c r="D19" s="16" t="s">
        <v>171</v>
      </c>
      <c r="E19" s="16"/>
      <c r="F19" s="1"/>
      <c r="G19" s="1"/>
      <c r="H19" s="4"/>
      <c r="I19" s="4"/>
      <c r="J19" s="4"/>
      <c r="K19" s="4"/>
      <c r="L19" s="4"/>
      <c r="M19" s="4"/>
      <c r="N19" s="4"/>
      <c r="O19" s="4"/>
      <c r="P19" s="4"/>
      <c r="Q19" s="4"/>
      <c r="R19" s="4"/>
      <c r="S19" s="4"/>
      <c r="T19" s="4"/>
      <c r="U19" s="4"/>
      <c r="V19" s="4"/>
      <c r="W19" s="4"/>
      <c r="X19" s="4"/>
      <c r="Y19" s="4"/>
      <c r="Z19" s="4"/>
    </row>
    <row r="20" ht="15.0" customHeight="1">
      <c r="A20" s="1"/>
      <c r="B20" s="1"/>
      <c r="C20" s="1"/>
      <c r="D20" s="1"/>
      <c r="E20" s="1"/>
      <c r="F20" s="1"/>
      <c r="G20" s="1"/>
      <c r="H20" s="4"/>
      <c r="I20" s="4"/>
      <c r="J20" s="4"/>
      <c r="K20" s="4"/>
      <c r="L20" s="4"/>
      <c r="M20" s="4"/>
      <c r="N20" s="4"/>
      <c r="O20" s="4"/>
      <c r="P20" s="4"/>
      <c r="Q20" s="4"/>
      <c r="R20" s="4"/>
      <c r="S20" s="4"/>
      <c r="T20" s="4"/>
      <c r="U20" s="4"/>
      <c r="V20" s="4"/>
      <c r="W20" s="4"/>
      <c r="X20" s="4"/>
      <c r="Y20" s="4"/>
      <c r="Z20" s="4"/>
    </row>
    <row r="21" ht="15.0" customHeight="1">
      <c r="A21" s="73" t="s">
        <v>657</v>
      </c>
      <c r="H21" s="74"/>
      <c r="I21" s="4"/>
      <c r="J21" s="4"/>
      <c r="K21" s="4"/>
      <c r="L21" s="4"/>
      <c r="M21" s="4"/>
      <c r="N21" s="4"/>
      <c r="O21" s="4"/>
      <c r="P21" s="4"/>
      <c r="Q21" s="4"/>
      <c r="R21" s="4"/>
      <c r="S21" s="4"/>
      <c r="T21" s="4"/>
      <c r="U21" s="4"/>
      <c r="V21" s="4"/>
      <c r="W21" s="4"/>
      <c r="X21" s="4"/>
      <c r="Y21" s="4"/>
      <c r="Z21" s="4"/>
    </row>
    <row r="22" ht="15.0" customHeight="1">
      <c r="A22" s="75"/>
      <c r="B22" s="75" t="s">
        <v>272</v>
      </c>
      <c r="C22" s="75" t="s">
        <v>159</v>
      </c>
      <c r="D22" s="75" t="s">
        <v>658</v>
      </c>
      <c r="E22" s="75" t="s">
        <v>659</v>
      </c>
      <c r="F22" s="75" t="s">
        <v>300</v>
      </c>
      <c r="G22" s="146" t="s">
        <v>163</v>
      </c>
      <c r="H22" s="74" t="s">
        <v>388</v>
      </c>
      <c r="I22" s="4"/>
      <c r="J22" s="4"/>
      <c r="K22" s="4"/>
      <c r="L22" s="4"/>
      <c r="M22" s="4"/>
      <c r="N22" s="4"/>
      <c r="O22" s="4"/>
      <c r="P22" s="4"/>
      <c r="Q22" s="4"/>
      <c r="R22" s="4"/>
      <c r="S22" s="4"/>
      <c r="T22" s="4"/>
      <c r="U22" s="4"/>
      <c r="V22" s="4"/>
      <c r="W22" s="4"/>
      <c r="X22" s="4"/>
      <c r="Y22" s="4"/>
      <c r="Z22" s="4"/>
    </row>
    <row r="23" ht="36.0" customHeight="1">
      <c r="A23" s="12"/>
      <c r="B23" s="34" t="s">
        <v>661</v>
      </c>
      <c r="C23" s="34" t="s">
        <v>662</v>
      </c>
      <c r="D23" s="34" t="s">
        <v>663</v>
      </c>
      <c r="E23" s="34"/>
      <c r="F23" s="34"/>
      <c r="G23" s="76"/>
      <c r="H23" s="76"/>
      <c r="I23" s="4"/>
      <c r="J23" s="4"/>
      <c r="K23" s="4"/>
      <c r="L23" s="4"/>
      <c r="M23" s="4"/>
      <c r="N23" s="4"/>
      <c r="O23" s="4"/>
      <c r="P23" s="4"/>
      <c r="Q23" s="4"/>
      <c r="R23" s="4"/>
      <c r="S23" s="4"/>
      <c r="T23" s="4"/>
      <c r="U23" s="4"/>
      <c r="V23" s="4"/>
      <c r="W23" s="4"/>
      <c r="X23" s="4"/>
      <c r="Y23" s="4"/>
      <c r="Z23" s="4"/>
    </row>
    <row r="24" ht="72.0" customHeight="1">
      <c r="A24" s="16"/>
      <c r="B24" s="77" t="s">
        <v>664</v>
      </c>
      <c r="C24" s="77" t="s">
        <v>665</v>
      </c>
      <c r="D24" s="77" t="s">
        <v>666</v>
      </c>
      <c r="E24" s="77"/>
      <c r="F24" s="77"/>
      <c r="G24" s="78"/>
      <c r="H24" s="78"/>
      <c r="I24" s="4"/>
      <c r="J24" s="4"/>
      <c r="K24" s="4"/>
      <c r="L24" s="4"/>
      <c r="M24" s="4"/>
      <c r="N24" s="4"/>
      <c r="O24" s="4"/>
      <c r="P24" s="4"/>
      <c r="Q24" s="4"/>
      <c r="R24" s="4"/>
      <c r="S24" s="4"/>
      <c r="T24" s="4"/>
      <c r="U24" s="4"/>
      <c r="V24" s="4"/>
      <c r="W24" s="4"/>
      <c r="X24" s="4"/>
      <c r="Y24" s="4"/>
      <c r="Z24" s="4"/>
    </row>
    <row r="25" ht="36.0" customHeight="1">
      <c r="A25" s="12"/>
      <c r="B25" s="34" t="s">
        <v>669</v>
      </c>
      <c r="C25" s="34" t="s">
        <v>670</v>
      </c>
      <c r="D25" s="34" t="s">
        <v>671</v>
      </c>
      <c r="E25" s="34"/>
      <c r="F25" s="34"/>
      <c r="G25" s="76"/>
      <c r="H25" s="76"/>
      <c r="I25" s="4"/>
      <c r="J25" s="4"/>
      <c r="K25" s="4"/>
      <c r="L25" s="4"/>
      <c r="M25" s="4"/>
      <c r="N25" s="4"/>
      <c r="O25" s="4"/>
      <c r="P25" s="4"/>
      <c r="Q25" s="4"/>
      <c r="R25" s="4"/>
      <c r="S25" s="4"/>
      <c r="T25" s="4"/>
      <c r="U25" s="4"/>
      <c r="V25" s="4"/>
      <c r="W25" s="4"/>
      <c r="X25" s="4"/>
      <c r="Y25" s="4"/>
      <c r="Z25" s="4"/>
    </row>
    <row r="26" ht="60.0" customHeight="1">
      <c r="A26" s="16"/>
      <c r="B26" s="77" t="s">
        <v>673</v>
      </c>
      <c r="C26" s="77" t="s">
        <v>674</v>
      </c>
      <c r="D26" s="77" t="s">
        <v>676</v>
      </c>
      <c r="E26" s="77"/>
      <c r="F26" s="77"/>
      <c r="G26" s="78"/>
      <c r="H26" s="78"/>
      <c r="I26" s="4"/>
      <c r="J26" s="4"/>
      <c r="K26" s="4"/>
      <c r="L26" s="4"/>
      <c r="M26" s="4"/>
      <c r="N26" s="4"/>
      <c r="O26" s="4"/>
      <c r="P26" s="4"/>
      <c r="Q26" s="4"/>
      <c r="R26" s="4"/>
      <c r="S26" s="4"/>
      <c r="T26" s="4"/>
      <c r="U26" s="4"/>
      <c r="V26" s="4"/>
      <c r="W26" s="4"/>
      <c r="X26" s="4"/>
      <c r="Y26" s="4"/>
      <c r="Z26" s="4"/>
    </row>
    <row r="27" ht="24.0" customHeight="1">
      <c r="A27" s="12"/>
      <c r="B27" s="34" t="s">
        <v>678</v>
      </c>
      <c r="C27" s="34" t="s">
        <v>679</v>
      </c>
      <c r="D27" s="34" t="s">
        <v>680</v>
      </c>
      <c r="E27" s="34"/>
      <c r="F27" s="34"/>
      <c r="G27" s="76"/>
      <c r="H27" s="76"/>
      <c r="I27" s="4"/>
      <c r="J27" s="4"/>
      <c r="K27" s="4"/>
      <c r="L27" s="4"/>
      <c r="M27" s="4"/>
      <c r="N27" s="4"/>
      <c r="O27" s="4"/>
      <c r="P27" s="4"/>
      <c r="Q27" s="4"/>
      <c r="R27" s="4"/>
      <c r="S27" s="4"/>
      <c r="T27" s="4"/>
      <c r="U27" s="4"/>
      <c r="V27" s="4"/>
      <c r="W27" s="4"/>
      <c r="X27" s="4"/>
      <c r="Y27" s="4"/>
      <c r="Z27" s="4"/>
    </row>
    <row r="28" ht="60.0" customHeight="1">
      <c r="A28" s="16"/>
      <c r="B28" s="77" t="s">
        <v>682</v>
      </c>
      <c r="C28" s="77" t="s">
        <v>683</v>
      </c>
      <c r="D28" s="77" t="s">
        <v>685</v>
      </c>
      <c r="E28" s="77"/>
      <c r="F28" s="77"/>
      <c r="G28" s="78"/>
      <c r="H28" s="78"/>
      <c r="I28" s="4"/>
      <c r="J28" s="4"/>
      <c r="K28" s="4"/>
      <c r="L28" s="4"/>
      <c r="M28" s="4"/>
      <c r="N28" s="4"/>
      <c r="O28" s="4"/>
      <c r="P28" s="4"/>
      <c r="Q28" s="4"/>
      <c r="R28" s="4"/>
      <c r="S28" s="4"/>
      <c r="T28" s="4"/>
      <c r="U28" s="4"/>
      <c r="V28" s="4"/>
      <c r="W28" s="4"/>
      <c r="X28" s="4"/>
      <c r="Y28" s="4"/>
      <c r="Z28" s="4"/>
    </row>
    <row r="29" ht="24.0" customHeight="1">
      <c r="A29" s="12"/>
      <c r="B29" s="12"/>
      <c r="C29" s="12"/>
      <c r="D29" s="12"/>
      <c r="E29" s="12"/>
      <c r="F29" s="12"/>
      <c r="G29" s="1"/>
      <c r="H29" s="4"/>
      <c r="I29" s="4"/>
      <c r="J29" s="4"/>
      <c r="K29" s="4"/>
      <c r="L29" s="4"/>
      <c r="M29" s="4"/>
      <c r="N29" s="4"/>
      <c r="O29" s="4"/>
      <c r="P29" s="4"/>
      <c r="Q29" s="4"/>
      <c r="R29" s="4"/>
      <c r="S29" s="4"/>
      <c r="T29" s="4"/>
      <c r="U29" s="4"/>
      <c r="V29" s="4"/>
      <c r="W29" s="4"/>
      <c r="X29" s="4"/>
      <c r="Y29" s="4"/>
      <c r="Z29" s="4"/>
    </row>
    <row r="30" ht="25.5" customHeight="1">
      <c r="A30" s="147" t="s">
        <v>691</v>
      </c>
      <c r="B30" s="5"/>
      <c r="C30" s="5"/>
      <c r="D30" s="5"/>
      <c r="E30" s="5"/>
      <c r="F30" s="5"/>
      <c r="G30" s="5"/>
      <c r="H30" s="6"/>
      <c r="I30" s="4"/>
      <c r="J30" s="4"/>
      <c r="K30" s="4"/>
      <c r="L30" s="4"/>
      <c r="M30" s="4"/>
      <c r="N30" s="4"/>
      <c r="O30" s="4"/>
      <c r="P30" s="4"/>
      <c r="Q30" s="4"/>
      <c r="R30" s="4"/>
      <c r="S30" s="4"/>
      <c r="T30" s="4"/>
      <c r="U30" s="4"/>
      <c r="V30" s="4"/>
      <c r="W30" s="4"/>
      <c r="X30" s="4"/>
      <c r="Y30" s="4"/>
      <c r="Z30" s="4"/>
    </row>
    <row r="31" ht="42.0" customHeight="1">
      <c r="A31" s="88" t="s">
        <v>695</v>
      </c>
      <c r="I31" s="4"/>
      <c r="J31" s="4"/>
      <c r="K31" s="4"/>
      <c r="L31" s="4"/>
      <c r="M31" s="4"/>
      <c r="N31" s="4"/>
      <c r="O31" s="4"/>
      <c r="P31" s="4"/>
      <c r="Q31" s="4"/>
      <c r="R31" s="4"/>
      <c r="S31" s="4"/>
      <c r="T31" s="4"/>
      <c r="U31" s="4"/>
      <c r="V31" s="4"/>
      <c r="W31" s="4"/>
      <c r="X31" s="4"/>
      <c r="Y31" s="4"/>
      <c r="Z31" s="4"/>
    </row>
    <row r="32" ht="15.75" customHeight="1">
      <c r="A32" s="1"/>
      <c r="B32" s="146" t="s">
        <v>697</v>
      </c>
      <c r="C32" s="146" t="s">
        <v>698</v>
      </c>
      <c r="D32" s="1"/>
      <c r="E32" s="1"/>
      <c r="F32" s="1"/>
      <c r="G32" s="1"/>
      <c r="H32" s="4"/>
      <c r="I32" s="4"/>
      <c r="J32" s="4"/>
      <c r="K32" s="4"/>
      <c r="L32" s="4"/>
      <c r="M32" s="4"/>
      <c r="N32" s="4"/>
      <c r="O32" s="4"/>
      <c r="P32" s="4"/>
      <c r="Q32" s="4"/>
      <c r="R32" s="4"/>
      <c r="S32" s="4"/>
      <c r="T32" s="4"/>
      <c r="U32" s="4"/>
      <c r="V32" s="4"/>
      <c r="W32" s="4"/>
      <c r="X32" s="4"/>
      <c r="Y32" s="4"/>
      <c r="Z32" s="4"/>
    </row>
    <row r="33" ht="24.0" customHeight="1">
      <c r="A33" s="1"/>
      <c r="B33" s="76" t="s">
        <v>700</v>
      </c>
      <c r="C33" s="76" t="s">
        <v>701</v>
      </c>
      <c r="D33" s="1"/>
      <c r="E33" s="1"/>
      <c r="F33" s="1"/>
      <c r="G33" s="1"/>
      <c r="H33" s="4"/>
      <c r="I33" s="4"/>
      <c r="J33" s="4"/>
      <c r="K33" s="4"/>
      <c r="L33" s="4"/>
      <c r="M33" s="4"/>
      <c r="N33" s="4"/>
      <c r="O33" s="4"/>
      <c r="P33" s="4"/>
      <c r="Q33" s="4"/>
      <c r="R33" s="4"/>
      <c r="S33" s="4"/>
      <c r="T33" s="4"/>
      <c r="U33" s="4"/>
      <c r="V33" s="4"/>
      <c r="W33" s="4"/>
      <c r="X33" s="4"/>
      <c r="Y33" s="4"/>
      <c r="Z33" s="4"/>
    </row>
    <row r="34" ht="24.0" customHeight="1">
      <c r="A34" s="1"/>
      <c r="B34" s="78" t="s">
        <v>702</v>
      </c>
      <c r="C34" s="78" t="s">
        <v>703</v>
      </c>
      <c r="D34" s="1"/>
      <c r="E34" s="1"/>
      <c r="F34" s="1"/>
      <c r="G34" s="1"/>
      <c r="H34" s="4"/>
      <c r="I34" s="4"/>
      <c r="J34" s="4"/>
      <c r="K34" s="4"/>
      <c r="L34" s="4"/>
      <c r="M34" s="4"/>
      <c r="N34" s="4"/>
      <c r="O34" s="4"/>
      <c r="P34" s="4"/>
      <c r="Q34" s="4"/>
      <c r="R34" s="4"/>
      <c r="S34" s="4"/>
      <c r="T34" s="4"/>
      <c r="U34" s="4"/>
      <c r="V34" s="4"/>
      <c r="W34" s="4"/>
      <c r="X34" s="4"/>
      <c r="Y34" s="4"/>
      <c r="Z34" s="4"/>
    </row>
    <row r="35" ht="48.0" customHeight="1">
      <c r="A35" s="1"/>
      <c r="B35" s="76" t="s">
        <v>705</v>
      </c>
      <c r="C35" s="76" t="s">
        <v>706</v>
      </c>
      <c r="D35" s="1"/>
      <c r="E35" s="1"/>
      <c r="F35" s="1"/>
      <c r="G35" s="1"/>
      <c r="H35" s="4"/>
      <c r="I35" s="4"/>
      <c r="J35" s="4"/>
      <c r="K35" s="4"/>
      <c r="L35" s="4"/>
      <c r="M35" s="4"/>
      <c r="N35" s="4"/>
      <c r="O35" s="4"/>
      <c r="P35" s="4"/>
      <c r="Q35" s="4"/>
      <c r="R35" s="4"/>
      <c r="S35" s="4"/>
      <c r="T35" s="4"/>
      <c r="U35" s="4"/>
      <c r="V35" s="4"/>
      <c r="W35" s="4"/>
      <c r="X35" s="4"/>
      <c r="Y35" s="4"/>
      <c r="Z35" s="4"/>
    </row>
    <row r="36" ht="36.0" customHeight="1">
      <c r="A36" s="1"/>
      <c r="B36" s="78" t="s">
        <v>708</v>
      </c>
      <c r="C36" s="78" t="s">
        <v>709</v>
      </c>
      <c r="D36" s="1"/>
      <c r="E36" s="1"/>
      <c r="F36" s="1"/>
      <c r="G36" s="1"/>
      <c r="H36" s="4"/>
      <c r="I36" s="4"/>
      <c r="J36" s="4"/>
      <c r="K36" s="4"/>
      <c r="L36" s="4"/>
      <c r="M36" s="4"/>
      <c r="N36" s="4"/>
      <c r="O36" s="4"/>
      <c r="P36" s="4"/>
      <c r="Q36" s="4"/>
      <c r="R36" s="4"/>
      <c r="S36" s="4"/>
      <c r="T36" s="4"/>
      <c r="U36" s="4"/>
      <c r="V36" s="4"/>
      <c r="W36" s="4"/>
      <c r="X36" s="4"/>
      <c r="Y36" s="4"/>
      <c r="Z36" s="4"/>
    </row>
    <row r="37" ht="24.0" customHeight="1">
      <c r="A37" s="1"/>
      <c r="B37" s="76" t="s">
        <v>712</v>
      </c>
      <c r="C37" s="76" t="s">
        <v>713</v>
      </c>
      <c r="D37" s="1"/>
      <c r="E37" s="1"/>
      <c r="F37" s="1"/>
      <c r="G37" s="1"/>
      <c r="H37" s="4"/>
      <c r="I37" s="4"/>
      <c r="J37" s="4"/>
      <c r="K37" s="4"/>
      <c r="L37" s="4"/>
      <c r="M37" s="4"/>
      <c r="N37" s="4"/>
      <c r="O37" s="4"/>
      <c r="P37" s="4"/>
      <c r="Q37" s="4"/>
      <c r="R37" s="4"/>
      <c r="S37" s="4"/>
      <c r="T37" s="4"/>
      <c r="U37" s="4"/>
      <c r="V37" s="4"/>
      <c r="W37" s="4"/>
      <c r="X37" s="4"/>
      <c r="Y37" s="4"/>
      <c r="Z37" s="4"/>
    </row>
    <row r="38" ht="24.0" customHeight="1">
      <c r="A38" s="1"/>
      <c r="B38" s="78" t="s">
        <v>716</v>
      </c>
      <c r="C38" s="78" t="s">
        <v>717</v>
      </c>
      <c r="D38" s="1"/>
      <c r="E38" s="1"/>
      <c r="F38" s="1"/>
      <c r="G38" s="1"/>
      <c r="H38" s="4"/>
      <c r="I38" s="4"/>
      <c r="J38" s="4"/>
      <c r="K38" s="4"/>
      <c r="L38" s="4"/>
      <c r="M38" s="4"/>
      <c r="N38" s="4"/>
      <c r="O38" s="4"/>
      <c r="P38" s="4"/>
      <c r="Q38" s="4"/>
      <c r="R38" s="4"/>
      <c r="S38" s="4"/>
      <c r="T38" s="4"/>
      <c r="U38" s="4"/>
      <c r="V38" s="4"/>
      <c r="W38" s="4"/>
      <c r="X38" s="4"/>
      <c r="Y38" s="4"/>
      <c r="Z38" s="4"/>
    </row>
    <row r="39" ht="24.0" customHeight="1">
      <c r="A39" s="1"/>
      <c r="B39" s="76" t="s">
        <v>718</v>
      </c>
      <c r="C39" s="76" t="s">
        <v>719</v>
      </c>
      <c r="D39" s="1"/>
      <c r="E39" s="1"/>
      <c r="F39" s="1"/>
      <c r="G39" s="1"/>
      <c r="H39" s="4"/>
      <c r="I39" s="4"/>
      <c r="J39" s="4"/>
      <c r="K39" s="4"/>
      <c r="L39" s="4"/>
      <c r="M39" s="4"/>
      <c r="N39" s="4"/>
      <c r="O39" s="4"/>
      <c r="P39" s="4"/>
      <c r="Q39" s="4"/>
      <c r="R39" s="4"/>
      <c r="S39" s="4"/>
      <c r="T39" s="4"/>
      <c r="U39" s="4"/>
      <c r="V39" s="4"/>
      <c r="W39" s="4"/>
      <c r="X39" s="4"/>
      <c r="Y39" s="4"/>
      <c r="Z39" s="4"/>
    </row>
    <row r="40" ht="15.0" customHeight="1">
      <c r="A40" s="1"/>
      <c r="B40" s="78" t="s">
        <v>722</v>
      </c>
      <c r="C40" s="78" t="s">
        <v>723</v>
      </c>
      <c r="D40" s="1"/>
      <c r="E40" s="1"/>
      <c r="F40" s="1"/>
      <c r="G40" s="1"/>
      <c r="H40" s="4"/>
      <c r="I40" s="4"/>
      <c r="J40" s="4"/>
      <c r="K40" s="4"/>
      <c r="L40" s="4"/>
      <c r="M40" s="4"/>
      <c r="N40" s="4"/>
      <c r="O40" s="4"/>
      <c r="P40" s="4"/>
      <c r="Q40" s="4"/>
      <c r="R40" s="4"/>
      <c r="S40" s="4"/>
      <c r="T40" s="4"/>
      <c r="U40" s="4"/>
      <c r="V40" s="4"/>
      <c r="W40" s="4"/>
      <c r="X40" s="4"/>
      <c r="Y40" s="4"/>
      <c r="Z40" s="4"/>
    </row>
    <row r="41" ht="15.75" customHeight="1">
      <c r="A41" s="1"/>
      <c r="B41" s="1"/>
      <c r="C41" s="1"/>
      <c r="D41" s="1"/>
      <c r="E41" s="1"/>
      <c r="F41" s="1"/>
      <c r="G41" s="1"/>
      <c r="H41" s="4"/>
      <c r="I41" s="4"/>
      <c r="J41" s="4"/>
      <c r="K41" s="4"/>
      <c r="L41" s="4"/>
      <c r="M41" s="4"/>
      <c r="N41" s="4"/>
      <c r="O41" s="4"/>
      <c r="P41" s="4"/>
      <c r="Q41" s="4"/>
      <c r="R41" s="4"/>
      <c r="S41" s="4"/>
      <c r="T41" s="4"/>
      <c r="U41" s="4"/>
      <c r="V41" s="4"/>
      <c r="W41" s="4"/>
      <c r="X41" s="4"/>
      <c r="Y41" s="4"/>
      <c r="Z41" s="4"/>
    </row>
    <row r="42" ht="15.75" customHeight="1">
      <c r="A42" s="1"/>
      <c r="B42" s="1"/>
      <c r="C42" s="1"/>
      <c r="D42" s="1"/>
      <c r="E42" s="1"/>
      <c r="F42" s="1"/>
      <c r="G42" s="1"/>
      <c r="H42" s="4"/>
      <c r="I42" s="4"/>
      <c r="J42" s="4"/>
      <c r="K42" s="4"/>
      <c r="L42" s="4"/>
      <c r="M42" s="4"/>
      <c r="N42" s="4"/>
      <c r="O42" s="4"/>
      <c r="P42" s="4"/>
      <c r="Q42" s="4"/>
      <c r="R42" s="4"/>
      <c r="S42" s="4"/>
      <c r="T42" s="4"/>
      <c r="U42" s="4"/>
      <c r="V42" s="4"/>
      <c r="W42" s="4"/>
      <c r="X42" s="4"/>
      <c r="Y42" s="4"/>
      <c r="Z42" s="4"/>
    </row>
    <row r="43" ht="15.75" customHeight="1">
      <c r="A43" s="1"/>
      <c r="B43" s="1"/>
      <c r="C43" s="1"/>
      <c r="D43" s="1"/>
      <c r="E43" s="1"/>
      <c r="F43" s="1"/>
      <c r="G43" s="1"/>
      <c r="H43" s="4"/>
      <c r="I43" s="4"/>
      <c r="J43" s="4"/>
      <c r="K43" s="4"/>
      <c r="L43" s="4"/>
      <c r="M43" s="4"/>
      <c r="N43" s="4"/>
      <c r="O43" s="4"/>
      <c r="P43" s="4"/>
      <c r="Q43" s="4"/>
      <c r="R43" s="4"/>
      <c r="S43" s="4"/>
      <c r="T43" s="4"/>
      <c r="U43" s="4"/>
      <c r="V43" s="4"/>
      <c r="W43" s="4"/>
      <c r="X43" s="4"/>
      <c r="Y43" s="4"/>
      <c r="Z43" s="4"/>
    </row>
    <row r="44" ht="15.75" customHeight="1">
      <c r="A44" s="1"/>
      <c r="B44" s="1"/>
      <c r="C44" s="1"/>
      <c r="D44" s="1"/>
      <c r="E44" s="1"/>
      <c r="F44" s="1"/>
      <c r="G44" s="1"/>
      <c r="H44" s="4"/>
      <c r="I44" s="4"/>
      <c r="J44" s="4"/>
      <c r="K44" s="4"/>
      <c r="L44" s="4"/>
      <c r="M44" s="4"/>
      <c r="N44" s="4"/>
      <c r="O44" s="4"/>
      <c r="P44" s="4"/>
      <c r="Q44" s="4"/>
      <c r="R44" s="4"/>
      <c r="S44" s="4"/>
      <c r="T44" s="4"/>
      <c r="U44" s="4"/>
      <c r="V44" s="4"/>
      <c r="W44" s="4"/>
      <c r="X44" s="4"/>
      <c r="Y44" s="4"/>
      <c r="Z44" s="4"/>
    </row>
    <row r="45" ht="15.75" customHeight="1">
      <c r="A45" s="1"/>
      <c r="B45" s="1"/>
      <c r="C45" s="1"/>
      <c r="D45" s="1"/>
      <c r="E45" s="1"/>
      <c r="F45" s="1"/>
      <c r="G45" s="1"/>
      <c r="H45" s="4"/>
      <c r="I45" s="4"/>
      <c r="J45" s="4"/>
      <c r="K45" s="4"/>
      <c r="L45" s="4"/>
      <c r="M45" s="4"/>
      <c r="N45" s="4"/>
      <c r="O45" s="4"/>
      <c r="P45" s="4"/>
      <c r="Q45" s="4"/>
      <c r="R45" s="4"/>
      <c r="S45" s="4"/>
      <c r="T45" s="4"/>
      <c r="U45" s="4"/>
      <c r="V45" s="4"/>
      <c r="W45" s="4"/>
      <c r="X45" s="4"/>
      <c r="Y45" s="4"/>
      <c r="Z45" s="4"/>
    </row>
    <row r="46" ht="15.75" customHeight="1">
      <c r="A46" s="1"/>
      <c r="B46" s="1"/>
      <c r="C46" s="1"/>
      <c r="D46" s="1"/>
      <c r="E46" s="1"/>
      <c r="F46" s="1"/>
      <c r="G46" s="1"/>
      <c r="H46" s="4"/>
      <c r="I46" s="4"/>
      <c r="J46" s="4"/>
      <c r="K46" s="4"/>
      <c r="L46" s="4"/>
      <c r="M46" s="4"/>
      <c r="N46" s="4"/>
      <c r="O46" s="4"/>
      <c r="P46" s="4"/>
      <c r="Q46" s="4"/>
      <c r="R46" s="4"/>
      <c r="S46" s="4"/>
      <c r="T46" s="4"/>
      <c r="U46" s="4"/>
      <c r="V46" s="4"/>
      <c r="W46" s="4"/>
      <c r="X46" s="4"/>
      <c r="Y46" s="4"/>
      <c r="Z46" s="4"/>
    </row>
    <row r="47" ht="15.75" customHeight="1">
      <c r="A47" s="1"/>
      <c r="B47" s="1"/>
      <c r="C47" s="1"/>
      <c r="D47" s="1"/>
      <c r="E47" s="1"/>
      <c r="F47" s="1"/>
      <c r="G47" s="1"/>
      <c r="H47" s="4"/>
      <c r="I47" s="4"/>
      <c r="J47" s="4"/>
      <c r="K47" s="4"/>
      <c r="L47" s="4"/>
      <c r="M47" s="4"/>
      <c r="N47" s="4"/>
      <c r="O47" s="4"/>
      <c r="P47" s="4"/>
      <c r="Q47" s="4"/>
      <c r="R47" s="4"/>
      <c r="S47" s="4"/>
      <c r="T47" s="4"/>
      <c r="U47" s="4"/>
      <c r="V47" s="4"/>
      <c r="W47" s="4"/>
      <c r="X47" s="4"/>
      <c r="Y47" s="4"/>
      <c r="Z47" s="4"/>
    </row>
    <row r="48" ht="15.75" customHeight="1">
      <c r="A48" s="1"/>
      <c r="B48" s="1"/>
      <c r="C48" s="1"/>
      <c r="D48" s="1"/>
      <c r="E48" s="1"/>
      <c r="F48" s="1"/>
      <c r="G48" s="1"/>
      <c r="H48" s="4"/>
      <c r="I48" s="4"/>
      <c r="J48" s="4"/>
      <c r="K48" s="4"/>
      <c r="L48" s="4"/>
      <c r="M48" s="4"/>
      <c r="N48" s="4"/>
      <c r="O48" s="4"/>
      <c r="P48" s="4"/>
      <c r="Q48" s="4"/>
      <c r="R48" s="4"/>
      <c r="S48" s="4"/>
      <c r="T48" s="4"/>
      <c r="U48" s="4"/>
      <c r="V48" s="4"/>
      <c r="W48" s="4"/>
      <c r="X48" s="4"/>
      <c r="Y48" s="4"/>
      <c r="Z48" s="4"/>
    </row>
    <row r="49" ht="15.75" customHeight="1">
      <c r="A49" s="1"/>
      <c r="B49" s="1"/>
      <c r="C49" s="1"/>
      <c r="D49" s="1"/>
      <c r="E49" s="1"/>
      <c r="F49" s="1"/>
      <c r="G49" s="1"/>
      <c r="H49" s="4"/>
      <c r="I49" s="4"/>
      <c r="J49" s="4"/>
      <c r="K49" s="4"/>
      <c r="L49" s="4"/>
      <c r="M49" s="4"/>
      <c r="N49" s="4"/>
      <c r="O49" s="4"/>
      <c r="P49" s="4"/>
      <c r="Q49" s="4"/>
      <c r="R49" s="4"/>
      <c r="S49" s="4"/>
      <c r="T49" s="4"/>
      <c r="U49" s="4"/>
      <c r="V49" s="4"/>
      <c r="W49" s="4"/>
      <c r="X49" s="4"/>
      <c r="Y49" s="4"/>
      <c r="Z49" s="4"/>
    </row>
    <row r="50" ht="15.75" customHeight="1">
      <c r="A50" s="1"/>
      <c r="B50" s="1"/>
      <c r="C50" s="1"/>
      <c r="D50" s="1"/>
      <c r="E50" s="1"/>
      <c r="F50" s="1"/>
      <c r="G50" s="1"/>
      <c r="H50" s="4"/>
      <c r="I50" s="4"/>
      <c r="J50" s="4"/>
      <c r="K50" s="4"/>
      <c r="L50" s="4"/>
      <c r="M50" s="4"/>
      <c r="N50" s="4"/>
      <c r="O50" s="4"/>
      <c r="P50" s="4"/>
      <c r="Q50" s="4"/>
      <c r="R50" s="4"/>
      <c r="S50" s="4"/>
      <c r="T50" s="4"/>
      <c r="U50" s="4"/>
      <c r="V50" s="4"/>
      <c r="W50" s="4"/>
      <c r="X50" s="4"/>
      <c r="Y50" s="4"/>
      <c r="Z50" s="4"/>
    </row>
    <row r="51" ht="15.75" customHeight="1">
      <c r="A51" s="1"/>
      <c r="B51" s="1"/>
      <c r="C51" s="1"/>
      <c r="D51" s="1"/>
      <c r="E51" s="1"/>
      <c r="F51" s="1"/>
      <c r="G51" s="1"/>
      <c r="H51" s="4"/>
      <c r="I51" s="4"/>
      <c r="J51" s="4"/>
      <c r="K51" s="4"/>
      <c r="L51" s="4"/>
      <c r="M51" s="4"/>
      <c r="N51" s="4"/>
      <c r="O51" s="4"/>
      <c r="P51" s="4"/>
      <c r="Q51" s="4"/>
      <c r="R51" s="4"/>
      <c r="S51" s="4"/>
      <c r="T51" s="4"/>
      <c r="U51" s="4"/>
      <c r="V51" s="4"/>
      <c r="W51" s="4"/>
      <c r="X51" s="4"/>
      <c r="Y51" s="4"/>
      <c r="Z51" s="4"/>
    </row>
    <row r="52" ht="15.75" customHeight="1">
      <c r="A52" s="1"/>
      <c r="B52" s="1"/>
      <c r="C52" s="1"/>
      <c r="D52" s="1"/>
      <c r="E52" s="1"/>
      <c r="F52" s="1"/>
      <c r="G52" s="1"/>
      <c r="H52" s="4"/>
      <c r="I52" s="4"/>
      <c r="J52" s="4"/>
      <c r="K52" s="4"/>
      <c r="L52" s="4"/>
      <c r="M52" s="4"/>
      <c r="N52" s="4"/>
      <c r="O52" s="4"/>
      <c r="P52" s="4"/>
      <c r="Q52" s="4"/>
      <c r="R52" s="4"/>
      <c r="S52" s="4"/>
      <c r="T52" s="4"/>
      <c r="U52" s="4"/>
      <c r="V52" s="4"/>
      <c r="W52" s="4"/>
      <c r="X52" s="4"/>
      <c r="Y52" s="4"/>
      <c r="Z52" s="4"/>
    </row>
    <row r="53" ht="15.75" customHeight="1">
      <c r="A53" s="1"/>
      <c r="B53" s="1"/>
      <c r="C53" s="1"/>
      <c r="D53" s="1"/>
      <c r="E53" s="1"/>
      <c r="F53" s="1"/>
      <c r="G53" s="1"/>
      <c r="H53" s="4"/>
      <c r="I53" s="4"/>
      <c r="J53" s="4"/>
      <c r="K53" s="4"/>
      <c r="L53" s="4"/>
      <c r="M53" s="4"/>
      <c r="N53" s="4"/>
      <c r="O53" s="4"/>
      <c r="P53" s="4"/>
      <c r="Q53" s="4"/>
      <c r="R53" s="4"/>
      <c r="S53" s="4"/>
      <c r="T53" s="4"/>
      <c r="U53" s="4"/>
      <c r="V53" s="4"/>
      <c r="W53" s="4"/>
      <c r="X53" s="4"/>
      <c r="Y53" s="4"/>
      <c r="Z53" s="4"/>
    </row>
    <row r="54" ht="15.75" customHeight="1">
      <c r="A54" s="1"/>
      <c r="B54" s="1"/>
      <c r="C54" s="1"/>
      <c r="D54" s="1"/>
      <c r="E54" s="1"/>
      <c r="F54" s="1"/>
      <c r="G54" s="1"/>
      <c r="H54" s="4"/>
      <c r="I54" s="4"/>
      <c r="J54" s="4"/>
      <c r="K54" s="4"/>
      <c r="L54" s="4"/>
      <c r="M54" s="4"/>
      <c r="N54" s="4"/>
      <c r="O54" s="4"/>
      <c r="P54" s="4"/>
      <c r="Q54" s="4"/>
      <c r="R54" s="4"/>
      <c r="S54" s="4"/>
      <c r="T54" s="4"/>
      <c r="U54" s="4"/>
      <c r="V54" s="4"/>
      <c r="W54" s="4"/>
      <c r="X54" s="4"/>
      <c r="Y54" s="4"/>
      <c r="Z54" s="4"/>
    </row>
    <row r="55" ht="15.75" customHeight="1">
      <c r="A55" s="1"/>
      <c r="B55" s="1"/>
      <c r="C55" s="1"/>
      <c r="D55" s="1"/>
      <c r="E55" s="1"/>
      <c r="F55" s="1"/>
      <c r="G55" s="1"/>
      <c r="H55" s="4"/>
      <c r="I55" s="4"/>
      <c r="J55" s="4"/>
      <c r="K55" s="4"/>
      <c r="L55" s="4"/>
      <c r="M55" s="4"/>
      <c r="N55" s="4"/>
      <c r="O55" s="4"/>
      <c r="P55" s="4"/>
      <c r="Q55" s="4"/>
      <c r="R55" s="4"/>
      <c r="S55" s="4"/>
      <c r="T55" s="4"/>
      <c r="U55" s="4"/>
      <c r="V55" s="4"/>
      <c r="W55" s="4"/>
      <c r="X55" s="4"/>
      <c r="Y55" s="4"/>
      <c r="Z55" s="4"/>
    </row>
    <row r="56" ht="15.75" customHeight="1">
      <c r="A56" s="1"/>
      <c r="B56" s="1"/>
      <c r="C56" s="1"/>
      <c r="D56" s="1"/>
      <c r="E56" s="1"/>
      <c r="F56" s="1"/>
      <c r="G56" s="1"/>
      <c r="H56" s="4"/>
      <c r="I56" s="4"/>
      <c r="J56" s="4"/>
      <c r="K56" s="4"/>
      <c r="L56" s="4"/>
      <c r="M56" s="4"/>
      <c r="N56" s="4"/>
      <c r="O56" s="4"/>
      <c r="P56" s="4"/>
      <c r="Q56" s="4"/>
      <c r="R56" s="4"/>
      <c r="S56" s="4"/>
      <c r="T56" s="4"/>
      <c r="U56" s="4"/>
      <c r="V56" s="4"/>
      <c r="W56" s="4"/>
      <c r="X56" s="4"/>
      <c r="Y56" s="4"/>
      <c r="Z56" s="4"/>
    </row>
    <row r="57" ht="15.75" customHeight="1">
      <c r="A57" s="1"/>
      <c r="B57" s="1"/>
      <c r="C57" s="1"/>
      <c r="D57" s="1"/>
      <c r="E57" s="1"/>
      <c r="F57" s="1"/>
      <c r="G57" s="1"/>
      <c r="H57" s="4"/>
      <c r="I57" s="4"/>
      <c r="J57" s="4"/>
      <c r="K57" s="4"/>
      <c r="L57" s="4"/>
      <c r="M57" s="4"/>
      <c r="N57" s="4"/>
      <c r="O57" s="4"/>
      <c r="P57" s="4"/>
      <c r="Q57" s="4"/>
      <c r="R57" s="4"/>
      <c r="S57" s="4"/>
      <c r="T57" s="4"/>
      <c r="U57" s="4"/>
      <c r="V57" s="4"/>
      <c r="W57" s="4"/>
      <c r="X57" s="4"/>
      <c r="Y57" s="4"/>
      <c r="Z57" s="4"/>
    </row>
    <row r="58" ht="15.75" customHeight="1">
      <c r="A58" s="1"/>
      <c r="B58" s="1"/>
      <c r="C58" s="1"/>
      <c r="D58" s="1"/>
      <c r="E58" s="1"/>
      <c r="F58" s="1"/>
      <c r="G58" s="1"/>
      <c r="H58" s="4"/>
      <c r="I58" s="4"/>
      <c r="J58" s="4"/>
      <c r="K58" s="4"/>
      <c r="L58" s="4"/>
      <c r="M58" s="4"/>
      <c r="N58" s="4"/>
      <c r="O58" s="4"/>
      <c r="P58" s="4"/>
      <c r="Q58" s="4"/>
      <c r="R58" s="4"/>
      <c r="S58" s="4"/>
      <c r="T58" s="4"/>
      <c r="U58" s="4"/>
      <c r="V58" s="4"/>
      <c r="W58" s="4"/>
      <c r="X58" s="4"/>
      <c r="Y58" s="4"/>
      <c r="Z58" s="4"/>
    </row>
    <row r="59" ht="15.75" customHeight="1">
      <c r="A59" s="1"/>
      <c r="B59" s="1"/>
      <c r="C59" s="1"/>
      <c r="D59" s="1"/>
      <c r="E59" s="1"/>
      <c r="F59" s="1"/>
      <c r="G59" s="1"/>
      <c r="H59" s="4"/>
      <c r="I59" s="4"/>
      <c r="J59" s="4"/>
      <c r="K59" s="4"/>
      <c r="L59" s="4"/>
      <c r="M59" s="4"/>
      <c r="N59" s="4"/>
      <c r="O59" s="4"/>
      <c r="P59" s="4"/>
      <c r="Q59" s="4"/>
      <c r="R59" s="4"/>
      <c r="S59" s="4"/>
      <c r="T59" s="4"/>
      <c r="U59" s="4"/>
      <c r="V59" s="4"/>
      <c r="W59" s="4"/>
      <c r="X59" s="4"/>
      <c r="Y59" s="4"/>
      <c r="Z59" s="4"/>
    </row>
    <row r="60" ht="15.75" customHeight="1">
      <c r="A60" s="1"/>
      <c r="B60" s="1"/>
      <c r="C60" s="1"/>
      <c r="D60" s="1"/>
      <c r="E60" s="1"/>
      <c r="F60" s="1"/>
      <c r="G60" s="1"/>
      <c r="H60" s="4"/>
      <c r="I60" s="4"/>
      <c r="J60" s="4"/>
      <c r="K60" s="4"/>
      <c r="L60" s="4"/>
      <c r="M60" s="4"/>
      <c r="N60" s="4"/>
      <c r="O60" s="4"/>
      <c r="P60" s="4"/>
      <c r="Q60" s="4"/>
      <c r="R60" s="4"/>
      <c r="S60" s="4"/>
      <c r="T60" s="4"/>
      <c r="U60" s="4"/>
      <c r="V60" s="4"/>
      <c r="W60" s="4"/>
      <c r="X60" s="4"/>
      <c r="Y60" s="4"/>
      <c r="Z60" s="4"/>
    </row>
    <row r="61" ht="15.75" customHeight="1">
      <c r="A61" s="1"/>
      <c r="B61" s="1"/>
      <c r="C61" s="1"/>
      <c r="D61" s="1"/>
      <c r="E61" s="1"/>
      <c r="F61" s="1"/>
      <c r="G61" s="1"/>
      <c r="H61" s="4"/>
      <c r="I61" s="4"/>
      <c r="J61" s="4"/>
      <c r="K61" s="4"/>
      <c r="L61" s="4"/>
      <c r="M61" s="4"/>
      <c r="N61" s="4"/>
      <c r="O61" s="4"/>
      <c r="P61" s="4"/>
      <c r="Q61" s="4"/>
      <c r="R61" s="4"/>
      <c r="S61" s="4"/>
      <c r="T61" s="4"/>
      <c r="U61" s="4"/>
      <c r="V61" s="4"/>
      <c r="W61" s="4"/>
      <c r="X61" s="4"/>
      <c r="Y61" s="4"/>
      <c r="Z61" s="4"/>
    </row>
    <row r="62" ht="15.75" customHeight="1">
      <c r="A62" s="1"/>
      <c r="B62" s="1"/>
      <c r="C62" s="1"/>
      <c r="D62" s="1"/>
      <c r="E62" s="1"/>
      <c r="F62" s="1"/>
      <c r="G62" s="1"/>
      <c r="H62" s="4"/>
      <c r="I62" s="4"/>
      <c r="J62" s="4"/>
      <c r="K62" s="4"/>
      <c r="L62" s="4"/>
      <c r="M62" s="4"/>
      <c r="N62" s="4"/>
      <c r="O62" s="4"/>
      <c r="P62" s="4"/>
      <c r="Q62" s="4"/>
      <c r="R62" s="4"/>
      <c r="S62" s="4"/>
      <c r="T62" s="4"/>
      <c r="U62" s="4"/>
      <c r="V62" s="4"/>
      <c r="W62" s="4"/>
      <c r="X62" s="4"/>
      <c r="Y62" s="4"/>
      <c r="Z62" s="4"/>
    </row>
    <row r="63" ht="15.75" customHeight="1">
      <c r="A63" s="1"/>
      <c r="B63" s="1"/>
      <c r="C63" s="1"/>
      <c r="D63" s="1"/>
      <c r="E63" s="1"/>
      <c r="F63" s="1"/>
      <c r="G63" s="1"/>
      <c r="H63" s="4"/>
      <c r="I63" s="4"/>
      <c r="J63" s="4"/>
      <c r="K63" s="4"/>
      <c r="L63" s="4"/>
      <c r="M63" s="4"/>
      <c r="N63" s="4"/>
      <c r="O63" s="4"/>
      <c r="P63" s="4"/>
      <c r="Q63" s="4"/>
      <c r="R63" s="4"/>
      <c r="S63" s="4"/>
      <c r="T63" s="4"/>
      <c r="U63" s="4"/>
      <c r="V63" s="4"/>
      <c r="W63" s="4"/>
      <c r="X63" s="4"/>
      <c r="Y63" s="4"/>
      <c r="Z63" s="4"/>
    </row>
    <row r="64" ht="15.75" customHeight="1">
      <c r="A64" s="1"/>
      <c r="B64" s="1"/>
      <c r="C64" s="1"/>
      <c r="D64" s="1"/>
      <c r="E64" s="1"/>
      <c r="F64" s="1"/>
      <c r="G64" s="1"/>
      <c r="H64" s="4"/>
      <c r="I64" s="4"/>
      <c r="J64" s="4"/>
      <c r="K64" s="4"/>
      <c r="L64" s="4"/>
      <c r="M64" s="4"/>
      <c r="N64" s="4"/>
      <c r="O64" s="4"/>
      <c r="P64" s="4"/>
      <c r="Q64" s="4"/>
      <c r="R64" s="4"/>
      <c r="S64" s="4"/>
      <c r="T64" s="4"/>
      <c r="U64" s="4"/>
      <c r="V64" s="4"/>
      <c r="W64" s="4"/>
      <c r="X64" s="4"/>
      <c r="Y64" s="4"/>
      <c r="Z64" s="4"/>
    </row>
    <row r="65" ht="15.75" customHeight="1">
      <c r="A65" s="1"/>
      <c r="B65" s="1"/>
      <c r="C65" s="1"/>
      <c r="D65" s="1"/>
      <c r="E65" s="1"/>
      <c r="F65" s="1"/>
      <c r="G65" s="1"/>
      <c r="H65" s="4"/>
      <c r="I65" s="4"/>
      <c r="J65" s="4"/>
      <c r="K65" s="4"/>
      <c r="L65" s="4"/>
      <c r="M65" s="4"/>
      <c r="N65" s="4"/>
      <c r="O65" s="4"/>
      <c r="P65" s="4"/>
      <c r="Q65" s="4"/>
      <c r="R65" s="4"/>
      <c r="S65" s="4"/>
      <c r="T65" s="4"/>
      <c r="U65" s="4"/>
      <c r="V65" s="4"/>
      <c r="W65" s="4"/>
      <c r="X65" s="4"/>
      <c r="Y65" s="4"/>
      <c r="Z65" s="4"/>
    </row>
    <row r="66" ht="15.75" customHeight="1">
      <c r="A66" s="1"/>
      <c r="B66" s="1"/>
      <c r="C66" s="1"/>
      <c r="D66" s="1"/>
      <c r="E66" s="1"/>
      <c r="F66" s="1"/>
      <c r="G66" s="1"/>
      <c r="H66" s="4"/>
      <c r="I66" s="4"/>
      <c r="J66" s="4"/>
      <c r="K66" s="4"/>
      <c r="L66" s="4"/>
      <c r="M66" s="4"/>
      <c r="N66" s="4"/>
      <c r="O66" s="4"/>
      <c r="P66" s="4"/>
      <c r="Q66" s="4"/>
      <c r="R66" s="4"/>
      <c r="S66" s="4"/>
      <c r="T66" s="4"/>
      <c r="U66" s="4"/>
      <c r="V66" s="4"/>
      <c r="W66" s="4"/>
      <c r="X66" s="4"/>
      <c r="Y66" s="4"/>
      <c r="Z66" s="4"/>
    </row>
    <row r="67" ht="15.75" customHeight="1">
      <c r="A67" s="1"/>
      <c r="B67" s="1"/>
      <c r="C67" s="1"/>
      <c r="D67" s="1"/>
      <c r="E67" s="1"/>
      <c r="F67" s="1"/>
      <c r="G67" s="1"/>
      <c r="H67" s="4"/>
      <c r="I67" s="4"/>
      <c r="J67" s="4"/>
      <c r="K67" s="4"/>
      <c r="L67" s="4"/>
      <c r="M67" s="4"/>
      <c r="N67" s="4"/>
      <c r="O67" s="4"/>
      <c r="P67" s="4"/>
      <c r="Q67" s="4"/>
      <c r="R67" s="4"/>
      <c r="S67" s="4"/>
      <c r="T67" s="4"/>
      <c r="U67" s="4"/>
      <c r="V67" s="4"/>
      <c r="W67" s="4"/>
      <c r="X67" s="4"/>
      <c r="Y67" s="4"/>
      <c r="Z67" s="4"/>
    </row>
    <row r="68" ht="15.75" customHeight="1">
      <c r="A68" s="1"/>
      <c r="B68" s="1"/>
      <c r="C68" s="1"/>
      <c r="D68" s="1"/>
      <c r="E68" s="1"/>
      <c r="F68" s="1"/>
      <c r="G68" s="1"/>
      <c r="H68" s="4"/>
      <c r="I68" s="4"/>
      <c r="J68" s="4"/>
      <c r="K68" s="4"/>
      <c r="L68" s="4"/>
      <c r="M68" s="4"/>
      <c r="N68" s="4"/>
      <c r="O68" s="4"/>
      <c r="P68" s="4"/>
      <c r="Q68" s="4"/>
      <c r="R68" s="4"/>
      <c r="S68" s="4"/>
      <c r="T68" s="4"/>
      <c r="U68" s="4"/>
      <c r="V68" s="4"/>
      <c r="W68" s="4"/>
      <c r="X68" s="4"/>
      <c r="Y68" s="4"/>
      <c r="Z68" s="4"/>
    </row>
    <row r="69" ht="15.75" customHeight="1">
      <c r="A69" s="1"/>
      <c r="B69" s="1"/>
      <c r="C69" s="1"/>
      <c r="D69" s="1"/>
      <c r="E69" s="1"/>
      <c r="F69" s="1"/>
      <c r="G69" s="1"/>
      <c r="H69" s="4"/>
      <c r="I69" s="4"/>
      <c r="J69" s="4"/>
      <c r="K69" s="4"/>
      <c r="L69" s="4"/>
      <c r="M69" s="4"/>
      <c r="N69" s="4"/>
      <c r="O69" s="4"/>
      <c r="P69" s="4"/>
      <c r="Q69" s="4"/>
      <c r="R69" s="4"/>
      <c r="S69" s="4"/>
      <c r="T69" s="4"/>
      <c r="U69" s="4"/>
      <c r="V69" s="4"/>
      <c r="W69" s="4"/>
      <c r="X69" s="4"/>
      <c r="Y69" s="4"/>
      <c r="Z69" s="4"/>
    </row>
    <row r="70" ht="15.75" customHeight="1">
      <c r="A70" s="1"/>
      <c r="B70" s="1"/>
      <c r="C70" s="1"/>
      <c r="D70" s="1"/>
      <c r="E70" s="1"/>
      <c r="F70" s="1"/>
      <c r="G70" s="1"/>
      <c r="H70" s="4"/>
      <c r="I70" s="4"/>
      <c r="J70" s="4"/>
      <c r="K70" s="4"/>
      <c r="L70" s="4"/>
      <c r="M70" s="4"/>
      <c r="N70" s="4"/>
      <c r="O70" s="4"/>
      <c r="P70" s="4"/>
      <c r="Q70" s="4"/>
      <c r="R70" s="4"/>
      <c r="S70" s="4"/>
      <c r="T70" s="4"/>
      <c r="U70" s="4"/>
      <c r="V70" s="4"/>
      <c r="W70" s="4"/>
      <c r="X70" s="4"/>
      <c r="Y70" s="4"/>
      <c r="Z70" s="4"/>
    </row>
    <row r="71" ht="15.75" customHeight="1">
      <c r="A71" s="1"/>
      <c r="B71" s="1"/>
      <c r="C71" s="1"/>
      <c r="D71" s="1"/>
      <c r="E71" s="1"/>
      <c r="F71" s="1"/>
      <c r="G71" s="1"/>
      <c r="H71" s="4"/>
      <c r="I71" s="4"/>
      <c r="J71" s="4"/>
      <c r="K71" s="4"/>
      <c r="L71" s="4"/>
      <c r="M71" s="4"/>
      <c r="N71" s="4"/>
      <c r="O71" s="4"/>
      <c r="P71" s="4"/>
      <c r="Q71" s="4"/>
      <c r="R71" s="4"/>
      <c r="S71" s="4"/>
      <c r="T71" s="4"/>
      <c r="U71" s="4"/>
      <c r="V71" s="4"/>
      <c r="W71" s="4"/>
      <c r="X71" s="4"/>
      <c r="Y71" s="4"/>
      <c r="Z71" s="4"/>
    </row>
    <row r="72" ht="15.75" customHeight="1">
      <c r="A72" s="1"/>
      <c r="B72" s="1"/>
      <c r="C72" s="1"/>
      <c r="D72" s="1"/>
      <c r="E72" s="1"/>
      <c r="F72" s="1"/>
      <c r="G72" s="1"/>
      <c r="H72" s="4"/>
      <c r="I72" s="4"/>
      <c r="J72" s="4"/>
      <c r="K72" s="4"/>
      <c r="L72" s="4"/>
      <c r="M72" s="4"/>
      <c r="N72" s="4"/>
      <c r="O72" s="4"/>
      <c r="P72" s="4"/>
      <c r="Q72" s="4"/>
      <c r="R72" s="4"/>
      <c r="S72" s="4"/>
      <c r="T72" s="4"/>
      <c r="U72" s="4"/>
      <c r="V72" s="4"/>
      <c r="W72" s="4"/>
      <c r="X72" s="4"/>
      <c r="Y72" s="4"/>
      <c r="Z72" s="4"/>
    </row>
    <row r="73" ht="15.75" customHeight="1">
      <c r="A73" s="1"/>
      <c r="B73" s="1"/>
      <c r="C73" s="1"/>
      <c r="D73" s="1"/>
      <c r="E73" s="1"/>
      <c r="F73" s="1"/>
      <c r="G73" s="1"/>
      <c r="H73" s="4"/>
      <c r="I73" s="4"/>
      <c r="J73" s="4"/>
      <c r="K73" s="4"/>
      <c r="L73" s="4"/>
      <c r="M73" s="4"/>
      <c r="N73" s="4"/>
      <c r="O73" s="4"/>
      <c r="P73" s="4"/>
      <c r="Q73" s="4"/>
      <c r="R73" s="4"/>
      <c r="S73" s="4"/>
      <c r="T73" s="4"/>
      <c r="U73" s="4"/>
      <c r="V73" s="4"/>
      <c r="W73" s="4"/>
      <c r="X73" s="4"/>
      <c r="Y73" s="4"/>
      <c r="Z73" s="4"/>
    </row>
    <row r="74" ht="15.75" customHeight="1">
      <c r="A74" s="1"/>
      <c r="B74" s="1"/>
      <c r="C74" s="1"/>
      <c r="D74" s="1"/>
      <c r="E74" s="1"/>
      <c r="F74" s="1"/>
      <c r="G74" s="1"/>
      <c r="H74" s="4"/>
      <c r="I74" s="4"/>
      <c r="J74" s="4"/>
      <c r="K74" s="4"/>
      <c r="L74" s="4"/>
      <c r="M74" s="4"/>
      <c r="N74" s="4"/>
      <c r="O74" s="4"/>
      <c r="P74" s="4"/>
      <c r="Q74" s="4"/>
      <c r="R74" s="4"/>
      <c r="S74" s="4"/>
      <c r="T74" s="4"/>
      <c r="U74" s="4"/>
      <c r="V74" s="4"/>
      <c r="W74" s="4"/>
      <c r="X74" s="4"/>
      <c r="Y74" s="4"/>
      <c r="Z74" s="4"/>
    </row>
    <row r="75" ht="15.75" customHeight="1">
      <c r="A75" s="1"/>
      <c r="B75" s="1"/>
      <c r="C75" s="1"/>
      <c r="D75" s="1"/>
      <c r="E75" s="1"/>
      <c r="F75" s="1"/>
      <c r="G75" s="1"/>
      <c r="H75" s="4"/>
      <c r="I75" s="4"/>
      <c r="J75" s="4"/>
      <c r="K75" s="4"/>
      <c r="L75" s="4"/>
      <c r="M75" s="4"/>
      <c r="N75" s="4"/>
      <c r="O75" s="4"/>
      <c r="P75" s="4"/>
      <c r="Q75" s="4"/>
      <c r="R75" s="4"/>
      <c r="S75" s="4"/>
      <c r="T75" s="4"/>
      <c r="U75" s="4"/>
      <c r="V75" s="4"/>
      <c r="W75" s="4"/>
      <c r="X75" s="4"/>
      <c r="Y75" s="4"/>
      <c r="Z75" s="4"/>
    </row>
    <row r="76" ht="15.75" customHeight="1">
      <c r="A76" s="1"/>
      <c r="B76" s="1"/>
      <c r="C76" s="1"/>
      <c r="D76" s="1"/>
      <c r="E76" s="1"/>
      <c r="F76" s="1"/>
      <c r="G76" s="1"/>
      <c r="H76" s="4"/>
      <c r="I76" s="4"/>
      <c r="J76" s="4"/>
      <c r="K76" s="4"/>
      <c r="L76" s="4"/>
      <c r="M76" s="4"/>
      <c r="N76" s="4"/>
      <c r="O76" s="4"/>
      <c r="P76" s="4"/>
      <c r="Q76" s="4"/>
      <c r="R76" s="4"/>
      <c r="S76" s="4"/>
      <c r="T76" s="4"/>
      <c r="U76" s="4"/>
      <c r="V76" s="4"/>
      <c r="W76" s="4"/>
      <c r="X76" s="4"/>
      <c r="Y76" s="4"/>
      <c r="Z76" s="4"/>
    </row>
    <row r="77" ht="15.75" customHeight="1">
      <c r="A77" s="1"/>
      <c r="B77" s="1"/>
      <c r="C77" s="1"/>
      <c r="D77" s="1"/>
      <c r="E77" s="1"/>
      <c r="F77" s="1"/>
      <c r="G77" s="1"/>
      <c r="H77" s="4"/>
      <c r="I77" s="4"/>
      <c r="J77" s="4"/>
      <c r="K77" s="4"/>
      <c r="L77" s="4"/>
      <c r="M77" s="4"/>
      <c r="N77" s="4"/>
      <c r="O77" s="4"/>
      <c r="P77" s="4"/>
      <c r="Q77" s="4"/>
      <c r="R77" s="4"/>
      <c r="S77" s="4"/>
      <c r="T77" s="4"/>
      <c r="U77" s="4"/>
      <c r="V77" s="4"/>
      <c r="W77" s="4"/>
      <c r="X77" s="4"/>
      <c r="Y77" s="4"/>
      <c r="Z77" s="4"/>
    </row>
    <row r="78" ht="15.75" customHeight="1">
      <c r="A78" s="1"/>
      <c r="B78" s="1"/>
      <c r="C78" s="1"/>
      <c r="D78" s="1"/>
      <c r="E78" s="1"/>
      <c r="F78" s="1"/>
      <c r="G78" s="1"/>
      <c r="H78" s="4"/>
      <c r="I78" s="4"/>
      <c r="J78" s="4"/>
      <c r="K78" s="4"/>
      <c r="L78" s="4"/>
      <c r="M78" s="4"/>
      <c r="N78" s="4"/>
      <c r="O78" s="4"/>
      <c r="P78" s="4"/>
      <c r="Q78" s="4"/>
      <c r="R78" s="4"/>
      <c r="S78" s="4"/>
      <c r="T78" s="4"/>
      <c r="U78" s="4"/>
      <c r="V78" s="4"/>
      <c r="W78" s="4"/>
      <c r="X78" s="4"/>
      <c r="Y78" s="4"/>
      <c r="Z78" s="4"/>
    </row>
    <row r="79" ht="15.75" customHeight="1">
      <c r="A79" s="1"/>
      <c r="B79" s="1"/>
      <c r="C79" s="1"/>
      <c r="D79" s="1"/>
      <c r="E79" s="1"/>
      <c r="F79" s="1"/>
      <c r="G79" s="1"/>
      <c r="H79" s="4"/>
      <c r="I79" s="4"/>
      <c r="J79" s="4"/>
      <c r="K79" s="4"/>
      <c r="L79" s="4"/>
      <c r="M79" s="4"/>
      <c r="N79" s="4"/>
      <c r="O79" s="4"/>
      <c r="P79" s="4"/>
      <c r="Q79" s="4"/>
      <c r="R79" s="4"/>
      <c r="S79" s="4"/>
      <c r="T79" s="4"/>
      <c r="U79" s="4"/>
      <c r="V79" s="4"/>
      <c r="W79" s="4"/>
      <c r="X79" s="4"/>
      <c r="Y79" s="4"/>
      <c r="Z79" s="4"/>
    </row>
    <row r="80" ht="15.75" customHeight="1">
      <c r="A80" s="1"/>
      <c r="B80" s="1"/>
      <c r="C80" s="1"/>
      <c r="D80" s="1"/>
      <c r="E80" s="1"/>
      <c r="F80" s="1"/>
      <c r="G80" s="1"/>
      <c r="H80" s="4"/>
      <c r="I80" s="4"/>
      <c r="J80" s="4"/>
      <c r="K80" s="4"/>
      <c r="L80" s="4"/>
      <c r="M80" s="4"/>
      <c r="N80" s="4"/>
      <c r="O80" s="4"/>
      <c r="P80" s="4"/>
      <c r="Q80" s="4"/>
      <c r="R80" s="4"/>
      <c r="S80" s="4"/>
      <c r="T80" s="4"/>
      <c r="U80" s="4"/>
      <c r="V80" s="4"/>
      <c r="W80" s="4"/>
      <c r="X80" s="4"/>
      <c r="Y80" s="4"/>
      <c r="Z80" s="4"/>
    </row>
    <row r="81" ht="15.75" customHeight="1">
      <c r="A81" s="1"/>
      <c r="B81" s="1"/>
      <c r="C81" s="1"/>
      <c r="D81" s="1"/>
      <c r="E81" s="1"/>
      <c r="F81" s="1"/>
      <c r="G81" s="1"/>
      <c r="H81" s="4"/>
      <c r="I81" s="4"/>
      <c r="J81" s="4"/>
      <c r="K81" s="4"/>
      <c r="L81" s="4"/>
      <c r="M81" s="4"/>
      <c r="N81" s="4"/>
      <c r="O81" s="4"/>
      <c r="P81" s="4"/>
      <c r="Q81" s="4"/>
      <c r="R81" s="4"/>
      <c r="S81" s="4"/>
      <c r="T81" s="4"/>
      <c r="U81" s="4"/>
      <c r="V81" s="4"/>
      <c r="W81" s="4"/>
      <c r="X81" s="4"/>
      <c r="Y81" s="4"/>
      <c r="Z81" s="4"/>
    </row>
    <row r="82" ht="15.75" customHeight="1">
      <c r="A82" s="1"/>
      <c r="B82" s="1"/>
      <c r="C82" s="1"/>
      <c r="D82" s="1"/>
      <c r="E82" s="1"/>
      <c r="F82" s="1"/>
      <c r="G82" s="1"/>
      <c r="H82" s="4"/>
      <c r="I82" s="4"/>
      <c r="J82" s="4"/>
      <c r="K82" s="4"/>
      <c r="L82" s="4"/>
      <c r="M82" s="4"/>
      <c r="N82" s="4"/>
      <c r="O82" s="4"/>
      <c r="P82" s="4"/>
      <c r="Q82" s="4"/>
      <c r="R82" s="4"/>
      <c r="S82" s="4"/>
      <c r="T82" s="4"/>
      <c r="U82" s="4"/>
      <c r="V82" s="4"/>
      <c r="W82" s="4"/>
      <c r="X82" s="4"/>
      <c r="Y82" s="4"/>
      <c r="Z82" s="4"/>
    </row>
    <row r="83" ht="15.75" customHeight="1">
      <c r="A83" s="1"/>
      <c r="B83" s="1"/>
      <c r="C83" s="1"/>
      <c r="D83" s="1"/>
      <c r="E83" s="1"/>
      <c r="F83" s="1"/>
      <c r="G83" s="1"/>
      <c r="H83" s="4"/>
      <c r="I83" s="4"/>
      <c r="J83" s="4"/>
      <c r="K83" s="4"/>
      <c r="L83" s="4"/>
      <c r="M83" s="4"/>
      <c r="N83" s="4"/>
      <c r="O83" s="4"/>
      <c r="P83" s="4"/>
      <c r="Q83" s="4"/>
      <c r="R83" s="4"/>
      <c r="S83" s="4"/>
      <c r="T83" s="4"/>
      <c r="U83" s="4"/>
      <c r="V83" s="4"/>
      <c r="W83" s="4"/>
      <c r="X83" s="4"/>
      <c r="Y83" s="4"/>
      <c r="Z83" s="4"/>
    </row>
    <row r="84" ht="15.75" customHeight="1">
      <c r="A84" s="1"/>
      <c r="B84" s="1"/>
      <c r="C84" s="1"/>
      <c r="D84" s="1"/>
      <c r="E84" s="1"/>
      <c r="F84" s="1"/>
      <c r="G84" s="1"/>
      <c r="H84" s="4"/>
      <c r="I84" s="4"/>
      <c r="J84" s="4"/>
      <c r="K84" s="4"/>
      <c r="L84" s="4"/>
      <c r="M84" s="4"/>
      <c r="N84" s="4"/>
      <c r="O84" s="4"/>
      <c r="P84" s="4"/>
      <c r="Q84" s="4"/>
      <c r="R84" s="4"/>
      <c r="S84" s="4"/>
      <c r="T84" s="4"/>
      <c r="U84" s="4"/>
      <c r="V84" s="4"/>
      <c r="W84" s="4"/>
      <c r="X84" s="4"/>
      <c r="Y84" s="4"/>
      <c r="Z84" s="4"/>
    </row>
    <row r="85" ht="15.75" customHeight="1">
      <c r="A85" s="1"/>
      <c r="B85" s="1"/>
      <c r="C85" s="1"/>
      <c r="D85" s="1"/>
      <c r="E85" s="1"/>
      <c r="F85" s="1"/>
      <c r="G85" s="1"/>
      <c r="H85" s="4"/>
      <c r="I85" s="4"/>
      <c r="J85" s="4"/>
      <c r="K85" s="4"/>
      <c r="L85" s="4"/>
      <c r="M85" s="4"/>
      <c r="N85" s="4"/>
      <c r="O85" s="4"/>
      <c r="P85" s="4"/>
      <c r="Q85" s="4"/>
      <c r="R85" s="4"/>
      <c r="S85" s="4"/>
      <c r="T85" s="4"/>
      <c r="U85" s="4"/>
      <c r="V85" s="4"/>
      <c r="W85" s="4"/>
      <c r="X85" s="4"/>
      <c r="Y85" s="4"/>
      <c r="Z85" s="4"/>
    </row>
    <row r="86" ht="15.75" customHeight="1">
      <c r="A86" s="1"/>
      <c r="B86" s="1"/>
      <c r="C86" s="1"/>
      <c r="D86" s="1"/>
      <c r="E86" s="1"/>
      <c r="F86" s="1"/>
      <c r="G86" s="1"/>
      <c r="H86" s="4"/>
      <c r="I86" s="4"/>
      <c r="J86" s="4"/>
      <c r="K86" s="4"/>
      <c r="L86" s="4"/>
      <c r="M86" s="4"/>
      <c r="N86" s="4"/>
      <c r="O86" s="4"/>
      <c r="P86" s="4"/>
      <c r="Q86" s="4"/>
      <c r="R86" s="4"/>
      <c r="S86" s="4"/>
      <c r="T86" s="4"/>
      <c r="U86" s="4"/>
      <c r="V86" s="4"/>
      <c r="W86" s="4"/>
      <c r="X86" s="4"/>
      <c r="Y86" s="4"/>
      <c r="Z86" s="4"/>
    </row>
    <row r="87" ht="15.75" customHeight="1">
      <c r="A87" s="1"/>
      <c r="B87" s="1"/>
      <c r="C87" s="1"/>
      <c r="D87" s="1"/>
      <c r="E87" s="1"/>
      <c r="F87" s="1"/>
      <c r="G87" s="1"/>
      <c r="H87" s="4"/>
      <c r="I87" s="4"/>
      <c r="J87" s="4"/>
      <c r="K87" s="4"/>
      <c r="L87" s="4"/>
      <c r="M87" s="4"/>
      <c r="N87" s="4"/>
      <c r="O87" s="4"/>
      <c r="P87" s="4"/>
      <c r="Q87" s="4"/>
      <c r="R87" s="4"/>
      <c r="S87" s="4"/>
      <c r="T87" s="4"/>
      <c r="U87" s="4"/>
      <c r="V87" s="4"/>
      <c r="W87" s="4"/>
      <c r="X87" s="4"/>
      <c r="Y87" s="4"/>
      <c r="Z87" s="4"/>
    </row>
    <row r="88" ht="15.75" customHeight="1">
      <c r="A88" s="1"/>
      <c r="B88" s="1"/>
      <c r="C88" s="1"/>
      <c r="D88" s="1"/>
      <c r="E88" s="1"/>
      <c r="F88" s="1"/>
      <c r="G88" s="1"/>
      <c r="H88" s="4"/>
      <c r="I88" s="4"/>
      <c r="J88" s="4"/>
      <c r="K88" s="4"/>
      <c r="L88" s="4"/>
      <c r="M88" s="4"/>
      <c r="N88" s="4"/>
      <c r="O88" s="4"/>
      <c r="P88" s="4"/>
      <c r="Q88" s="4"/>
      <c r="R88" s="4"/>
      <c r="S88" s="4"/>
      <c r="T88" s="4"/>
      <c r="U88" s="4"/>
      <c r="V88" s="4"/>
      <c r="W88" s="4"/>
      <c r="X88" s="4"/>
      <c r="Y88" s="4"/>
      <c r="Z88" s="4"/>
    </row>
    <row r="89" ht="15.75" customHeight="1">
      <c r="A89" s="1"/>
      <c r="B89" s="1"/>
      <c r="C89" s="1"/>
      <c r="D89" s="1"/>
      <c r="E89" s="1"/>
      <c r="F89" s="1"/>
      <c r="G89" s="1"/>
      <c r="H89" s="4"/>
      <c r="I89" s="4"/>
      <c r="J89" s="4"/>
      <c r="K89" s="4"/>
      <c r="L89" s="4"/>
      <c r="M89" s="4"/>
      <c r="N89" s="4"/>
      <c r="O89" s="4"/>
      <c r="P89" s="4"/>
      <c r="Q89" s="4"/>
      <c r="R89" s="4"/>
      <c r="S89" s="4"/>
      <c r="T89" s="4"/>
      <c r="U89" s="4"/>
      <c r="V89" s="4"/>
      <c r="W89" s="4"/>
      <c r="X89" s="4"/>
      <c r="Y89" s="4"/>
      <c r="Z89" s="4"/>
    </row>
    <row r="90" ht="15.75" customHeight="1">
      <c r="A90" s="1"/>
      <c r="B90" s="1"/>
      <c r="C90" s="1"/>
      <c r="D90" s="1"/>
      <c r="E90" s="1"/>
      <c r="F90" s="1"/>
      <c r="G90" s="1"/>
      <c r="H90" s="4"/>
      <c r="I90" s="4"/>
      <c r="J90" s="4"/>
      <c r="K90" s="4"/>
      <c r="L90" s="4"/>
      <c r="M90" s="4"/>
      <c r="N90" s="4"/>
      <c r="O90" s="4"/>
      <c r="P90" s="4"/>
      <c r="Q90" s="4"/>
      <c r="R90" s="4"/>
      <c r="S90" s="4"/>
      <c r="T90" s="4"/>
      <c r="U90" s="4"/>
      <c r="V90" s="4"/>
      <c r="W90" s="4"/>
      <c r="X90" s="4"/>
      <c r="Y90" s="4"/>
      <c r="Z90" s="4"/>
    </row>
    <row r="91" ht="15.75" customHeight="1">
      <c r="A91" s="1"/>
      <c r="B91" s="1"/>
      <c r="C91" s="1"/>
      <c r="D91" s="1"/>
      <c r="E91" s="1"/>
      <c r="F91" s="1"/>
      <c r="G91" s="1"/>
      <c r="H91" s="4"/>
      <c r="I91" s="4"/>
      <c r="J91" s="4"/>
      <c r="K91" s="4"/>
      <c r="L91" s="4"/>
      <c r="M91" s="4"/>
      <c r="N91" s="4"/>
      <c r="O91" s="4"/>
      <c r="P91" s="4"/>
      <c r="Q91" s="4"/>
      <c r="R91" s="4"/>
      <c r="S91" s="4"/>
      <c r="T91" s="4"/>
      <c r="U91" s="4"/>
      <c r="V91" s="4"/>
      <c r="W91" s="4"/>
      <c r="X91" s="4"/>
      <c r="Y91" s="4"/>
      <c r="Z91" s="4"/>
    </row>
    <row r="92" ht="15.75" customHeight="1">
      <c r="A92" s="1"/>
      <c r="B92" s="1"/>
      <c r="C92" s="1"/>
      <c r="D92" s="1"/>
      <c r="E92" s="1"/>
      <c r="F92" s="1"/>
      <c r="G92" s="1"/>
      <c r="H92" s="4"/>
      <c r="I92" s="4"/>
      <c r="J92" s="4"/>
      <c r="K92" s="4"/>
      <c r="L92" s="4"/>
      <c r="M92" s="4"/>
      <c r="N92" s="4"/>
      <c r="O92" s="4"/>
      <c r="P92" s="4"/>
      <c r="Q92" s="4"/>
      <c r="R92" s="4"/>
      <c r="S92" s="4"/>
      <c r="T92" s="4"/>
      <c r="U92" s="4"/>
      <c r="V92" s="4"/>
      <c r="W92" s="4"/>
      <c r="X92" s="4"/>
      <c r="Y92" s="4"/>
      <c r="Z92" s="4"/>
    </row>
    <row r="93" ht="15.75" customHeight="1">
      <c r="A93" s="1"/>
      <c r="B93" s="1"/>
      <c r="C93" s="1"/>
      <c r="D93" s="1"/>
      <c r="E93" s="1"/>
      <c r="F93" s="1"/>
      <c r="G93" s="1"/>
      <c r="H93" s="4"/>
      <c r="I93" s="4"/>
      <c r="J93" s="4"/>
      <c r="K93" s="4"/>
      <c r="L93" s="4"/>
      <c r="M93" s="4"/>
      <c r="N93" s="4"/>
      <c r="O93" s="4"/>
      <c r="P93" s="4"/>
      <c r="Q93" s="4"/>
      <c r="R93" s="4"/>
      <c r="S93" s="4"/>
      <c r="T93" s="4"/>
      <c r="U93" s="4"/>
      <c r="V93" s="4"/>
      <c r="W93" s="4"/>
      <c r="X93" s="4"/>
      <c r="Y93" s="4"/>
      <c r="Z93" s="4"/>
    </row>
    <row r="94" ht="15.75" customHeight="1">
      <c r="A94" s="1"/>
      <c r="B94" s="1"/>
      <c r="C94" s="1"/>
      <c r="D94" s="1"/>
      <c r="E94" s="1"/>
      <c r="F94" s="1"/>
      <c r="G94" s="1"/>
      <c r="H94" s="4"/>
      <c r="I94" s="4"/>
      <c r="J94" s="4"/>
      <c r="K94" s="4"/>
      <c r="L94" s="4"/>
      <c r="M94" s="4"/>
      <c r="N94" s="4"/>
      <c r="O94" s="4"/>
      <c r="P94" s="4"/>
      <c r="Q94" s="4"/>
      <c r="R94" s="4"/>
      <c r="S94" s="4"/>
      <c r="T94" s="4"/>
      <c r="U94" s="4"/>
      <c r="V94" s="4"/>
      <c r="W94" s="4"/>
      <c r="X94" s="4"/>
      <c r="Y94" s="4"/>
      <c r="Z94" s="4"/>
    </row>
    <row r="95" ht="15.75" customHeight="1">
      <c r="A95" s="1"/>
      <c r="B95" s="1"/>
      <c r="C95" s="1"/>
      <c r="D95" s="1"/>
      <c r="E95" s="1"/>
      <c r="F95" s="1"/>
      <c r="G95" s="1"/>
      <c r="H95" s="4"/>
      <c r="I95" s="4"/>
      <c r="J95" s="4"/>
      <c r="K95" s="4"/>
      <c r="L95" s="4"/>
      <c r="M95" s="4"/>
      <c r="N95" s="4"/>
      <c r="O95" s="4"/>
      <c r="P95" s="4"/>
      <c r="Q95" s="4"/>
      <c r="R95" s="4"/>
      <c r="S95" s="4"/>
      <c r="T95" s="4"/>
      <c r="U95" s="4"/>
      <c r="V95" s="4"/>
      <c r="W95" s="4"/>
      <c r="X95" s="4"/>
      <c r="Y95" s="4"/>
      <c r="Z95" s="4"/>
    </row>
    <row r="96" ht="15.75" customHeight="1">
      <c r="A96" s="1"/>
      <c r="B96" s="1"/>
      <c r="C96" s="1"/>
      <c r="D96" s="1"/>
      <c r="E96" s="1"/>
      <c r="F96" s="1"/>
      <c r="G96" s="1"/>
      <c r="H96" s="4"/>
      <c r="I96" s="4"/>
      <c r="J96" s="4"/>
      <c r="K96" s="4"/>
      <c r="L96" s="4"/>
      <c r="M96" s="4"/>
      <c r="N96" s="4"/>
      <c r="O96" s="4"/>
      <c r="P96" s="4"/>
      <c r="Q96" s="4"/>
      <c r="R96" s="4"/>
      <c r="S96" s="4"/>
      <c r="T96" s="4"/>
      <c r="U96" s="4"/>
      <c r="V96" s="4"/>
      <c r="W96" s="4"/>
      <c r="X96" s="4"/>
      <c r="Y96" s="4"/>
      <c r="Z96" s="4"/>
    </row>
    <row r="97" ht="15.75" customHeight="1">
      <c r="A97" s="1"/>
      <c r="B97" s="1"/>
      <c r="C97" s="1"/>
      <c r="D97" s="1"/>
      <c r="E97" s="1"/>
      <c r="F97" s="1"/>
      <c r="G97" s="1"/>
      <c r="H97" s="4"/>
      <c r="I97" s="4"/>
      <c r="J97" s="4"/>
      <c r="K97" s="4"/>
      <c r="L97" s="4"/>
      <c r="M97" s="4"/>
      <c r="N97" s="4"/>
      <c r="O97" s="4"/>
      <c r="P97" s="4"/>
      <c r="Q97" s="4"/>
      <c r="R97" s="4"/>
      <c r="S97" s="4"/>
      <c r="T97" s="4"/>
      <c r="U97" s="4"/>
      <c r="V97" s="4"/>
      <c r="W97" s="4"/>
      <c r="X97" s="4"/>
      <c r="Y97" s="4"/>
      <c r="Z97" s="4"/>
    </row>
    <row r="98" ht="15.75" customHeight="1">
      <c r="A98" s="1"/>
      <c r="B98" s="1"/>
      <c r="C98" s="1"/>
      <c r="D98" s="1"/>
      <c r="E98" s="1"/>
      <c r="F98" s="1"/>
      <c r="G98" s="1"/>
      <c r="H98" s="4"/>
      <c r="I98" s="4"/>
      <c r="J98" s="4"/>
      <c r="K98" s="4"/>
      <c r="L98" s="4"/>
      <c r="M98" s="4"/>
      <c r="N98" s="4"/>
      <c r="O98" s="4"/>
      <c r="P98" s="4"/>
      <c r="Q98" s="4"/>
      <c r="R98" s="4"/>
      <c r="S98" s="4"/>
      <c r="T98" s="4"/>
      <c r="U98" s="4"/>
      <c r="V98" s="4"/>
      <c r="W98" s="4"/>
      <c r="X98" s="4"/>
      <c r="Y98" s="4"/>
      <c r="Z98" s="4"/>
    </row>
    <row r="99" ht="15.75" customHeight="1">
      <c r="A99" s="1"/>
      <c r="B99" s="1"/>
      <c r="C99" s="1"/>
      <c r="D99" s="1"/>
      <c r="E99" s="1"/>
      <c r="F99" s="1"/>
      <c r="G99" s="1"/>
      <c r="H99" s="4"/>
      <c r="I99" s="4"/>
      <c r="J99" s="4"/>
      <c r="K99" s="4"/>
      <c r="L99" s="4"/>
      <c r="M99" s="4"/>
      <c r="N99" s="4"/>
      <c r="O99" s="4"/>
      <c r="P99" s="4"/>
      <c r="Q99" s="4"/>
      <c r="R99" s="4"/>
      <c r="S99" s="4"/>
      <c r="T99" s="4"/>
      <c r="U99" s="4"/>
      <c r="V99" s="4"/>
      <c r="W99" s="4"/>
      <c r="X99" s="4"/>
      <c r="Y99" s="4"/>
      <c r="Z99" s="4"/>
    </row>
    <row r="100" ht="15.75" customHeight="1">
      <c r="A100" s="1"/>
      <c r="B100" s="1"/>
      <c r="C100" s="1"/>
      <c r="D100" s="1"/>
      <c r="E100" s="1"/>
      <c r="F100" s="1"/>
      <c r="G100" s="1"/>
      <c r="H100" s="4"/>
      <c r="I100" s="4"/>
      <c r="J100" s="4"/>
      <c r="K100" s="4"/>
      <c r="L100" s="4"/>
      <c r="M100" s="4"/>
      <c r="N100" s="4"/>
      <c r="O100" s="4"/>
      <c r="P100" s="4"/>
      <c r="Q100" s="4"/>
      <c r="R100" s="4"/>
      <c r="S100" s="4"/>
      <c r="T100" s="4"/>
      <c r="U100" s="4"/>
      <c r="V100" s="4"/>
      <c r="W100" s="4"/>
      <c r="X100" s="4"/>
      <c r="Y100" s="4"/>
      <c r="Z100" s="4"/>
    </row>
    <row r="101" ht="15.75" customHeight="1">
      <c r="A101" s="1"/>
      <c r="B101" s="1"/>
      <c r="C101" s="1"/>
      <c r="D101" s="1"/>
      <c r="E101" s="1"/>
      <c r="F101" s="1"/>
      <c r="G101" s="1"/>
      <c r="H101" s="4"/>
      <c r="I101" s="4"/>
      <c r="J101" s="4"/>
      <c r="K101" s="4"/>
      <c r="L101" s="4"/>
      <c r="M101" s="4"/>
      <c r="N101" s="4"/>
      <c r="O101" s="4"/>
      <c r="P101" s="4"/>
      <c r="Q101" s="4"/>
      <c r="R101" s="4"/>
      <c r="S101" s="4"/>
      <c r="T101" s="4"/>
      <c r="U101" s="4"/>
      <c r="V101" s="4"/>
      <c r="W101" s="4"/>
      <c r="X101" s="4"/>
      <c r="Y101" s="4"/>
      <c r="Z101" s="4"/>
    </row>
    <row r="102" ht="15.75" customHeight="1">
      <c r="A102" s="1"/>
      <c r="B102" s="1"/>
      <c r="C102" s="1"/>
      <c r="D102" s="1"/>
      <c r="E102" s="1"/>
      <c r="F102" s="1"/>
      <c r="G102" s="1"/>
      <c r="H102" s="4"/>
      <c r="I102" s="4"/>
      <c r="J102" s="4"/>
      <c r="K102" s="4"/>
      <c r="L102" s="4"/>
      <c r="M102" s="4"/>
      <c r="N102" s="4"/>
      <c r="O102" s="4"/>
      <c r="P102" s="4"/>
      <c r="Q102" s="4"/>
      <c r="R102" s="4"/>
      <c r="S102" s="4"/>
      <c r="T102" s="4"/>
      <c r="U102" s="4"/>
      <c r="V102" s="4"/>
      <c r="W102" s="4"/>
      <c r="X102" s="4"/>
      <c r="Y102" s="4"/>
      <c r="Z102" s="4"/>
    </row>
    <row r="103" ht="15.75" customHeight="1">
      <c r="A103" s="1"/>
      <c r="B103" s="1"/>
      <c r="C103" s="1"/>
      <c r="D103" s="1"/>
      <c r="E103" s="1"/>
      <c r="F103" s="1"/>
      <c r="G103" s="1"/>
      <c r="H103" s="4"/>
      <c r="I103" s="4"/>
      <c r="J103" s="4"/>
      <c r="K103" s="4"/>
      <c r="L103" s="4"/>
      <c r="M103" s="4"/>
      <c r="N103" s="4"/>
      <c r="O103" s="4"/>
      <c r="P103" s="4"/>
      <c r="Q103" s="4"/>
      <c r="R103" s="4"/>
      <c r="S103" s="4"/>
      <c r="T103" s="4"/>
      <c r="U103" s="4"/>
      <c r="V103" s="4"/>
      <c r="W103" s="4"/>
      <c r="X103" s="4"/>
      <c r="Y103" s="4"/>
      <c r="Z103" s="4"/>
    </row>
    <row r="104" ht="15.75" customHeight="1">
      <c r="A104" s="1"/>
      <c r="B104" s="1"/>
      <c r="C104" s="1"/>
      <c r="D104" s="1"/>
      <c r="E104" s="1"/>
      <c r="F104" s="1"/>
      <c r="G104" s="1"/>
      <c r="H104" s="4"/>
      <c r="I104" s="4"/>
      <c r="J104" s="4"/>
      <c r="K104" s="4"/>
      <c r="L104" s="4"/>
      <c r="M104" s="4"/>
      <c r="N104" s="4"/>
      <c r="O104" s="4"/>
      <c r="P104" s="4"/>
      <c r="Q104" s="4"/>
      <c r="R104" s="4"/>
      <c r="S104" s="4"/>
      <c r="T104" s="4"/>
      <c r="U104" s="4"/>
      <c r="V104" s="4"/>
      <c r="W104" s="4"/>
      <c r="X104" s="4"/>
      <c r="Y104" s="4"/>
      <c r="Z104" s="4"/>
    </row>
    <row r="105" ht="15.75" customHeight="1">
      <c r="A105" s="1"/>
      <c r="B105" s="1"/>
      <c r="C105" s="1"/>
      <c r="D105" s="1"/>
      <c r="E105" s="1"/>
      <c r="F105" s="1"/>
      <c r="G105" s="1"/>
      <c r="H105" s="4"/>
      <c r="I105" s="4"/>
      <c r="J105" s="4"/>
      <c r="K105" s="4"/>
      <c r="L105" s="4"/>
      <c r="M105" s="4"/>
      <c r="N105" s="4"/>
      <c r="O105" s="4"/>
      <c r="P105" s="4"/>
      <c r="Q105" s="4"/>
      <c r="R105" s="4"/>
      <c r="S105" s="4"/>
      <c r="T105" s="4"/>
      <c r="U105" s="4"/>
      <c r="V105" s="4"/>
      <c r="W105" s="4"/>
      <c r="X105" s="4"/>
      <c r="Y105" s="4"/>
      <c r="Z105" s="4"/>
    </row>
    <row r="106" ht="15.75" customHeight="1">
      <c r="A106" s="1"/>
      <c r="B106" s="1"/>
      <c r="C106" s="1"/>
      <c r="D106" s="1"/>
      <c r="E106" s="1"/>
      <c r="F106" s="1"/>
      <c r="G106" s="1"/>
      <c r="H106" s="4"/>
      <c r="I106" s="4"/>
      <c r="J106" s="4"/>
      <c r="K106" s="4"/>
      <c r="L106" s="4"/>
      <c r="M106" s="4"/>
      <c r="N106" s="4"/>
      <c r="O106" s="4"/>
      <c r="P106" s="4"/>
      <c r="Q106" s="4"/>
      <c r="R106" s="4"/>
      <c r="S106" s="4"/>
      <c r="T106" s="4"/>
      <c r="U106" s="4"/>
      <c r="V106" s="4"/>
      <c r="W106" s="4"/>
      <c r="X106" s="4"/>
      <c r="Y106" s="4"/>
      <c r="Z106" s="4"/>
    </row>
    <row r="107" ht="15.75" customHeight="1">
      <c r="A107" s="1"/>
      <c r="B107" s="1"/>
      <c r="C107" s="1"/>
      <c r="D107" s="1"/>
      <c r="E107" s="1"/>
      <c r="F107" s="1"/>
      <c r="G107" s="1"/>
      <c r="H107" s="4"/>
      <c r="I107" s="4"/>
      <c r="J107" s="4"/>
      <c r="K107" s="4"/>
      <c r="L107" s="4"/>
      <c r="M107" s="4"/>
      <c r="N107" s="4"/>
      <c r="O107" s="4"/>
      <c r="P107" s="4"/>
      <c r="Q107" s="4"/>
      <c r="R107" s="4"/>
      <c r="S107" s="4"/>
      <c r="T107" s="4"/>
      <c r="U107" s="4"/>
      <c r="V107" s="4"/>
      <c r="W107" s="4"/>
      <c r="X107" s="4"/>
      <c r="Y107" s="4"/>
      <c r="Z107" s="4"/>
    </row>
    <row r="108" ht="15.75" customHeight="1">
      <c r="A108" s="1"/>
      <c r="B108" s="1"/>
      <c r="C108" s="1"/>
      <c r="D108" s="1"/>
      <c r="E108" s="1"/>
      <c r="F108" s="1"/>
      <c r="G108" s="1"/>
      <c r="H108" s="4"/>
      <c r="I108" s="4"/>
      <c r="J108" s="4"/>
      <c r="K108" s="4"/>
      <c r="L108" s="4"/>
      <c r="M108" s="4"/>
      <c r="N108" s="4"/>
      <c r="O108" s="4"/>
      <c r="P108" s="4"/>
      <c r="Q108" s="4"/>
      <c r="R108" s="4"/>
      <c r="S108" s="4"/>
      <c r="T108" s="4"/>
      <c r="U108" s="4"/>
      <c r="V108" s="4"/>
      <c r="W108" s="4"/>
      <c r="X108" s="4"/>
      <c r="Y108" s="4"/>
      <c r="Z108" s="4"/>
    </row>
    <row r="109" ht="15.75" customHeight="1">
      <c r="A109" s="1"/>
      <c r="B109" s="1"/>
      <c r="C109" s="1"/>
      <c r="D109" s="1"/>
      <c r="E109" s="1"/>
      <c r="F109" s="1"/>
      <c r="G109" s="1"/>
      <c r="H109" s="4"/>
      <c r="I109" s="4"/>
      <c r="J109" s="4"/>
      <c r="K109" s="4"/>
      <c r="L109" s="4"/>
      <c r="M109" s="4"/>
      <c r="N109" s="4"/>
      <c r="O109" s="4"/>
      <c r="P109" s="4"/>
      <c r="Q109" s="4"/>
      <c r="R109" s="4"/>
      <c r="S109" s="4"/>
      <c r="T109" s="4"/>
      <c r="U109" s="4"/>
      <c r="V109" s="4"/>
      <c r="W109" s="4"/>
      <c r="X109" s="4"/>
      <c r="Y109" s="4"/>
      <c r="Z109" s="4"/>
    </row>
    <row r="110" ht="15.75" customHeight="1">
      <c r="A110" s="1"/>
      <c r="B110" s="1"/>
      <c r="C110" s="1"/>
      <c r="D110" s="1"/>
      <c r="E110" s="1"/>
      <c r="F110" s="1"/>
      <c r="G110" s="1"/>
      <c r="H110" s="4"/>
      <c r="I110" s="4"/>
      <c r="J110" s="4"/>
      <c r="K110" s="4"/>
      <c r="L110" s="4"/>
      <c r="M110" s="4"/>
      <c r="N110" s="4"/>
      <c r="O110" s="4"/>
      <c r="P110" s="4"/>
      <c r="Q110" s="4"/>
      <c r="R110" s="4"/>
      <c r="S110" s="4"/>
      <c r="T110" s="4"/>
      <c r="U110" s="4"/>
      <c r="V110" s="4"/>
      <c r="W110" s="4"/>
      <c r="X110" s="4"/>
      <c r="Y110" s="4"/>
      <c r="Z110" s="4"/>
    </row>
    <row r="111" ht="15.75" customHeight="1">
      <c r="A111" s="1"/>
      <c r="B111" s="1"/>
      <c r="C111" s="1"/>
      <c r="D111" s="1"/>
      <c r="E111" s="1"/>
      <c r="F111" s="1"/>
      <c r="G111" s="1"/>
      <c r="H111" s="4"/>
      <c r="I111" s="4"/>
      <c r="J111" s="4"/>
      <c r="K111" s="4"/>
      <c r="L111" s="4"/>
      <c r="M111" s="4"/>
      <c r="N111" s="4"/>
      <c r="O111" s="4"/>
      <c r="P111" s="4"/>
      <c r="Q111" s="4"/>
      <c r="R111" s="4"/>
      <c r="S111" s="4"/>
      <c r="T111" s="4"/>
      <c r="U111" s="4"/>
      <c r="V111" s="4"/>
      <c r="W111" s="4"/>
      <c r="X111" s="4"/>
      <c r="Y111" s="4"/>
      <c r="Z111" s="4"/>
    </row>
    <row r="112" ht="15.75" customHeight="1">
      <c r="A112" s="1"/>
      <c r="B112" s="1"/>
      <c r="C112" s="1"/>
      <c r="D112" s="1"/>
      <c r="E112" s="1"/>
      <c r="F112" s="1"/>
      <c r="G112" s="1"/>
      <c r="H112" s="4"/>
      <c r="I112" s="4"/>
      <c r="J112" s="4"/>
      <c r="K112" s="4"/>
      <c r="L112" s="4"/>
      <c r="M112" s="4"/>
      <c r="N112" s="4"/>
      <c r="O112" s="4"/>
      <c r="P112" s="4"/>
      <c r="Q112" s="4"/>
      <c r="R112" s="4"/>
      <c r="S112" s="4"/>
      <c r="T112" s="4"/>
      <c r="U112" s="4"/>
      <c r="V112" s="4"/>
      <c r="W112" s="4"/>
      <c r="X112" s="4"/>
      <c r="Y112" s="4"/>
      <c r="Z112" s="4"/>
    </row>
    <row r="113" ht="15.75" customHeight="1">
      <c r="A113" s="1"/>
      <c r="B113" s="1"/>
      <c r="C113" s="1"/>
      <c r="D113" s="1"/>
      <c r="E113" s="1"/>
      <c r="F113" s="1"/>
      <c r="G113" s="1"/>
      <c r="H113" s="4"/>
      <c r="I113" s="4"/>
      <c r="J113" s="4"/>
      <c r="K113" s="4"/>
      <c r="L113" s="4"/>
      <c r="M113" s="4"/>
      <c r="N113" s="4"/>
      <c r="O113" s="4"/>
      <c r="P113" s="4"/>
      <c r="Q113" s="4"/>
      <c r="R113" s="4"/>
      <c r="S113" s="4"/>
      <c r="T113" s="4"/>
      <c r="U113" s="4"/>
      <c r="V113" s="4"/>
      <c r="W113" s="4"/>
      <c r="X113" s="4"/>
      <c r="Y113" s="4"/>
      <c r="Z113" s="4"/>
    </row>
    <row r="114" ht="15.75" customHeight="1">
      <c r="A114" s="1"/>
      <c r="B114" s="1"/>
      <c r="C114" s="1"/>
      <c r="D114" s="1"/>
      <c r="E114" s="1"/>
      <c r="F114" s="1"/>
      <c r="G114" s="1"/>
      <c r="H114" s="4"/>
      <c r="I114" s="4"/>
      <c r="J114" s="4"/>
      <c r="K114" s="4"/>
      <c r="L114" s="4"/>
      <c r="M114" s="4"/>
      <c r="N114" s="4"/>
      <c r="O114" s="4"/>
      <c r="P114" s="4"/>
      <c r="Q114" s="4"/>
      <c r="R114" s="4"/>
      <c r="S114" s="4"/>
      <c r="T114" s="4"/>
      <c r="U114" s="4"/>
      <c r="V114" s="4"/>
      <c r="W114" s="4"/>
      <c r="X114" s="4"/>
      <c r="Y114" s="4"/>
      <c r="Z114" s="4"/>
    </row>
    <row r="115" ht="15.75" customHeight="1">
      <c r="A115" s="1"/>
      <c r="B115" s="1"/>
      <c r="C115" s="1"/>
      <c r="D115" s="1"/>
      <c r="E115" s="1"/>
      <c r="F115" s="1"/>
      <c r="G115" s="1"/>
      <c r="H115" s="4"/>
      <c r="I115" s="4"/>
      <c r="J115" s="4"/>
      <c r="K115" s="4"/>
      <c r="L115" s="4"/>
      <c r="M115" s="4"/>
      <c r="N115" s="4"/>
      <c r="O115" s="4"/>
      <c r="P115" s="4"/>
      <c r="Q115" s="4"/>
      <c r="R115" s="4"/>
      <c r="S115" s="4"/>
      <c r="T115" s="4"/>
      <c r="U115" s="4"/>
      <c r="V115" s="4"/>
      <c r="W115" s="4"/>
      <c r="X115" s="4"/>
      <c r="Y115" s="4"/>
      <c r="Z115" s="4"/>
    </row>
    <row r="116" ht="15.75" customHeight="1">
      <c r="A116" s="1"/>
      <c r="B116" s="1"/>
      <c r="C116" s="1"/>
      <c r="D116" s="1"/>
      <c r="E116" s="1"/>
      <c r="F116" s="1"/>
      <c r="G116" s="1"/>
      <c r="H116" s="4"/>
      <c r="I116" s="4"/>
      <c r="J116" s="4"/>
      <c r="K116" s="4"/>
      <c r="L116" s="4"/>
      <c r="M116" s="4"/>
      <c r="N116" s="4"/>
      <c r="O116" s="4"/>
      <c r="P116" s="4"/>
      <c r="Q116" s="4"/>
      <c r="R116" s="4"/>
      <c r="S116" s="4"/>
      <c r="T116" s="4"/>
      <c r="U116" s="4"/>
      <c r="V116" s="4"/>
      <c r="W116" s="4"/>
      <c r="X116" s="4"/>
      <c r="Y116" s="4"/>
      <c r="Z116" s="4"/>
    </row>
    <row r="117" ht="15.75" customHeight="1">
      <c r="A117" s="1"/>
      <c r="B117" s="1"/>
      <c r="C117" s="1"/>
      <c r="D117" s="1"/>
      <c r="E117" s="1"/>
      <c r="F117" s="1"/>
      <c r="G117" s="1"/>
      <c r="H117" s="4"/>
      <c r="I117" s="4"/>
      <c r="J117" s="4"/>
      <c r="K117" s="4"/>
      <c r="L117" s="4"/>
      <c r="M117" s="4"/>
      <c r="N117" s="4"/>
      <c r="O117" s="4"/>
      <c r="P117" s="4"/>
      <c r="Q117" s="4"/>
      <c r="R117" s="4"/>
      <c r="S117" s="4"/>
      <c r="T117" s="4"/>
      <c r="U117" s="4"/>
      <c r="V117" s="4"/>
      <c r="W117" s="4"/>
      <c r="X117" s="4"/>
      <c r="Y117" s="4"/>
      <c r="Z117" s="4"/>
    </row>
    <row r="118" ht="15.75" customHeight="1">
      <c r="A118" s="1"/>
      <c r="B118" s="1"/>
      <c r="C118" s="1"/>
      <c r="D118" s="1"/>
      <c r="E118" s="1"/>
      <c r="F118" s="1"/>
      <c r="G118" s="1"/>
      <c r="H118" s="4"/>
      <c r="I118" s="4"/>
      <c r="J118" s="4"/>
      <c r="K118" s="4"/>
      <c r="L118" s="4"/>
      <c r="M118" s="4"/>
      <c r="N118" s="4"/>
      <c r="O118" s="4"/>
      <c r="P118" s="4"/>
      <c r="Q118" s="4"/>
      <c r="R118" s="4"/>
      <c r="S118" s="4"/>
      <c r="T118" s="4"/>
      <c r="U118" s="4"/>
      <c r="V118" s="4"/>
      <c r="W118" s="4"/>
      <c r="X118" s="4"/>
      <c r="Y118" s="4"/>
      <c r="Z118" s="4"/>
    </row>
    <row r="119" ht="15.75" customHeight="1">
      <c r="A119" s="1"/>
      <c r="B119" s="1"/>
      <c r="C119" s="1"/>
      <c r="D119" s="1"/>
      <c r="E119" s="1"/>
      <c r="F119" s="1"/>
      <c r="G119" s="1"/>
      <c r="H119" s="4"/>
      <c r="I119" s="4"/>
      <c r="J119" s="4"/>
      <c r="K119" s="4"/>
      <c r="L119" s="4"/>
      <c r="M119" s="4"/>
      <c r="N119" s="4"/>
      <c r="O119" s="4"/>
      <c r="P119" s="4"/>
      <c r="Q119" s="4"/>
      <c r="R119" s="4"/>
      <c r="S119" s="4"/>
      <c r="T119" s="4"/>
      <c r="U119" s="4"/>
      <c r="V119" s="4"/>
      <c r="W119" s="4"/>
      <c r="X119" s="4"/>
      <c r="Y119" s="4"/>
      <c r="Z119" s="4"/>
    </row>
    <row r="120" ht="15.75" customHeight="1">
      <c r="A120" s="1"/>
      <c r="B120" s="1"/>
      <c r="C120" s="1"/>
      <c r="D120" s="1"/>
      <c r="E120" s="1"/>
      <c r="F120" s="1"/>
      <c r="G120" s="1"/>
      <c r="H120" s="4"/>
      <c r="I120" s="4"/>
      <c r="J120" s="4"/>
      <c r="K120" s="4"/>
      <c r="L120" s="4"/>
      <c r="M120" s="4"/>
      <c r="N120" s="4"/>
      <c r="O120" s="4"/>
      <c r="P120" s="4"/>
      <c r="Q120" s="4"/>
      <c r="R120" s="4"/>
      <c r="S120" s="4"/>
      <c r="T120" s="4"/>
      <c r="U120" s="4"/>
      <c r="V120" s="4"/>
      <c r="W120" s="4"/>
      <c r="X120" s="4"/>
      <c r="Y120" s="4"/>
      <c r="Z120" s="4"/>
    </row>
    <row r="121" ht="15.75" customHeight="1">
      <c r="A121" s="1"/>
      <c r="B121" s="1"/>
      <c r="C121" s="1"/>
      <c r="D121" s="1"/>
      <c r="E121" s="1"/>
      <c r="F121" s="1"/>
      <c r="G121" s="1"/>
      <c r="H121" s="4"/>
      <c r="I121" s="4"/>
      <c r="J121" s="4"/>
      <c r="K121" s="4"/>
      <c r="L121" s="4"/>
      <c r="M121" s="4"/>
      <c r="N121" s="4"/>
      <c r="O121" s="4"/>
      <c r="P121" s="4"/>
      <c r="Q121" s="4"/>
      <c r="R121" s="4"/>
      <c r="S121" s="4"/>
      <c r="T121" s="4"/>
      <c r="U121" s="4"/>
      <c r="V121" s="4"/>
      <c r="W121" s="4"/>
      <c r="X121" s="4"/>
      <c r="Y121" s="4"/>
      <c r="Z121" s="4"/>
    </row>
    <row r="122" ht="15.75" customHeight="1">
      <c r="A122" s="1"/>
      <c r="B122" s="1"/>
      <c r="C122" s="1"/>
      <c r="D122" s="1"/>
      <c r="E122" s="1"/>
      <c r="F122" s="1"/>
      <c r="G122" s="1"/>
      <c r="H122" s="4"/>
      <c r="I122" s="4"/>
      <c r="J122" s="4"/>
      <c r="K122" s="4"/>
      <c r="L122" s="4"/>
      <c r="M122" s="4"/>
      <c r="N122" s="4"/>
      <c r="O122" s="4"/>
      <c r="P122" s="4"/>
      <c r="Q122" s="4"/>
      <c r="R122" s="4"/>
      <c r="S122" s="4"/>
      <c r="T122" s="4"/>
      <c r="U122" s="4"/>
      <c r="V122" s="4"/>
      <c r="W122" s="4"/>
      <c r="X122" s="4"/>
      <c r="Y122" s="4"/>
      <c r="Z122" s="4"/>
    </row>
    <row r="123" ht="15.75" customHeight="1">
      <c r="A123" s="1"/>
      <c r="B123" s="1"/>
      <c r="C123" s="1"/>
      <c r="D123" s="1"/>
      <c r="E123" s="1"/>
      <c r="F123" s="1"/>
      <c r="G123" s="1"/>
      <c r="H123" s="4"/>
      <c r="I123" s="4"/>
      <c r="J123" s="4"/>
      <c r="K123" s="4"/>
      <c r="L123" s="4"/>
      <c r="M123" s="4"/>
      <c r="N123" s="4"/>
      <c r="O123" s="4"/>
      <c r="P123" s="4"/>
      <c r="Q123" s="4"/>
      <c r="R123" s="4"/>
      <c r="S123" s="4"/>
      <c r="T123" s="4"/>
      <c r="U123" s="4"/>
      <c r="V123" s="4"/>
      <c r="W123" s="4"/>
      <c r="X123" s="4"/>
      <c r="Y123" s="4"/>
      <c r="Z123" s="4"/>
    </row>
    <row r="124" ht="15.75" customHeight="1">
      <c r="A124" s="1"/>
      <c r="B124" s="1"/>
      <c r="C124" s="1"/>
      <c r="D124" s="1"/>
      <c r="E124" s="1"/>
      <c r="F124" s="1"/>
      <c r="G124" s="1"/>
      <c r="H124" s="4"/>
      <c r="I124" s="4"/>
      <c r="J124" s="4"/>
      <c r="K124" s="4"/>
      <c r="L124" s="4"/>
      <c r="M124" s="4"/>
      <c r="N124" s="4"/>
      <c r="O124" s="4"/>
      <c r="P124" s="4"/>
      <c r="Q124" s="4"/>
      <c r="R124" s="4"/>
      <c r="S124" s="4"/>
      <c r="T124" s="4"/>
      <c r="U124" s="4"/>
      <c r="V124" s="4"/>
      <c r="W124" s="4"/>
      <c r="X124" s="4"/>
      <c r="Y124" s="4"/>
      <c r="Z124" s="4"/>
    </row>
    <row r="125" ht="15.75" customHeight="1">
      <c r="A125" s="1"/>
      <c r="B125" s="1"/>
      <c r="C125" s="1"/>
      <c r="D125" s="1"/>
      <c r="E125" s="1"/>
      <c r="F125" s="1"/>
      <c r="G125" s="1"/>
      <c r="H125" s="4"/>
      <c r="I125" s="4"/>
      <c r="J125" s="4"/>
      <c r="K125" s="4"/>
      <c r="L125" s="4"/>
      <c r="M125" s="4"/>
      <c r="N125" s="4"/>
      <c r="O125" s="4"/>
      <c r="P125" s="4"/>
      <c r="Q125" s="4"/>
      <c r="R125" s="4"/>
      <c r="S125" s="4"/>
      <c r="T125" s="4"/>
      <c r="U125" s="4"/>
      <c r="V125" s="4"/>
      <c r="W125" s="4"/>
      <c r="X125" s="4"/>
      <c r="Y125" s="4"/>
      <c r="Z125" s="4"/>
    </row>
    <row r="126" ht="15.75" customHeight="1">
      <c r="A126" s="1"/>
      <c r="B126" s="1"/>
      <c r="C126" s="1"/>
      <c r="D126" s="1"/>
      <c r="E126" s="1"/>
      <c r="F126" s="1"/>
      <c r="G126" s="1"/>
      <c r="H126" s="4"/>
      <c r="I126" s="4"/>
      <c r="J126" s="4"/>
      <c r="K126" s="4"/>
      <c r="L126" s="4"/>
      <c r="M126" s="4"/>
      <c r="N126" s="4"/>
      <c r="O126" s="4"/>
      <c r="P126" s="4"/>
      <c r="Q126" s="4"/>
      <c r="R126" s="4"/>
      <c r="S126" s="4"/>
      <c r="T126" s="4"/>
      <c r="U126" s="4"/>
      <c r="V126" s="4"/>
      <c r="W126" s="4"/>
      <c r="X126" s="4"/>
      <c r="Y126" s="4"/>
      <c r="Z126" s="4"/>
    </row>
    <row r="127" ht="15.75" customHeight="1">
      <c r="A127" s="1"/>
      <c r="B127" s="1"/>
      <c r="C127" s="1"/>
      <c r="D127" s="1"/>
      <c r="E127" s="1"/>
      <c r="F127" s="1"/>
      <c r="G127" s="1"/>
      <c r="H127" s="4"/>
      <c r="I127" s="4"/>
      <c r="J127" s="4"/>
      <c r="K127" s="4"/>
      <c r="L127" s="4"/>
      <c r="M127" s="4"/>
      <c r="N127" s="4"/>
      <c r="O127" s="4"/>
      <c r="P127" s="4"/>
      <c r="Q127" s="4"/>
      <c r="R127" s="4"/>
      <c r="S127" s="4"/>
      <c r="T127" s="4"/>
      <c r="U127" s="4"/>
      <c r="V127" s="4"/>
      <c r="W127" s="4"/>
      <c r="X127" s="4"/>
      <c r="Y127" s="4"/>
      <c r="Z127" s="4"/>
    </row>
    <row r="128" ht="15.75" customHeight="1">
      <c r="A128" s="1"/>
      <c r="B128" s="1"/>
      <c r="C128" s="1"/>
      <c r="D128" s="1"/>
      <c r="E128" s="1"/>
      <c r="F128" s="1"/>
      <c r="G128" s="1"/>
      <c r="H128" s="4"/>
      <c r="I128" s="4"/>
      <c r="J128" s="4"/>
      <c r="K128" s="4"/>
      <c r="L128" s="4"/>
      <c r="M128" s="4"/>
      <c r="N128" s="4"/>
      <c r="O128" s="4"/>
      <c r="P128" s="4"/>
      <c r="Q128" s="4"/>
      <c r="R128" s="4"/>
      <c r="S128" s="4"/>
      <c r="T128" s="4"/>
      <c r="U128" s="4"/>
      <c r="V128" s="4"/>
      <c r="W128" s="4"/>
      <c r="X128" s="4"/>
      <c r="Y128" s="4"/>
      <c r="Z128" s="4"/>
    </row>
    <row r="129" ht="15.75" customHeight="1">
      <c r="A129" s="1"/>
      <c r="B129" s="1"/>
      <c r="C129" s="1"/>
      <c r="D129" s="1"/>
      <c r="E129" s="1"/>
      <c r="F129" s="1"/>
      <c r="G129" s="1"/>
      <c r="H129" s="4"/>
      <c r="I129" s="4"/>
      <c r="J129" s="4"/>
      <c r="K129" s="4"/>
      <c r="L129" s="4"/>
      <c r="M129" s="4"/>
      <c r="N129" s="4"/>
      <c r="O129" s="4"/>
      <c r="P129" s="4"/>
      <c r="Q129" s="4"/>
      <c r="R129" s="4"/>
      <c r="S129" s="4"/>
      <c r="T129" s="4"/>
      <c r="U129" s="4"/>
      <c r="V129" s="4"/>
      <c r="W129" s="4"/>
      <c r="X129" s="4"/>
      <c r="Y129" s="4"/>
      <c r="Z129" s="4"/>
    </row>
    <row r="130" ht="15.75" customHeight="1">
      <c r="A130" s="1"/>
      <c r="B130" s="1"/>
      <c r="C130" s="1"/>
      <c r="D130" s="1"/>
      <c r="E130" s="1"/>
      <c r="F130" s="1"/>
      <c r="G130" s="1"/>
      <c r="H130" s="4"/>
      <c r="I130" s="4"/>
      <c r="J130" s="4"/>
      <c r="K130" s="4"/>
      <c r="L130" s="4"/>
      <c r="M130" s="4"/>
      <c r="N130" s="4"/>
      <c r="O130" s="4"/>
      <c r="P130" s="4"/>
      <c r="Q130" s="4"/>
      <c r="R130" s="4"/>
      <c r="S130" s="4"/>
      <c r="T130" s="4"/>
      <c r="U130" s="4"/>
      <c r="V130" s="4"/>
      <c r="W130" s="4"/>
      <c r="X130" s="4"/>
      <c r="Y130" s="4"/>
      <c r="Z130" s="4"/>
    </row>
    <row r="131" ht="15.75" customHeight="1">
      <c r="A131" s="1"/>
      <c r="B131" s="1"/>
      <c r="C131" s="1"/>
      <c r="D131" s="1"/>
      <c r="E131" s="1"/>
      <c r="F131" s="1"/>
      <c r="G131" s="1"/>
      <c r="H131" s="4"/>
      <c r="I131" s="4"/>
      <c r="J131" s="4"/>
      <c r="K131" s="4"/>
      <c r="L131" s="4"/>
      <c r="M131" s="4"/>
      <c r="N131" s="4"/>
      <c r="O131" s="4"/>
      <c r="P131" s="4"/>
      <c r="Q131" s="4"/>
      <c r="R131" s="4"/>
      <c r="S131" s="4"/>
      <c r="T131" s="4"/>
      <c r="U131" s="4"/>
      <c r="V131" s="4"/>
      <c r="W131" s="4"/>
      <c r="X131" s="4"/>
      <c r="Y131" s="4"/>
      <c r="Z131" s="4"/>
    </row>
    <row r="132" ht="15.75" customHeight="1">
      <c r="A132" s="1"/>
      <c r="B132" s="1"/>
      <c r="C132" s="1"/>
      <c r="D132" s="1"/>
      <c r="E132" s="1"/>
      <c r="F132" s="1"/>
      <c r="G132" s="1"/>
      <c r="H132" s="4"/>
      <c r="I132" s="4"/>
      <c r="J132" s="4"/>
      <c r="K132" s="4"/>
      <c r="L132" s="4"/>
      <c r="M132" s="4"/>
      <c r="N132" s="4"/>
      <c r="O132" s="4"/>
      <c r="P132" s="4"/>
      <c r="Q132" s="4"/>
      <c r="R132" s="4"/>
      <c r="S132" s="4"/>
      <c r="T132" s="4"/>
      <c r="U132" s="4"/>
      <c r="V132" s="4"/>
      <c r="W132" s="4"/>
      <c r="X132" s="4"/>
      <c r="Y132" s="4"/>
      <c r="Z132" s="4"/>
    </row>
    <row r="133" ht="15.75" customHeight="1">
      <c r="A133" s="1"/>
      <c r="B133" s="1"/>
      <c r="C133" s="1"/>
      <c r="D133" s="1"/>
      <c r="E133" s="1"/>
      <c r="F133" s="1"/>
      <c r="G133" s="1"/>
      <c r="H133" s="4"/>
      <c r="I133" s="4"/>
      <c r="J133" s="4"/>
      <c r="K133" s="4"/>
      <c r="L133" s="4"/>
      <c r="M133" s="4"/>
      <c r="N133" s="4"/>
      <c r="O133" s="4"/>
      <c r="P133" s="4"/>
      <c r="Q133" s="4"/>
      <c r="R133" s="4"/>
      <c r="S133" s="4"/>
      <c r="T133" s="4"/>
      <c r="U133" s="4"/>
      <c r="V133" s="4"/>
      <c r="W133" s="4"/>
      <c r="X133" s="4"/>
      <c r="Y133" s="4"/>
      <c r="Z133" s="4"/>
    </row>
    <row r="134" ht="15.75" customHeight="1">
      <c r="A134" s="1"/>
      <c r="B134" s="1"/>
      <c r="C134" s="1"/>
      <c r="D134" s="1"/>
      <c r="E134" s="1"/>
      <c r="F134" s="1"/>
      <c r="G134" s="1"/>
      <c r="H134" s="4"/>
      <c r="I134" s="4"/>
      <c r="J134" s="4"/>
      <c r="K134" s="4"/>
      <c r="L134" s="4"/>
      <c r="M134" s="4"/>
      <c r="N134" s="4"/>
      <c r="O134" s="4"/>
      <c r="P134" s="4"/>
      <c r="Q134" s="4"/>
      <c r="R134" s="4"/>
      <c r="S134" s="4"/>
      <c r="T134" s="4"/>
      <c r="U134" s="4"/>
      <c r="V134" s="4"/>
      <c r="W134" s="4"/>
      <c r="X134" s="4"/>
      <c r="Y134" s="4"/>
      <c r="Z134" s="4"/>
    </row>
    <row r="135" ht="15.75" customHeight="1">
      <c r="A135" s="1"/>
      <c r="B135" s="1"/>
      <c r="C135" s="1"/>
      <c r="D135" s="1"/>
      <c r="E135" s="1"/>
      <c r="F135" s="1"/>
      <c r="G135" s="1"/>
      <c r="H135" s="4"/>
      <c r="I135" s="4"/>
      <c r="J135" s="4"/>
      <c r="K135" s="4"/>
      <c r="L135" s="4"/>
      <c r="M135" s="4"/>
      <c r="N135" s="4"/>
      <c r="O135" s="4"/>
      <c r="P135" s="4"/>
      <c r="Q135" s="4"/>
      <c r="R135" s="4"/>
      <c r="S135" s="4"/>
      <c r="T135" s="4"/>
      <c r="U135" s="4"/>
      <c r="V135" s="4"/>
      <c r="W135" s="4"/>
      <c r="X135" s="4"/>
      <c r="Y135" s="4"/>
      <c r="Z135" s="4"/>
    </row>
    <row r="136" ht="15.75" customHeight="1">
      <c r="A136" s="1"/>
      <c r="B136" s="1"/>
      <c r="C136" s="1"/>
      <c r="D136" s="1"/>
      <c r="E136" s="1"/>
      <c r="F136" s="1"/>
      <c r="G136" s="1"/>
      <c r="H136" s="4"/>
      <c r="I136" s="4"/>
      <c r="J136" s="4"/>
      <c r="K136" s="4"/>
      <c r="L136" s="4"/>
      <c r="M136" s="4"/>
      <c r="N136" s="4"/>
      <c r="O136" s="4"/>
      <c r="P136" s="4"/>
      <c r="Q136" s="4"/>
      <c r="R136" s="4"/>
      <c r="S136" s="4"/>
      <c r="T136" s="4"/>
      <c r="U136" s="4"/>
      <c r="V136" s="4"/>
      <c r="W136" s="4"/>
      <c r="X136" s="4"/>
      <c r="Y136" s="4"/>
      <c r="Z136" s="4"/>
    </row>
    <row r="137" ht="15.75" customHeight="1">
      <c r="A137" s="1"/>
      <c r="B137" s="1"/>
      <c r="C137" s="1"/>
      <c r="D137" s="1"/>
      <c r="E137" s="1"/>
      <c r="F137" s="1"/>
      <c r="G137" s="1"/>
      <c r="H137" s="4"/>
      <c r="I137" s="4"/>
      <c r="J137" s="4"/>
      <c r="K137" s="4"/>
      <c r="L137" s="4"/>
      <c r="M137" s="4"/>
      <c r="N137" s="4"/>
      <c r="O137" s="4"/>
      <c r="P137" s="4"/>
      <c r="Q137" s="4"/>
      <c r="R137" s="4"/>
      <c r="S137" s="4"/>
      <c r="T137" s="4"/>
      <c r="U137" s="4"/>
      <c r="V137" s="4"/>
      <c r="W137" s="4"/>
      <c r="X137" s="4"/>
      <c r="Y137" s="4"/>
      <c r="Z137" s="4"/>
    </row>
    <row r="138" ht="15.75" customHeight="1">
      <c r="A138" s="1"/>
      <c r="B138" s="1"/>
      <c r="C138" s="1"/>
      <c r="D138" s="1"/>
      <c r="E138" s="1"/>
      <c r="F138" s="1"/>
      <c r="G138" s="1"/>
      <c r="H138" s="4"/>
      <c r="I138" s="4"/>
      <c r="J138" s="4"/>
      <c r="K138" s="4"/>
      <c r="L138" s="4"/>
      <c r="M138" s="4"/>
      <c r="N138" s="4"/>
      <c r="O138" s="4"/>
      <c r="P138" s="4"/>
      <c r="Q138" s="4"/>
      <c r="R138" s="4"/>
      <c r="S138" s="4"/>
      <c r="T138" s="4"/>
      <c r="U138" s="4"/>
      <c r="V138" s="4"/>
      <c r="W138" s="4"/>
      <c r="X138" s="4"/>
      <c r="Y138" s="4"/>
      <c r="Z138" s="4"/>
    </row>
    <row r="139" ht="15.75" customHeight="1">
      <c r="A139" s="1"/>
      <c r="B139" s="1"/>
      <c r="C139" s="1"/>
      <c r="D139" s="1"/>
      <c r="E139" s="1"/>
      <c r="F139" s="1"/>
      <c r="G139" s="1"/>
      <c r="H139" s="4"/>
      <c r="I139" s="4"/>
      <c r="J139" s="4"/>
      <c r="K139" s="4"/>
      <c r="L139" s="4"/>
      <c r="M139" s="4"/>
      <c r="N139" s="4"/>
      <c r="O139" s="4"/>
      <c r="P139" s="4"/>
      <c r="Q139" s="4"/>
      <c r="R139" s="4"/>
      <c r="S139" s="4"/>
      <c r="T139" s="4"/>
      <c r="U139" s="4"/>
      <c r="V139" s="4"/>
      <c r="W139" s="4"/>
      <c r="X139" s="4"/>
      <c r="Y139" s="4"/>
      <c r="Z139" s="4"/>
    </row>
    <row r="140" ht="15.75" customHeight="1">
      <c r="A140" s="1"/>
      <c r="B140" s="1"/>
      <c r="C140" s="1"/>
      <c r="D140" s="1"/>
      <c r="E140" s="1"/>
      <c r="F140" s="1"/>
      <c r="G140" s="1"/>
      <c r="H140" s="4"/>
      <c r="I140" s="4"/>
      <c r="J140" s="4"/>
      <c r="K140" s="4"/>
      <c r="L140" s="4"/>
      <c r="M140" s="4"/>
      <c r="N140" s="4"/>
      <c r="O140" s="4"/>
      <c r="P140" s="4"/>
      <c r="Q140" s="4"/>
      <c r="R140" s="4"/>
      <c r="S140" s="4"/>
      <c r="T140" s="4"/>
      <c r="U140" s="4"/>
      <c r="V140" s="4"/>
      <c r="W140" s="4"/>
      <c r="X140" s="4"/>
      <c r="Y140" s="4"/>
      <c r="Z140" s="4"/>
    </row>
    <row r="141" ht="15.75" customHeight="1">
      <c r="A141" s="1"/>
      <c r="B141" s="1"/>
      <c r="C141" s="1"/>
      <c r="D141" s="1"/>
      <c r="E141" s="1"/>
      <c r="F141" s="1"/>
      <c r="G141" s="1"/>
      <c r="H141" s="4"/>
      <c r="I141" s="4"/>
      <c r="J141" s="4"/>
      <c r="K141" s="4"/>
      <c r="L141" s="4"/>
      <c r="M141" s="4"/>
      <c r="N141" s="4"/>
      <c r="O141" s="4"/>
      <c r="P141" s="4"/>
      <c r="Q141" s="4"/>
      <c r="R141" s="4"/>
      <c r="S141" s="4"/>
      <c r="T141" s="4"/>
      <c r="U141" s="4"/>
      <c r="V141" s="4"/>
      <c r="W141" s="4"/>
      <c r="X141" s="4"/>
      <c r="Y141" s="4"/>
      <c r="Z141" s="4"/>
    </row>
    <row r="142" ht="15.75" customHeight="1">
      <c r="A142" s="1"/>
      <c r="B142" s="1"/>
      <c r="C142" s="1"/>
      <c r="D142" s="1"/>
      <c r="E142" s="1"/>
      <c r="F142" s="1"/>
      <c r="G142" s="1"/>
      <c r="H142" s="4"/>
      <c r="I142" s="4"/>
      <c r="J142" s="4"/>
      <c r="K142" s="4"/>
      <c r="L142" s="4"/>
      <c r="M142" s="4"/>
      <c r="N142" s="4"/>
      <c r="O142" s="4"/>
      <c r="P142" s="4"/>
      <c r="Q142" s="4"/>
      <c r="R142" s="4"/>
      <c r="S142" s="4"/>
      <c r="T142" s="4"/>
      <c r="U142" s="4"/>
      <c r="V142" s="4"/>
      <c r="W142" s="4"/>
      <c r="X142" s="4"/>
      <c r="Y142" s="4"/>
      <c r="Z142" s="4"/>
    </row>
    <row r="143" ht="15.75" customHeight="1">
      <c r="A143" s="1"/>
      <c r="B143" s="1"/>
      <c r="C143" s="1"/>
      <c r="D143" s="1"/>
      <c r="E143" s="1"/>
      <c r="F143" s="1"/>
      <c r="G143" s="1"/>
      <c r="H143" s="4"/>
      <c r="I143" s="4"/>
      <c r="J143" s="4"/>
      <c r="K143" s="4"/>
      <c r="L143" s="4"/>
      <c r="M143" s="4"/>
      <c r="N143" s="4"/>
      <c r="O143" s="4"/>
      <c r="P143" s="4"/>
      <c r="Q143" s="4"/>
      <c r="R143" s="4"/>
      <c r="S143" s="4"/>
      <c r="T143" s="4"/>
      <c r="U143" s="4"/>
      <c r="V143" s="4"/>
      <c r="W143" s="4"/>
      <c r="X143" s="4"/>
      <c r="Y143" s="4"/>
      <c r="Z143" s="4"/>
    </row>
    <row r="144" ht="15.75" customHeight="1">
      <c r="A144" s="1"/>
      <c r="B144" s="1"/>
      <c r="C144" s="1"/>
      <c r="D144" s="1"/>
      <c r="E144" s="1"/>
      <c r="F144" s="1"/>
      <c r="G144" s="1"/>
      <c r="H144" s="4"/>
      <c r="I144" s="4"/>
      <c r="J144" s="4"/>
      <c r="K144" s="4"/>
      <c r="L144" s="4"/>
      <c r="M144" s="4"/>
      <c r="N144" s="4"/>
      <c r="O144" s="4"/>
      <c r="P144" s="4"/>
      <c r="Q144" s="4"/>
      <c r="R144" s="4"/>
      <c r="S144" s="4"/>
      <c r="T144" s="4"/>
      <c r="U144" s="4"/>
      <c r="V144" s="4"/>
      <c r="W144" s="4"/>
      <c r="X144" s="4"/>
      <c r="Y144" s="4"/>
      <c r="Z144" s="4"/>
    </row>
    <row r="145" ht="15.75" customHeight="1">
      <c r="A145" s="1"/>
      <c r="B145" s="1"/>
      <c r="C145" s="1"/>
      <c r="D145" s="1"/>
      <c r="E145" s="1"/>
      <c r="F145" s="1"/>
      <c r="G145" s="1"/>
      <c r="H145" s="4"/>
      <c r="I145" s="4"/>
      <c r="J145" s="4"/>
      <c r="K145" s="4"/>
      <c r="L145" s="4"/>
      <c r="M145" s="4"/>
      <c r="N145" s="4"/>
      <c r="O145" s="4"/>
      <c r="P145" s="4"/>
      <c r="Q145" s="4"/>
      <c r="R145" s="4"/>
      <c r="S145" s="4"/>
      <c r="T145" s="4"/>
      <c r="U145" s="4"/>
      <c r="V145" s="4"/>
      <c r="W145" s="4"/>
      <c r="X145" s="4"/>
      <c r="Y145" s="4"/>
      <c r="Z145" s="4"/>
    </row>
    <row r="146" ht="15.75" customHeight="1">
      <c r="A146" s="1"/>
      <c r="B146" s="1"/>
      <c r="C146" s="1"/>
      <c r="D146" s="1"/>
      <c r="E146" s="1"/>
      <c r="F146" s="1"/>
      <c r="G146" s="1"/>
      <c r="H146" s="4"/>
      <c r="I146" s="4"/>
      <c r="J146" s="4"/>
      <c r="K146" s="4"/>
      <c r="L146" s="4"/>
      <c r="M146" s="4"/>
      <c r="N146" s="4"/>
      <c r="O146" s="4"/>
      <c r="P146" s="4"/>
      <c r="Q146" s="4"/>
      <c r="R146" s="4"/>
      <c r="S146" s="4"/>
      <c r="T146" s="4"/>
      <c r="U146" s="4"/>
      <c r="V146" s="4"/>
      <c r="W146" s="4"/>
      <c r="X146" s="4"/>
      <c r="Y146" s="4"/>
      <c r="Z146" s="4"/>
    </row>
    <row r="147" ht="15.75" customHeight="1">
      <c r="A147" s="1"/>
      <c r="B147" s="1"/>
      <c r="C147" s="1"/>
      <c r="D147" s="1"/>
      <c r="E147" s="1"/>
      <c r="F147" s="1"/>
      <c r="G147" s="1"/>
      <c r="H147" s="4"/>
      <c r="I147" s="4"/>
      <c r="J147" s="4"/>
      <c r="K147" s="4"/>
      <c r="L147" s="4"/>
      <c r="M147" s="4"/>
      <c r="N147" s="4"/>
      <c r="O147" s="4"/>
      <c r="P147" s="4"/>
      <c r="Q147" s="4"/>
      <c r="R147" s="4"/>
      <c r="S147" s="4"/>
      <c r="T147" s="4"/>
      <c r="U147" s="4"/>
      <c r="V147" s="4"/>
      <c r="W147" s="4"/>
      <c r="X147" s="4"/>
      <c r="Y147" s="4"/>
      <c r="Z147" s="4"/>
    </row>
    <row r="148" ht="15.75" customHeight="1">
      <c r="A148" s="1"/>
      <c r="B148" s="1"/>
      <c r="C148" s="1"/>
      <c r="D148" s="1"/>
      <c r="E148" s="1"/>
      <c r="F148" s="1"/>
      <c r="G148" s="1"/>
      <c r="H148" s="4"/>
      <c r="I148" s="4"/>
      <c r="J148" s="4"/>
      <c r="K148" s="4"/>
      <c r="L148" s="4"/>
      <c r="M148" s="4"/>
      <c r="N148" s="4"/>
      <c r="O148" s="4"/>
      <c r="P148" s="4"/>
      <c r="Q148" s="4"/>
      <c r="R148" s="4"/>
      <c r="S148" s="4"/>
      <c r="T148" s="4"/>
      <c r="U148" s="4"/>
      <c r="V148" s="4"/>
      <c r="W148" s="4"/>
      <c r="X148" s="4"/>
      <c r="Y148" s="4"/>
      <c r="Z148" s="4"/>
    </row>
    <row r="149" ht="15.75" customHeight="1">
      <c r="A149" s="1"/>
      <c r="B149" s="1"/>
      <c r="C149" s="1"/>
      <c r="D149" s="1"/>
      <c r="E149" s="1"/>
      <c r="F149" s="1"/>
      <c r="G149" s="1"/>
      <c r="H149" s="4"/>
      <c r="I149" s="4"/>
      <c r="J149" s="4"/>
      <c r="K149" s="4"/>
      <c r="L149" s="4"/>
      <c r="M149" s="4"/>
      <c r="N149" s="4"/>
      <c r="O149" s="4"/>
      <c r="P149" s="4"/>
      <c r="Q149" s="4"/>
      <c r="R149" s="4"/>
      <c r="S149" s="4"/>
      <c r="T149" s="4"/>
      <c r="U149" s="4"/>
      <c r="V149" s="4"/>
      <c r="W149" s="4"/>
      <c r="X149" s="4"/>
      <c r="Y149" s="4"/>
      <c r="Z149" s="4"/>
    </row>
    <row r="150" ht="15.75" customHeight="1">
      <c r="A150" s="1"/>
      <c r="B150" s="1"/>
      <c r="C150" s="1"/>
      <c r="D150" s="1"/>
      <c r="E150" s="1"/>
      <c r="F150" s="1"/>
      <c r="G150" s="1"/>
      <c r="H150" s="4"/>
      <c r="I150" s="4"/>
      <c r="J150" s="4"/>
      <c r="K150" s="4"/>
      <c r="L150" s="4"/>
      <c r="M150" s="4"/>
      <c r="N150" s="4"/>
      <c r="O150" s="4"/>
      <c r="P150" s="4"/>
      <c r="Q150" s="4"/>
      <c r="R150" s="4"/>
      <c r="S150" s="4"/>
      <c r="T150" s="4"/>
      <c r="U150" s="4"/>
      <c r="V150" s="4"/>
      <c r="W150" s="4"/>
      <c r="X150" s="4"/>
      <c r="Y150" s="4"/>
      <c r="Z150" s="4"/>
    </row>
    <row r="151" ht="15.75" customHeight="1">
      <c r="A151" s="1"/>
      <c r="B151" s="1"/>
      <c r="C151" s="1"/>
      <c r="D151" s="1"/>
      <c r="E151" s="1"/>
      <c r="F151" s="1"/>
      <c r="G151" s="1"/>
      <c r="H151" s="4"/>
      <c r="I151" s="4"/>
      <c r="J151" s="4"/>
      <c r="K151" s="4"/>
      <c r="L151" s="4"/>
      <c r="M151" s="4"/>
      <c r="N151" s="4"/>
      <c r="O151" s="4"/>
      <c r="P151" s="4"/>
      <c r="Q151" s="4"/>
      <c r="R151" s="4"/>
      <c r="S151" s="4"/>
      <c r="T151" s="4"/>
      <c r="U151" s="4"/>
      <c r="V151" s="4"/>
      <c r="W151" s="4"/>
      <c r="X151" s="4"/>
      <c r="Y151" s="4"/>
      <c r="Z151" s="4"/>
    </row>
    <row r="152" ht="15.75" customHeight="1">
      <c r="A152" s="1"/>
      <c r="B152" s="1"/>
      <c r="C152" s="1"/>
      <c r="D152" s="1"/>
      <c r="E152" s="1"/>
      <c r="F152" s="1"/>
      <c r="G152" s="1"/>
      <c r="H152" s="4"/>
      <c r="I152" s="4"/>
      <c r="J152" s="4"/>
      <c r="K152" s="4"/>
      <c r="L152" s="4"/>
      <c r="M152" s="4"/>
      <c r="N152" s="4"/>
      <c r="O152" s="4"/>
      <c r="P152" s="4"/>
      <c r="Q152" s="4"/>
      <c r="R152" s="4"/>
      <c r="S152" s="4"/>
      <c r="T152" s="4"/>
      <c r="U152" s="4"/>
      <c r="V152" s="4"/>
      <c r="W152" s="4"/>
      <c r="X152" s="4"/>
      <c r="Y152" s="4"/>
      <c r="Z152" s="4"/>
    </row>
    <row r="153" ht="15.75" customHeight="1">
      <c r="A153" s="1"/>
      <c r="B153" s="1"/>
      <c r="C153" s="1"/>
      <c r="D153" s="1"/>
      <c r="E153" s="1"/>
      <c r="F153" s="1"/>
      <c r="G153" s="1"/>
      <c r="H153" s="4"/>
      <c r="I153" s="4"/>
      <c r="J153" s="4"/>
      <c r="K153" s="4"/>
      <c r="L153" s="4"/>
      <c r="M153" s="4"/>
      <c r="N153" s="4"/>
      <c r="O153" s="4"/>
      <c r="P153" s="4"/>
      <c r="Q153" s="4"/>
      <c r="R153" s="4"/>
      <c r="S153" s="4"/>
      <c r="T153" s="4"/>
      <c r="U153" s="4"/>
      <c r="V153" s="4"/>
      <c r="W153" s="4"/>
      <c r="X153" s="4"/>
      <c r="Y153" s="4"/>
      <c r="Z153" s="4"/>
    </row>
    <row r="154" ht="15.75" customHeight="1">
      <c r="A154" s="1"/>
      <c r="B154" s="1"/>
      <c r="C154" s="1"/>
      <c r="D154" s="1"/>
      <c r="E154" s="1"/>
      <c r="F154" s="1"/>
      <c r="G154" s="1"/>
      <c r="H154" s="4"/>
      <c r="I154" s="4"/>
      <c r="J154" s="4"/>
      <c r="K154" s="4"/>
      <c r="L154" s="4"/>
      <c r="M154" s="4"/>
      <c r="N154" s="4"/>
      <c r="O154" s="4"/>
      <c r="P154" s="4"/>
      <c r="Q154" s="4"/>
      <c r="R154" s="4"/>
      <c r="S154" s="4"/>
      <c r="T154" s="4"/>
      <c r="U154" s="4"/>
      <c r="V154" s="4"/>
      <c r="W154" s="4"/>
      <c r="X154" s="4"/>
      <c r="Y154" s="4"/>
      <c r="Z154" s="4"/>
    </row>
    <row r="155" ht="15.75" customHeight="1">
      <c r="A155" s="1"/>
      <c r="B155" s="1"/>
      <c r="C155" s="1"/>
      <c r="D155" s="1"/>
      <c r="E155" s="1"/>
      <c r="F155" s="1"/>
      <c r="G155" s="1"/>
      <c r="H155" s="4"/>
      <c r="I155" s="4"/>
      <c r="J155" s="4"/>
      <c r="K155" s="4"/>
      <c r="L155" s="4"/>
      <c r="M155" s="4"/>
      <c r="N155" s="4"/>
      <c r="O155" s="4"/>
      <c r="P155" s="4"/>
      <c r="Q155" s="4"/>
      <c r="R155" s="4"/>
      <c r="S155" s="4"/>
      <c r="T155" s="4"/>
      <c r="U155" s="4"/>
      <c r="V155" s="4"/>
      <c r="W155" s="4"/>
      <c r="X155" s="4"/>
      <c r="Y155" s="4"/>
      <c r="Z155" s="4"/>
    </row>
    <row r="156" ht="15.75" customHeight="1">
      <c r="A156" s="1"/>
      <c r="B156" s="1"/>
      <c r="C156" s="1"/>
      <c r="D156" s="1"/>
      <c r="E156" s="1"/>
      <c r="F156" s="1"/>
      <c r="G156" s="1"/>
      <c r="H156" s="4"/>
      <c r="I156" s="4"/>
      <c r="J156" s="4"/>
      <c r="K156" s="4"/>
      <c r="L156" s="4"/>
      <c r="M156" s="4"/>
      <c r="N156" s="4"/>
      <c r="O156" s="4"/>
      <c r="P156" s="4"/>
      <c r="Q156" s="4"/>
      <c r="R156" s="4"/>
      <c r="S156" s="4"/>
      <c r="T156" s="4"/>
      <c r="U156" s="4"/>
      <c r="V156" s="4"/>
      <c r="W156" s="4"/>
      <c r="X156" s="4"/>
      <c r="Y156" s="4"/>
      <c r="Z156" s="4"/>
    </row>
    <row r="157" ht="15.75" customHeight="1">
      <c r="A157" s="1"/>
      <c r="B157" s="1"/>
      <c r="C157" s="1"/>
      <c r="D157" s="1"/>
      <c r="E157" s="1"/>
      <c r="F157" s="1"/>
      <c r="G157" s="1"/>
      <c r="H157" s="4"/>
      <c r="I157" s="4"/>
      <c r="J157" s="4"/>
      <c r="K157" s="4"/>
      <c r="L157" s="4"/>
      <c r="M157" s="4"/>
      <c r="N157" s="4"/>
      <c r="O157" s="4"/>
      <c r="P157" s="4"/>
      <c r="Q157" s="4"/>
      <c r="R157" s="4"/>
      <c r="S157" s="4"/>
      <c r="T157" s="4"/>
      <c r="U157" s="4"/>
      <c r="V157" s="4"/>
      <c r="W157" s="4"/>
      <c r="X157" s="4"/>
      <c r="Y157" s="4"/>
      <c r="Z157" s="4"/>
    </row>
    <row r="158" ht="15.75" customHeight="1">
      <c r="A158" s="1"/>
      <c r="B158" s="1"/>
      <c r="C158" s="1"/>
      <c r="D158" s="1"/>
      <c r="E158" s="1"/>
      <c r="F158" s="1"/>
      <c r="G158" s="1"/>
      <c r="H158" s="4"/>
      <c r="I158" s="4"/>
      <c r="J158" s="4"/>
      <c r="K158" s="4"/>
      <c r="L158" s="4"/>
      <c r="M158" s="4"/>
      <c r="N158" s="4"/>
      <c r="O158" s="4"/>
      <c r="P158" s="4"/>
      <c r="Q158" s="4"/>
      <c r="R158" s="4"/>
      <c r="S158" s="4"/>
      <c r="T158" s="4"/>
      <c r="U158" s="4"/>
      <c r="V158" s="4"/>
      <c r="W158" s="4"/>
      <c r="X158" s="4"/>
      <c r="Y158" s="4"/>
      <c r="Z158" s="4"/>
    </row>
    <row r="159" ht="15.75" customHeight="1">
      <c r="A159" s="1"/>
      <c r="B159" s="1"/>
      <c r="C159" s="1"/>
      <c r="D159" s="1"/>
      <c r="E159" s="1"/>
      <c r="F159" s="1"/>
      <c r="G159" s="1"/>
      <c r="H159" s="4"/>
      <c r="I159" s="4"/>
      <c r="J159" s="4"/>
      <c r="K159" s="4"/>
      <c r="L159" s="4"/>
      <c r="M159" s="4"/>
      <c r="N159" s="4"/>
      <c r="O159" s="4"/>
      <c r="P159" s="4"/>
      <c r="Q159" s="4"/>
      <c r="R159" s="4"/>
      <c r="S159" s="4"/>
      <c r="T159" s="4"/>
      <c r="U159" s="4"/>
      <c r="V159" s="4"/>
      <c r="W159" s="4"/>
      <c r="X159" s="4"/>
      <c r="Y159" s="4"/>
      <c r="Z159" s="4"/>
    </row>
    <row r="160" ht="15.75" customHeight="1">
      <c r="A160" s="1"/>
      <c r="B160" s="1"/>
      <c r="C160" s="1"/>
      <c r="D160" s="1"/>
      <c r="E160" s="1"/>
      <c r="F160" s="1"/>
      <c r="G160" s="1"/>
      <c r="H160" s="4"/>
      <c r="I160" s="4"/>
      <c r="J160" s="4"/>
      <c r="K160" s="4"/>
      <c r="L160" s="4"/>
      <c r="M160" s="4"/>
      <c r="N160" s="4"/>
      <c r="O160" s="4"/>
      <c r="P160" s="4"/>
      <c r="Q160" s="4"/>
      <c r="R160" s="4"/>
      <c r="S160" s="4"/>
      <c r="T160" s="4"/>
      <c r="U160" s="4"/>
      <c r="V160" s="4"/>
      <c r="W160" s="4"/>
      <c r="X160" s="4"/>
      <c r="Y160" s="4"/>
      <c r="Z160" s="4"/>
    </row>
    <row r="161" ht="15.75" customHeight="1">
      <c r="A161" s="1"/>
      <c r="B161" s="1"/>
      <c r="C161" s="1"/>
      <c r="D161" s="1"/>
      <c r="E161" s="1"/>
      <c r="F161" s="1"/>
      <c r="G161" s="1"/>
      <c r="H161" s="4"/>
      <c r="I161" s="4"/>
      <c r="J161" s="4"/>
      <c r="K161" s="4"/>
      <c r="L161" s="4"/>
      <c r="M161" s="4"/>
      <c r="N161" s="4"/>
      <c r="O161" s="4"/>
      <c r="P161" s="4"/>
      <c r="Q161" s="4"/>
      <c r="R161" s="4"/>
      <c r="S161" s="4"/>
      <c r="T161" s="4"/>
      <c r="U161" s="4"/>
      <c r="V161" s="4"/>
      <c r="W161" s="4"/>
      <c r="X161" s="4"/>
      <c r="Y161" s="4"/>
      <c r="Z161" s="4"/>
    </row>
    <row r="162" ht="15.75" customHeight="1">
      <c r="A162" s="1"/>
      <c r="B162" s="1"/>
      <c r="C162" s="1"/>
      <c r="D162" s="1"/>
      <c r="E162" s="1"/>
      <c r="F162" s="1"/>
      <c r="G162" s="1"/>
      <c r="H162" s="4"/>
      <c r="I162" s="4"/>
      <c r="J162" s="4"/>
      <c r="K162" s="4"/>
      <c r="L162" s="4"/>
      <c r="M162" s="4"/>
      <c r="N162" s="4"/>
      <c r="O162" s="4"/>
      <c r="P162" s="4"/>
      <c r="Q162" s="4"/>
      <c r="R162" s="4"/>
      <c r="S162" s="4"/>
      <c r="T162" s="4"/>
      <c r="U162" s="4"/>
      <c r="V162" s="4"/>
      <c r="W162" s="4"/>
      <c r="X162" s="4"/>
      <c r="Y162" s="4"/>
      <c r="Z162" s="4"/>
    </row>
    <row r="163" ht="15.75" customHeight="1">
      <c r="A163" s="1"/>
      <c r="B163" s="1"/>
      <c r="C163" s="1"/>
      <c r="D163" s="1"/>
      <c r="E163" s="1"/>
      <c r="F163" s="1"/>
      <c r="G163" s="1"/>
      <c r="H163" s="4"/>
      <c r="I163" s="4"/>
      <c r="J163" s="4"/>
      <c r="K163" s="4"/>
      <c r="L163" s="4"/>
      <c r="M163" s="4"/>
      <c r="N163" s="4"/>
      <c r="O163" s="4"/>
      <c r="P163" s="4"/>
      <c r="Q163" s="4"/>
      <c r="R163" s="4"/>
      <c r="S163" s="4"/>
      <c r="T163" s="4"/>
      <c r="U163" s="4"/>
      <c r="V163" s="4"/>
      <c r="W163" s="4"/>
      <c r="X163" s="4"/>
      <c r="Y163" s="4"/>
      <c r="Z163" s="4"/>
    </row>
    <row r="164" ht="15.75" customHeight="1">
      <c r="A164" s="1"/>
      <c r="B164" s="1"/>
      <c r="C164" s="1"/>
      <c r="D164" s="1"/>
      <c r="E164" s="1"/>
      <c r="F164" s="1"/>
      <c r="G164" s="1"/>
      <c r="H164" s="4"/>
      <c r="I164" s="4"/>
      <c r="J164" s="4"/>
      <c r="K164" s="4"/>
      <c r="L164" s="4"/>
      <c r="M164" s="4"/>
      <c r="N164" s="4"/>
      <c r="O164" s="4"/>
      <c r="P164" s="4"/>
      <c r="Q164" s="4"/>
      <c r="R164" s="4"/>
      <c r="S164" s="4"/>
      <c r="T164" s="4"/>
      <c r="U164" s="4"/>
      <c r="V164" s="4"/>
      <c r="W164" s="4"/>
      <c r="X164" s="4"/>
      <c r="Y164" s="4"/>
      <c r="Z164" s="4"/>
    </row>
    <row r="165" ht="15.75" customHeight="1">
      <c r="A165" s="1"/>
      <c r="B165" s="1"/>
      <c r="C165" s="1"/>
      <c r="D165" s="1"/>
      <c r="E165" s="1"/>
      <c r="F165" s="1"/>
      <c r="G165" s="1"/>
      <c r="H165" s="4"/>
      <c r="I165" s="4"/>
      <c r="J165" s="4"/>
      <c r="K165" s="4"/>
      <c r="L165" s="4"/>
      <c r="M165" s="4"/>
      <c r="N165" s="4"/>
      <c r="O165" s="4"/>
      <c r="P165" s="4"/>
      <c r="Q165" s="4"/>
      <c r="R165" s="4"/>
      <c r="S165" s="4"/>
      <c r="T165" s="4"/>
      <c r="U165" s="4"/>
      <c r="V165" s="4"/>
      <c r="W165" s="4"/>
      <c r="X165" s="4"/>
      <c r="Y165" s="4"/>
      <c r="Z165" s="4"/>
    </row>
    <row r="166" ht="15.75" customHeight="1">
      <c r="A166" s="1"/>
      <c r="B166" s="1"/>
      <c r="C166" s="1"/>
      <c r="D166" s="1"/>
      <c r="E166" s="1"/>
      <c r="F166" s="1"/>
      <c r="G166" s="1"/>
      <c r="H166" s="4"/>
      <c r="I166" s="4"/>
      <c r="J166" s="4"/>
      <c r="K166" s="4"/>
      <c r="L166" s="4"/>
      <c r="M166" s="4"/>
      <c r="N166" s="4"/>
      <c r="O166" s="4"/>
      <c r="P166" s="4"/>
      <c r="Q166" s="4"/>
      <c r="R166" s="4"/>
      <c r="S166" s="4"/>
      <c r="T166" s="4"/>
      <c r="U166" s="4"/>
      <c r="V166" s="4"/>
      <c r="W166" s="4"/>
      <c r="X166" s="4"/>
      <c r="Y166" s="4"/>
      <c r="Z166" s="4"/>
    </row>
    <row r="167" ht="15.75" customHeight="1">
      <c r="A167" s="1"/>
      <c r="B167" s="1"/>
      <c r="C167" s="1"/>
      <c r="D167" s="1"/>
      <c r="E167" s="1"/>
      <c r="F167" s="1"/>
      <c r="G167" s="1"/>
      <c r="H167" s="4"/>
      <c r="I167" s="4"/>
      <c r="J167" s="4"/>
      <c r="K167" s="4"/>
      <c r="L167" s="4"/>
      <c r="M167" s="4"/>
      <c r="N167" s="4"/>
      <c r="O167" s="4"/>
      <c r="P167" s="4"/>
      <c r="Q167" s="4"/>
      <c r="R167" s="4"/>
      <c r="S167" s="4"/>
      <c r="T167" s="4"/>
      <c r="U167" s="4"/>
      <c r="V167" s="4"/>
      <c r="W167" s="4"/>
      <c r="X167" s="4"/>
      <c r="Y167" s="4"/>
      <c r="Z167" s="4"/>
    </row>
    <row r="168" ht="15.75" customHeight="1">
      <c r="A168" s="1"/>
      <c r="B168" s="1"/>
      <c r="C168" s="1"/>
      <c r="D168" s="1"/>
      <c r="E168" s="1"/>
      <c r="F168" s="1"/>
      <c r="G168" s="1"/>
      <c r="H168" s="4"/>
      <c r="I168" s="4"/>
      <c r="J168" s="4"/>
      <c r="K168" s="4"/>
      <c r="L168" s="4"/>
      <c r="M168" s="4"/>
      <c r="N168" s="4"/>
      <c r="O168" s="4"/>
      <c r="P168" s="4"/>
      <c r="Q168" s="4"/>
      <c r="R168" s="4"/>
      <c r="S168" s="4"/>
      <c r="T168" s="4"/>
      <c r="U168" s="4"/>
      <c r="V168" s="4"/>
      <c r="W168" s="4"/>
      <c r="X168" s="4"/>
      <c r="Y168" s="4"/>
      <c r="Z168" s="4"/>
    </row>
    <row r="169" ht="15.75" customHeight="1">
      <c r="A169" s="1"/>
      <c r="B169" s="1"/>
      <c r="C169" s="1"/>
      <c r="D169" s="1"/>
      <c r="E169" s="1"/>
      <c r="F169" s="1"/>
      <c r="G169" s="1"/>
      <c r="H169" s="4"/>
      <c r="I169" s="4"/>
      <c r="J169" s="4"/>
      <c r="K169" s="4"/>
      <c r="L169" s="4"/>
      <c r="M169" s="4"/>
      <c r="N169" s="4"/>
      <c r="O169" s="4"/>
      <c r="P169" s="4"/>
      <c r="Q169" s="4"/>
      <c r="R169" s="4"/>
      <c r="S169" s="4"/>
      <c r="T169" s="4"/>
      <c r="U169" s="4"/>
      <c r="V169" s="4"/>
      <c r="W169" s="4"/>
      <c r="X169" s="4"/>
      <c r="Y169" s="4"/>
      <c r="Z169" s="4"/>
    </row>
    <row r="170" ht="15.75" customHeight="1">
      <c r="A170" s="1"/>
      <c r="B170" s="1"/>
      <c r="C170" s="1"/>
      <c r="D170" s="1"/>
      <c r="E170" s="1"/>
      <c r="F170" s="1"/>
      <c r="G170" s="1"/>
      <c r="H170" s="4"/>
      <c r="I170" s="4"/>
      <c r="J170" s="4"/>
      <c r="K170" s="4"/>
      <c r="L170" s="4"/>
      <c r="M170" s="4"/>
      <c r="N170" s="4"/>
      <c r="O170" s="4"/>
      <c r="P170" s="4"/>
      <c r="Q170" s="4"/>
      <c r="R170" s="4"/>
      <c r="S170" s="4"/>
      <c r="T170" s="4"/>
      <c r="U170" s="4"/>
      <c r="V170" s="4"/>
      <c r="W170" s="4"/>
      <c r="X170" s="4"/>
      <c r="Y170" s="4"/>
      <c r="Z170" s="4"/>
    </row>
    <row r="171" ht="15.75" customHeight="1">
      <c r="A171" s="1"/>
      <c r="B171" s="1"/>
      <c r="C171" s="1"/>
      <c r="D171" s="1"/>
      <c r="E171" s="1"/>
      <c r="F171" s="1"/>
      <c r="G171" s="1"/>
      <c r="H171" s="4"/>
      <c r="I171" s="4"/>
      <c r="J171" s="4"/>
      <c r="K171" s="4"/>
      <c r="L171" s="4"/>
      <c r="M171" s="4"/>
      <c r="N171" s="4"/>
      <c r="O171" s="4"/>
      <c r="P171" s="4"/>
      <c r="Q171" s="4"/>
      <c r="R171" s="4"/>
      <c r="S171" s="4"/>
      <c r="T171" s="4"/>
      <c r="U171" s="4"/>
      <c r="V171" s="4"/>
      <c r="W171" s="4"/>
      <c r="X171" s="4"/>
      <c r="Y171" s="4"/>
      <c r="Z171" s="4"/>
    </row>
    <row r="172" ht="15.75" customHeight="1">
      <c r="A172" s="1"/>
      <c r="B172" s="1"/>
      <c r="C172" s="1"/>
      <c r="D172" s="1"/>
      <c r="E172" s="1"/>
      <c r="F172" s="1"/>
      <c r="G172" s="1"/>
      <c r="H172" s="4"/>
      <c r="I172" s="4"/>
      <c r="J172" s="4"/>
      <c r="K172" s="4"/>
      <c r="L172" s="4"/>
      <c r="M172" s="4"/>
      <c r="N172" s="4"/>
      <c r="O172" s="4"/>
      <c r="P172" s="4"/>
      <c r="Q172" s="4"/>
      <c r="R172" s="4"/>
      <c r="S172" s="4"/>
      <c r="T172" s="4"/>
      <c r="U172" s="4"/>
      <c r="V172" s="4"/>
      <c r="W172" s="4"/>
      <c r="X172" s="4"/>
      <c r="Y172" s="4"/>
      <c r="Z172" s="4"/>
    </row>
    <row r="173" ht="15.75" customHeight="1">
      <c r="A173" s="1"/>
      <c r="B173" s="1"/>
      <c r="C173" s="1"/>
      <c r="D173" s="1"/>
      <c r="E173" s="1"/>
      <c r="F173" s="1"/>
      <c r="G173" s="1"/>
      <c r="H173" s="4"/>
      <c r="I173" s="4"/>
      <c r="J173" s="4"/>
      <c r="K173" s="4"/>
      <c r="L173" s="4"/>
      <c r="M173" s="4"/>
      <c r="N173" s="4"/>
      <c r="O173" s="4"/>
      <c r="P173" s="4"/>
      <c r="Q173" s="4"/>
      <c r="R173" s="4"/>
      <c r="S173" s="4"/>
      <c r="T173" s="4"/>
      <c r="U173" s="4"/>
      <c r="V173" s="4"/>
      <c r="W173" s="4"/>
      <c r="X173" s="4"/>
      <c r="Y173" s="4"/>
      <c r="Z173" s="4"/>
    </row>
    <row r="174" ht="15.75" customHeight="1">
      <c r="A174" s="1"/>
      <c r="B174" s="1"/>
      <c r="C174" s="1"/>
      <c r="D174" s="1"/>
      <c r="E174" s="1"/>
      <c r="F174" s="1"/>
      <c r="G174" s="1"/>
      <c r="H174" s="4"/>
      <c r="I174" s="4"/>
      <c r="J174" s="4"/>
      <c r="K174" s="4"/>
      <c r="L174" s="4"/>
      <c r="M174" s="4"/>
      <c r="N174" s="4"/>
      <c r="O174" s="4"/>
      <c r="P174" s="4"/>
      <c r="Q174" s="4"/>
      <c r="R174" s="4"/>
      <c r="S174" s="4"/>
      <c r="T174" s="4"/>
      <c r="U174" s="4"/>
      <c r="V174" s="4"/>
      <c r="W174" s="4"/>
      <c r="X174" s="4"/>
      <c r="Y174" s="4"/>
      <c r="Z174" s="4"/>
    </row>
    <row r="175" ht="15.75" customHeight="1">
      <c r="A175" s="1"/>
      <c r="B175" s="1"/>
      <c r="C175" s="1"/>
      <c r="D175" s="1"/>
      <c r="E175" s="1"/>
      <c r="F175" s="1"/>
      <c r="G175" s="1"/>
      <c r="H175" s="4"/>
      <c r="I175" s="4"/>
      <c r="J175" s="4"/>
      <c r="K175" s="4"/>
      <c r="L175" s="4"/>
      <c r="M175" s="4"/>
      <c r="N175" s="4"/>
      <c r="O175" s="4"/>
      <c r="P175" s="4"/>
      <c r="Q175" s="4"/>
      <c r="R175" s="4"/>
      <c r="S175" s="4"/>
      <c r="T175" s="4"/>
      <c r="U175" s="4"/>
      <c r="V175" s="4"/>
      <c r="W175" s="4"/>
      <c r="X175" s="4"/>
      <c r="Y175" s="4"/>
      <c r="Z175" s="4"/>
    </row>
    <row r="176" ht="15.75" customHeight="1">
      <c r="A176" s="1"/>
      <c r="B176" s="1"/>
      <c r="C176" s="1"/>
      <c r="D176" s="1"/>
      <c r="E176" s="1"/>
      <c r="F176" s="1"/>
      <c r="G176" s="1"/>
      <c r="H176" s="4"/>
      <c r="I176" s="4"/>
      <c r="J176" s="4"/>
      <c r="K176" s="4"/>
      <c r="L176" s="4"/>
      <c r="M176" s="4"/>
      <c r="N176" s="4"/>
      <c r="O176" s="4"/>
      <c r="P176" s="4"/>
      <c r="Q176" s="4"/>
      <c r="R176" s="4"/>
      <c r="S176" s="4"/>
      <c r="T176" s="4"/>
      <c r="U176" s="4"/>
      <c r="V176" s="4"/>
      <c r="W176" s="4"/>
      <c r="X176" s="4"/>
      <c r="Y176" s="4"/>
      <c r="Z176" s="4"/>
    </row>
    <row r="177" ht="15.75" customHeight="1">
      <c r="A177" s="1"/>
      <c r="B177" s="1"/>
      <c r="C177" s="1"/>
      <c r="D177" s="1"/>
      <c r="E177" s="1"/>
      <c r="F177" s="1"/>
      <c r="G177" s="1"/>
      <c r="H177" s="4"/>
      <c r="I177" s="4"/>
      <c r="J177" s="4"/>
      <c r="K177" s="4"/>
      <c r="L177" s="4"/>
      <c r="M177" s="4"/>
      <c r="N177" s="4"/>
      <c r="O177" s="4"/>
      <c r="P177" s="4"/>
      <c r="Q177" s="4"/>
      <c r="R177" s="4"/>
      <c r="S177" s="4"/>
      <c r="T177" s="4"/>
      <c r="U177" s="4"/>
      <c r="V177" s="4"/>
      <c r="W177" s="4"/>
      <c r="X177" s="4"/>
      <c r="Y177" s="4"/>
      <c r="Z177" s="4"/>
    </row>
    <row r="178" ht="15.75" customHeight="1">
      <c r="A178" s="1"/>
      <c r="B178" s="1"/>
      <c r="C178" s="1"/>
      <c r="D178" s="1"/>
      <c r="E178" s="1"/>
      <c r="F178" s="1"/>
      <c r="G178" s="1"/>
      <c r="H178" s="4"/>
      <c r="I178" s="4"/>
      <c r="J178" s="4"/>
      <c r="K178" s="4"/>
      <c r="L178" s="4"/>
      <c r="M178" s="4"/>
      <c r="N178" s="4"/>
      <c r="O178" s="4"/>
      <c r="P178" s="4"/>
      <c r="Q178" s="4"/>
      <c r="R178" s="4"/>
      <c r="S178" s="4"/>
      <c r="T178" s="4"/>
      <c r="U178" s="4"/>
      <c r="V178" s="4"/>
      <c r="W178" s="4"/>
      <c r="X178" s="4"/>
      <c r="Y178" s="4"/>
      <c r="Z178" s="4"/>
    </row>
    <row r="179" ht="15.75" customHeight="1">
      <c r="A179" s="1"/>
      <c r="B179" s="1"/>
      <c r="C179" s="1"/>
      <c r="D179" s="1"/>
      <c r="E179" s="1"/>
      <c r="F179" s="1"/>
      <c r="G179" s="1"/>
      <c r="H179" s="4"/>
      <c r="I179" s="4"/>
      <c r="J179" s="4"/>
      <c r="K179" s="4"/>
      <c r="L179" s="4"/>
      <c r="M179" s="4"/>
      <c r="N179" s="4"/>
      <c r="O179" s="4"/>
      <c r="P179" s="4"/>
      <c r="Q179" s="4"/>
      <c r="R179" s="4"/>
      <c r="S179" s="4"/>
      <c r="T179" s="4"/>
      <c r="U179" s="4"/>
      <c r="V179" s="4"/>
      <c r="W179" s="4"/>
      <c r="X179" s="4"/>
      <c r="Y179" s="4"/>
      <c r="Z179" s="4"/>
    </row>
    <row r="180" ht="15.75" customHeight="1">
      <c r="A180" s="1"/>
      <c r="B180" s="1"/>
      <c r="C180" s="1"/>
      <c r="D180" s="1"/>
      <c r="E180" s="1"/>
      <c r="F180" s="1"/>
      <c r="G180" s="1"/>
      <c r="H180" s="4"/>
      <c r="I180" s="4"/>
      <c r="J180" s="4"/>
      <c r="K180" s="4"/>
      <c r="L180" s="4"/>
      <c r="M180" s="4"/>
      <c r="N180" s="4"/>
      <c r="O180" s="4"/>
      <c r="P180" s="4"/>
      <c r="Q180" s="4"/>
      <c r="R180" s="4"/>
      <c r="S180" s="4"/>
      <c r="T180" s="4"/>
      <c r="U180" s="4"/>
      <c r="V180" s="4"/>
      <c r="W180" s="4"/>
      <c r="X180" s="4"/>
      <c r="Y180" s="4"/>
      <c r="Z180" s="4"/>
    </row>
    <row r="181" ht="15.75" customHeight="1">
      <c r="A181" s="1"/>
      <c r="B181" s="1"/>
      <c r="C181" s="1"/>
      <c r="D181" s="1"/>
      <c r="E181" s="1"/>
      <c r="F181" s="1"/>
      <c r="G181" s="1"/>
      <c r="H181" s="4"/>
      <c r="I181" s="4"/>
      <c r="J181" s="4"/>
      <c r="K181" s="4"/>
      <c r="L181" s="4"/>
      <c r="M181" s="4"/>
      <c r="N181" s="4"/>
      <c r="O181" s="4"/>
      <c r="P181" s="4"/>
      <c r="Q181" s="4"/>
      <c r="R181" s="4"/>
      <c r="S181" s="4"/>
      <c r="T181" s="4"/>
      <c r="U181" s="4"/>
      <c r="V181" s="4"/>
      <c r="W181" s="4"/>
      <c r="X181" s="4"/>
      <c r="Y181" s="4"/>
      <c r="Z181" s="4"/>
    </row>
    <row r="182" ht="15.75" customHeight="1">
      <c r="A182" s="1"/>
      <c r="B182" s="1"/>
      <c r="C182" s="1"/>
      <c r="D182" s="1"/>
      <c r="E182" s="1"/>
      <c r="F182" s="1"/>
      <c r="G182" s="1"/>
      <c r="H182" s="4"/>
      <c r="I182" s="4"/>
      <c r="J182" s="4"/>
      <c r="K182" s="4"/>
      <c r="L182" s="4"/>
      <c r="M182" s="4"/>
      <c r="N182" s="4"/>
      <c r="O182" s="4"/>
      <c r="P182" s="4"/>
      <c r="Q182" s="4"/>
      <c r="R182" s="4"/>
      <c r="S182" s="4"/>
      <c r="T182" s="4"/>
      <c r="U182" s="4"/>
      <c r="V182" s="4"/>
      <c r="W182" s="4"/>
      <c r="X182" s="4"/>
      <c r="Y182" s="4"/>
      <c r="Z182" s="4"/>
    </row>
    <row r="183" ht="15.75" customHeight="1">
      <c r="A183" s="1"/>
      <c r="B183" s="1"/>
      <c r="C183" s="1"/>
      <c r="D183" s="1"/>
      <c r="E183" s="1"/>
      <c r="F183" s="1"/>
      <c r="G183" s="1"/>
      <c r="H183" s="4"/>
      <c r="I183" s="4"/>
      <c r="J183" s="4"/>
      <c r="K183" s="4"/>
      <c r="L183" s="4"/>
      <c r="M183" s="4"/>
      <c r="N183" s="4"/>
      <c r="O183" s="4"/>
      <c r="P183" s="4"/>
      <c r="Q183" s="4"/>
      <c r="R183" s="4"/>
      <c r="S183" s="4"/>
      <c r="T183" s="4"/>
      <c r="U183" s="4"/>
      <c r="V183" s="4"/>
      <c r="W183" s="4"/>
      <c r="X183" s="4"/>
      <c r="Y183" s="4"/>
      <c r="Z183" s="4"/>
    </row>
    <row r="184" ht="15.75" customHeight="1">
      <c r="A184" s="1"/>
      <c r="B184" s="1"/>
      <c r="C184" s="1"/>
      <c r="D184" s="1"/>
      <c r="E184" s="1"/>
      <c r="F184" s="1"/>
      <c r="G184" s="1"/>
      <c r="H184" s="4"/>
      <c r="I184" s="4"/>
      <c r="J184" s="4"/>
      <c r="K184" s="4"/>
      <c r="L184" s="4"/>
      <c r="M184" s="4"/>
      <c r="N184" s="4"/>
      <c r="O184" s="4"/>
      <c r="P184" s="4"/>
      <c r="Q184" s="4"/>
      <c r="R184" s="4"/>
      <c r="S184" s="4"/>
      <c r="T184" s="4"/>
      <c r="U184" s="4"/>
      <c r="V184" s="4"/>
      <c r="W184" s="4"/>
      <c r="X184" s="4"/>
      <c r="Y184" s="4"/>
      <c r="Z184" s="4"/>
    </row>
    <row r="185" ht="15.75" customHeight="1">
      <c r="A185" s="1"/>
      <c r="B185" s="1"/>
      <c r="C185" s="1"/>
      <c r="D185" s="1"/>
      <c r="E185" s="1"/>
      <c r="F185" s="1"/>
      <c r="G185" s="1"/>
      <c r="H185" s="4"/>
      <c r="I185" s="4"/>
      <c r="J185" s="4"/>
      <c r="K185" s="4"/>
      <c r="L185" s="4"/>
      <c r="M185" s="4"/>
      <c r="N185" s="4"/>
      <c r="O185" s="4"/>
      <c r="P185" s="4"/>
      <c r="Q185" s="4"/>
      <c r="R185" s="4"/>
      <c r="S185" s="4"/>
      <c r="T185" s="4"/>
      <c r="U185" s="4"/>
      <c r="V185" s="4"/>
      <c r="W185" s="4"/>
      <c r="X185" s="4"/>
      <c r="Y185" s="4"/>
      <c r="Z185" s="4"/>
    </row>
    <row r="186" ht="15.75" customHeight="1">
      <c r="A186" s="1"/>
      <c r="B186" s="1"/>
      <c r="C186" s="1"/>
      <c r="D186" s="1"/>
      <c r="E186" s="1"/>
      <c r="F186" s="1"/>
      <c r="G186" s="1"/>
      <c r="H186" s="4"/>
      <c r="I186" s="4"/>
      <c r="J186" s="4"/>
      <c r="K186" s="4"/>
      <c r="L186" s="4"/>
      <c r="M186" s="4"/>
      <c r="N186" s="4"/>
      <c r="O186" s="4"/>
      <c r="P186" s="4"/>
      <c r="Q186" s="4"/>
      <c r="R186" s="4"/>
      <c r="S186" s="4"/>
      <c r="T186" s="4"/>
      <c r="U186" s="4"/>
      <c r="V186" s="4"/>
      <c r="W186" s="4"/>
      <c r="X186" s="4"/>
      <c r="Y186" s="4"/>
      <c r="Z186" s="4"/>
    </row>
    <row r="187" ht="15.75" customHeight="1">
      <c r="A187" s="1"/>
      <c r="B187" s="1"/>
      <c r="C187" s="1"/>
      <c r="D187" s="1"/>
      <c r="E187" s="1"/>
      <c r="F187" s="1"/>
      <c r="G187" s="1"/>
      <c r="H187" s="4"/>
      <c r="I187" s="4"/>
      <c r="J187" s="4"/>
      <c r="K187" s="4"/>
      <c r="L187" s="4"/>
      <c r="M187" s="4"/>
      <c r="N187" s="4"/>
      <c r="O187" s="4"/>
      <c r="P187" s="4"/>
      <c r="Q187" s="4"/>
      <c r="R187" s="4"/>
      <c r="S187" s="4"/>
      <c r="T187" s="4"/>
      <c r="U187" s="4"/>
      <c r="V187" s="4"/>
      <c r="W187" s="4"/>
      <c r="X187" s="4"/>
      <c r="Y187" s="4"/>
      <c r="Z187" s="4"/>
    </row>
    <row r="188" ht="15.75" customHeight="1">
      <c r="A188" s="1"/>
      <c r="B188" s="1"/>
      <c r="C188" s="1"/>
      <c r="D188" s="1"/>
      <c r="E188" s="1"/>
      <c r="F188" s="1"/>
      <c r="G188" s="1"/>
      <c r="H188" s="4"/>
      <c r="I188" s="4"/>
      <c r="J188" s="4"/>
      <c r="K188" s="4"/>
      <c r="L188" s="4"/>
      <c r="M188" s="4"/>
      <c r="N188" s="4"/>
      <c r="O188" s="4"/>
      <c r="P188" s="4"/>
      <c r="Q188" s="4"/>
      <c r="R188" s="4"/>
      <c r="S188" s="4"/>
      <c r="T188" s="4"/>
      <c r="U188" s="4"/>
      <c r="V188" s="4"/>
      <c r="W188" s="4"/>
      <c r="X188" s="4"/>
      <c r="Y188" s="4"/>
      <c r="Z188" s="4"/>
    </row>
    <row r="189" ht="15.75" customHeight="1">
      <c r="A189" s="1"/>
      <c r="B189" s="1"/>
      <c r="C189" s="1"/>
      <c r="D189" s="1"/>
      <c r="E189" s="1"/>
      <c r="F189" s="1"/>
      <c r="G189" s="1"/>
      <c r="H189" s="4"/>
      <c r="I189" s="4"/>
      <c r="J189" s="4"/>
      <c r="K189" s="4"/>
      <c r="L189" s="4"/>
      <c r="M189" s="4"/>
      <c r="N189" s="4"/>
      <c r="O189" s="4"/>
      <c r="P189" s="4"/>
      <c r="Q189" s="4"/>
      <c r="R189" s="4"/>
      <c r="S189" s="4"/>
      <c r="T189" s="4"/>
      <c r="U189" s="4"/>
      <c r="V189" s="4"/>
      <c r="W189" s="4"/>
      <c r="X189" s="4"/>
      <c r="Y189" s="4"/>
      <c r="Z189" s="4"/>
    </row>
    <row r="190" ht="15.75" customHeight="1">
      <c r="A190" s="1"/>
      <c r="B190" s="1"/>
      <c r="C190" s="1"/>
      <c r="D190" s="1"/>
      <c r="E190" s="1"/>
      <c r="F190" s="1"/>
      <c r="G190" s="1"/>
      <c r="H190" s="4"/>
      <c r="I190" s="4"/>
      <c r="J190" s="4"/>
      <c r="K190" s="4"/>
      <c r="L190" s="4"/>
      <c r="M190" s="4"/>
      <c r="N190" s="4"/>
      <c r="O190" s="4"/>
      <c r="P190" s="4"/>
      <c r="Q190" s="4"/>
      <c r="R190" s="4"/>
      <c r="S190" s="4"/>
      <c r="T190" s="4"/>
      <c r="U190" s="4"/>
      <c r="V190" s="4"/>
      <c r="W190" s="4"/>
      <c r="X190" s="4"/>
      <c r="Y190" s="4"/>
      <c r="Z190" s="4"/>
    </row>
    <row r="191" ht="15.75" customHeight="1">
      <c r="A191" s="1"/>
      <c r="B191" s="1"/>
      <c r="C191" s="1"/>
      <c r="D191" s="1"/>
      <c r="E191" s="1"/>
      <c r="F191" s="1"/>
      <c r="G191" s="1"/>
      <c r="H191" s="4"/>
      <c r="I191" s="4"/>
      <c r="J191" s="4"/>
      <c r="K191" s="4"/>
      <c r="L191" s="4"/>
      <c r="M191" s="4"/>
      <c r="N191" s="4"/>
      <c r="O191" s="4"/>
      <c r="P191" s="4"/>
      <c r="Q191" s="4"/>
      <c r="R191" s="4"/>
      <c r="S191" s="4"/>
      <c r="T191" s="4"/>
      <c r="U191" s="4"/>
      <c r="V191" s="4"/>
      <c r="W191" s="4"/>
      <c r="X191" s="4"/>
      <c r="Y191" s="4"/>
      <c r="Z191" s="4"/>
    </row>
    <row r="192" ht="15.75" customHeight="1">
      <c r="A192" s="1"/>
      <c r="B192" s="1"/>
      <c r="C192" s="1"/>
      <c r="D192" s="1"/>
      <c r="E192" s="1"/>
      <c r="F192" s="1"/>
      <c r="G192" s="1"/>
      <c r="H192" s="4"/>
      <c r="I192" s="4"/>
      <c r="J192" s="4"/>
      <c r="K192" s="4"/>
      <c r="L192" s="4"/>
      <c r="M192" s="4"/>
      <c r="N192" s="4"/>
      <c r="O192" s="4"/>
      <c r="P192" s="4"/>
      <c r="Q192" s="4"/>
      <c r="R192" s="4"/>
      <c r="S192" s="4"/>
      <c r="T192" s="4"/>
      <c r="U192" s="4"/>
      <c r="V192" s="4"/>
      <c r="W192" s="4"/>
      <c r="X192" s="4"/>
      <c r="Y192" s="4"/>
      <c r="Z192" s="4"/>
    </row>
    <row r="193" ht="15.75" customHeight="1">
      <c r="A193" s="1"/>
      <c r="B193" s="1"/>
      <c r="C193" s="1"/>
      <c r="D193" s="1"/>
      <c r="E193" s="1"/>
      <c r="F193" s="1"/>
      <c r="G193" s="1"/>
      <c r="H193" s="4"/>
      <c r="I193" s="4"/>
      <c r="J193" s="4"/>
      <c r="K193" s="4"/>
      <c r="L193" s="4"/>
      <c r="M193" s="4"/>
      <c r="N193" s="4"/>
      <c r="O193" s="4"/>
      <c r="P193" s="4"/>
      <c r="Q193" s="4"/>
      <c r="R193" s="4"/>
      <c r="S193" s="4"/>
      <c r="T193" s="4"/>
      <c r="U193" s="4"/>
      <c r="V193" s="4"/>
      <c r="W193" s="4"/>
      <c r="X193" s="4"/>
      <c r="Y193" s="4"/>
      <c r="Z193" s="4"/>
    </row>
    <row r="194" ht="15.75" customHeight="1">
      <c r="A194" s="1"/>
      <c r="B194" s="1"/>
      <c r="C194" s="1"/>
      <c r="D194" s="1"/>
      <c r="E194" s="1"/>
      <c r="F194" s="1"/>
      <c r="G194" s="1"/>
      <c r="H194" s="4"/>
      <c r="I194" s="4"/>
      <c r="J194" s="4"/>
      <c r="K194" s="4"/>
      <c r="L194" s="4"/>
      <c r="M194" s="4"/>
      <c r="N194" s="4"/>
      <c r="O194" s="4"/>
      <c r="P194" s="4"/>
      <c r="Q194" s="4"/>
      <c r="R194" s="4"/>
      <c r="S194" s="4"/>
      <c r="T194" s="4"/>
      <c r="U194" s="4"/>
      <c r="V194" s="4"/>
      <c r="W194" s="4"/>
      <c r="X194" s="4"/>
      <c r="Y194" s="4"/>
      <c r="Z194" s="4"/>
    </row>
    <row r="195" ht="15.75" customHeight="1">
      <c r="A195" s="1"/>
      <c r="B195" s="1"/>
      <c r="C195" s="1"/>
      <c r="D195" s="1"/>
      <c r="E195" s="1"/>
      <c r="F195" s="1"/>
      <c r="G195" s="1"/>
      <c r="H195" s="4"/>
      <c r="I195" s="4"/>
      <c r="J195" s="4"/>
      <c r="K195" s="4"/>
      <c r="L195" s="4"/>
      <c r="M195" s="4"/>
      <c r="N195" s="4"/>
      <c r="O195" s="4"/>
      <c r="P195" s="4"/>
      <c r="Q195" s="4"/>
      <c r="R195" s="4"/>
      <c r="S195" s="4"/>
      <c r="T195" s="4"/>
      <c r="U195" s="4"/>
      <c r="V195" s="4"/>
      <c r="W195" s="4"/>
      <c r="X195" s="4"/>
      <c r="Y195" s="4"/>
      <c r="Z195" s="4"/>
    </row>
    <row r="196" ht="15.75" customHeight="1">
      <c r="A196" s="1"/>
      <c r="B196" s="1"/>
      <c r="C196" s="1"/>
      <c r="D196" s="1"/>
      <c r="E196" s="1"/>
      <c r="F196" s="1"/>
      <c r="G196" s="1"/>
      <c r="H196" s="4"/>
      <c r="I196" s="4"/>
      <c r="J196" s="4"/>
      <c r="K196" s="4"/>
      <c r="L196" s="4"/>
      <c r="M196" s="4"/>
      <c r="N196" s="4"/>
      <c r="O196" s="4"/>
      <c r="P196" s="4"/>
      <c r="Q196" s="4"/>
      <c r="R196" s="4"/>
      <c r="S196" s="4"/>
      <c r="T196" s="4"/>
      <c r="U196" s="4"/>
      <c r="V196" s="4"/>
      <c r="W196" s="4"/>
      <c r="X196" s="4"/>
      <c r="Y196" s="4"/>
      <c r="Z196" s="4"/>
    </row>
    <row r="197" ht="15.75" customHeight="1">
      <c r="A197" s="1"/>
      <c r="B197" s="1"/>
      <c r="C197" s="1"/>
      <c r="D197" s="1"/>
      <c r="E197" s="1"/>
      <c r="F197" s="1"/>
      <c r="G197" s="1"/>
      <c r="H197" s="4"/>
      <c r="I197" s="4"/>
      <c r="J197" s="4"/>
      <c r="K197" s="4"/>
      <c r="L197" s="4"/>
      <c r="M197" s="4"/>
      <c r="N197" s="4"/>
      <c r="O197" s="4"/>
      <c r="P197" s="4"/>
      <c r="Q197" s="4"/>
      <c r="R197" s="4"/>
      <c r="S197" s="4"/>
      <c r="T197" s="4"/>
      <c r="U197" s="4"/>
      <c r="V197" s="4"/>
      <c r="W197" s="4"/>
      <c r="X197" s="4"/>
      <c r="Y197" s="4"/>
      <c r="Z197" s="4"/>
    </row>
    <row r="198" ht="15.75" customHeight="1">
      <c r="A198" s="1"/>
      <c r="B198" s="1"/>
      <c r="C198" s="1"/>
      <c r="D198" s="1"/>
      <c r="E198" s="1"/>
      <c r="F198" s="1"/>
      <c r="G198" s="1"/>
      <c r="H198" s="4"/>
      <c r="I198" s="4"/>
      <c r="J198" s="4"/>
      <c r="K198" s="4"/>
      <c r="L198" s="4"/>
      <c r="M198" s="4"/>
      <c r="N198" s="4"/>
      <c r="O198" s="4"/>
      <c r="P198" s="4"/>
      <c r="Q198" s="4"/>
      <c r="R198" s="4"/>
      <c r="S198" s="4"/>
      <c r="T198" s="4"/>
      <c r="U198" s="4"/>
      <c r="V198" s="4"/>
      <c r="W198" s="4"/>
      <c r="X198" s="4"/>
      <c r="Y198" s="4"/>
      <c r="Z198" s="4"/>
    </row>
    <row r="199" ht="15.75" customHeight="1">
      <c r="A199" s="1"/>
      <c r="B199" s="1"/>
      <c r="C199" s="1"/>
      <c r="D199" s="1"/>
      <c r="E199" s="1"/>
      <c r="F199" s="1"/>
      <c r="G199" s="1"/>
      <c r="H199" s="4"/>
      <c r="I199" s="4"/>
      <c r="J199" s="4"/>
      <c r="K199" s="4"/>
      <c r="L199" s="4"/>
      <c r="M199" s="4"/>
      <c r="N199" s="4"/>
      <c r="O199" s="4"/>
      <c r="P199" s="4"/>
      <c r="Q199" s="4"/>
      <c r="R199" s="4"/>
      <c r="S199" s="4"/>
      <c r="T199" s="4"/>
      <c r="U199" s="4"/>
      <c r="V199" s="4"/>
      <c r="W199" s="4"/>
      <c r="X199" s="4"/>
      <c r="Y199" s="4"/>
      <c r="Z199" s="4"/>
    </row>
    <row r="200" ht="15.75" customHeight="1">
      <c r="A200" s="1"/>
      <c r="B200" s="1"/>
      <c r="C200" s="1"/>
      <c r="D200" s="1"/>
      <c r="E200" s="1"/>
      <c r="F200" s="1"/>
      <c r="G200" s="1"/>
      <c r="H200" s="4"/>
      <c r="I200" s="4"/>
      <c r="J200" s="4"/>
      <c r="K200" s="4"/>
      <c r="L200" s="4"/>
      <c r="M200" s="4"/>
      <c r="N200" s="4"/>
      <c r="O200" s="4"/>
      <c r="P200" s="4"/>
      <c r="Q200" s="4"/>
      <c r="R200" s="4"/>
      <c r="S200" s="4"/>
      <c r="T200" s="4"/>
      <c r="U200" s="4"/>
      <c r="V200" s="4"/>
      <c r="W200" s="4"/>
      <c r="X200" s="4"/>
      <c r="Y200" s="4"/>
      <c r="Z200" s="4"/>
    </row>
    <row r="201" ht="15.75" customHeight="1">
      <c r="A201" s="1"/>
      <c r="B201" s="1"/>
      <c r="C201" s="1"/>
      <c r="D201" s="1"/>
      <c r="E201" s="1"/>
      <c r="F201" s="1"/>
      <c r="G201" s="1"/>
      <c r="H201" s="4"/>
      <c r="I201" s="4"/>
      <c r="J201" s="4"/>
      <c r="K201" s="4"/>
      <c r="L201" s="4"/>
      <c r="M201" s="4"/>
      <c r="N201" s="4"/>
      <c r="O201" s="4"/>
      <c r="P201" s="4"/>
      <c r="Q201" s="4"/>
      <c r="R201" s="4"/>
      <c r="S201" s="4"/>
      <c r="T201" s="4"/>
      <c r="U201" s="4"/>
      <c r="V201" s="4"/>
      <c r="W201" s="4"/>
      <c r="X201" s="4"/>
      <c r="Y201" s="4"/>
      <c r="Z201" s="4"/>
    </row>
    <row r="202" ht="15.75" customHeight="1">
      <c r="A202" s="1"/>
      <c r="B202" s="1"/>
      <c r="C202" s="1"/>
      <c r="D202" s="1"/>
      <c r="E202" s="1"/>
      <c r="F202" s="1"/>
      <c r="G202" s="1"/>
      <c r="H202" s="4"/>
      <c r="I202" s="4"/>
      <c r="J202" s="4"/>
      <c r="K202" s="4"/>
      <c r="L202" s="4"/>
      <c r="M202" s="4"/>
      <c r="N202" s="4"/>
      <c r="O202" s="4"/>
      <c r="P202" s="4"/>
      <c r="Q202" s="4"/>
      <c r="R202" s="4"/>
      <c r="S202" s="4"/>
      <c r="T202" s="4"/>
      <c r="U202" s="4"/>
      <c r="V202" s="4"/>
      <c r="W202" s="4"/>
      <c r="X202" s="4"/>
      <c r="Y202" s="4"/>
      <c r="Z202" s="4"/>
    </row>
    <row r="203" ht="15.75" customHeight="1">
      <c r="A203" s="1"/>
      <c r="B203" s="1"/>
      <c r="C203" s="1"/>
      <c r="D203" s="1"/>
      <c r="E203" s="1"/>
      <c r="F203" s="1"/>
      <c r="G203" s="1"/>
      <c r="H203" s="4"/>
      <c r="I203" s="4"/>
      <c r="J203" s="4"/>
      <c r="K203" s="4"/>
      <c r="L203" s="4"/>
      <c r="M203" s="4"/>
      <c r="N203" s="4"/>
      <c r="O203" s="4"/>
      <c r="P203" s="4"/>
      <c r="Q203" s="4"/>
      <c r="R203" s="4"/>
      <c r="S203" s="4"/>
      <c r="T203" s="4"/>
      <c r="U203" s="4"/>
      <c r="V203" s="4"/>
      <c r="W203" s="4"/>
      <c r="X203" s="4"/>
      <c r="Y203" s="4"/>
      <c r="Z203" s="4"/>
    </row>
    <row r="204" ht="15.75" customHeight="1">
      <c r="A204" s="1"/>
      <c r="B204" s="1"/>
      <c r="C204" s="1"/>
      <c r="D204" s="1"/>
      <c r="E204" s="1"/>
      <c r="F204" s="1"/>
      <c r="G204" s="1"/>
      <c r="H204" s="4"/>
      <c r="I204" s="4"/>
      <c r="J204" s="4"/>
      <c r="K204" s="4"/>
      <c r="L204" s="4"/>
      <c r="M204" s="4"/>
      <c r="N204" s="4"/>
      <c r="O204" s="4"/>
      <c r="P204" s="4"/>
      <c r="Q204" s="4"/>
      <c r="R204" s="4"/>
      <c r="S204" s="4"/>
      <c r="T204" s="4"/>
      <c r="U204" s="4"/>
      <c r="V204" s="4"/>
      <c r="W204" s="4"/>
      <c r="X204" s="4"/>
      <c r="Y204" s="4"/>
      <c r="Z204" s="4"/>
    </row>
    <row r="205" ht="15.75" customHeight="1">
      <c r="A205" s="1"/>
      <c r="B205" s="1"/>
      <c r="C205" s="1"/>
      <c r="D205" s="1"/>
      <c r="E205" s="1"/>
      <c r="F205" s="1"/>
      <c r="G205" s="1"/>
      <c r="H205" s="4"/>
      <c r="I205" s="4"/>
      <c r="J205" s="4"/>
      <c r="K205" s="4"/>
      <c r="L205" s="4"/>
      <c r="M205" s="4"/>
      <c r="N205" s="4"/>
      <c r="O205" s="4"/>
      <c r="P205" s="4"/>
      <c r="Q205" s="4"/>
      <c r="R205" s="4"/>
      <c r="S205" s="4"/>
      <c r="T205" s="4"/>
      <c r="U205" s="4"/>
      <c r="V205" s="4"/>
      <c r="W205" s="4"/>
      <c r="X205" s="4"/>
      <c r="Y205" s="4"/>
      <c r="Z205" s="4"/>
    </row>
    <row r="206" ht="15.75" customHeight="1">
      <c r="A206" s="1"/>
      <c r="B206" s="1"/>
      <c r="C206" s="1"/>
      <c r="D206" s="1"/>
      <c r="E206" s="1"/>
      <c r="F206" s="1"/>
      <c r="G206" s="1"/>
      <c r="H206" s="4"/>
      <c r="I206" s="4"/>
      <c r="J206" s="4"/>
      <c r="K206" s="4"/>
      <c r="L206" s="4"/>
      <c r="M206" s="4"/>
      <c r="N206" s="4"/>
      <c r="O206" s="4"/>
      <c r="P206" s="4"/>
      <c r="Q206" s="4"/>
      <c r="R206" s="4"/>
      <c r="S206" s="4"/>
      <c r="T206" s="4"/>
      <c r="U206" s="4"/>
      <c r="V206" s="4"/>
      <c r="W206" s="4"/>
      <c r="X206" s="4"/>
      <c r="Y206" s="4"/>
      <c r="Z206" s="4"/>
    </row>
    <row r="207" ht="15.75" customHeight="1">
      <c r="A207" s="1"/>
      <c r="B207" s="1"/>
      <c r="C207" s="1"/>
      <c r="D207" s="1"/>
      <c r="E207" s="1"/>
      <c r="F207" s="1"/>
      <c r="G207" s="1"/>
      <c r="H207" s="4"/>
      <c r="I207" s="4"/>
      <c r="J207" s="4"/>
      <c r="K207" s="4"/>
      <c r="L207" s="4"/>
      <c r="M207" s="4"/>
      <c r="N207" s="4"/>
      <c r="O207" s="4"/>
      <c r="P207" s="4"/>
      <c r="Q207" s="4"/>
      <c r="R207" s="4"/>
      <c r="S207" s="4"/>
      <c r="T207" s="4"/>
      <c r="U207" s="4"/>
      <c r="V207" s="4"/>
      <c r="W207" s="4"/>
      <c r="X207" s="4"/>
      <c r="Y207" s="4"/>
      <c r="Z207" s="4"/>
    </row>
    <row r="208" ht="15.75" customHeight="1">
      <c r="A208" s="1"/>
      <c r="B208" s="1"/>
      <c r="C208" s="1"/>
      <c r="D208" s="1"/>
      <c r="E208" s="1"/>
      <c r="F208" s="1"/>
      <c r="G208" s="1"/>
      <c r="H208" s="4"/>
      <c r="I208" s="4"/>
      <c r="J208" s="4"/>
      <c r="K208" s="4"/>
      <c r="L208" s="4"/>
      <c r="M208" s="4"/>
      <c r="N208" s="4"/>
      <c r="O208" s="4"/>
      <c r="P208" s="4"/>
      <c r="Q208" s="4"/>
      <c r="R208" s="4"/>
      <c r="S208" s="4"/>
      <c r="T208" s="4"/>
      <c r="U208" s="4"/>
      <c r="V208" s="4"/>
      <c r="W208" s="4"/>
      <c r="X208" s="4"/>
      <c r="Y208" s="4"/>
      <c r="Z208" s="4"/>
    </row>
    <row r="209" ht="15.75" customHeight="1">
      <c r="A209" s="1"/>
      <c r="B209" s="1"/>
      <c r="C209" s="1"/>
      <c r="D209" s="1"/>
      <c r="E209" s="1"/>
      <c r="F209" s="1"/>
      <c r="G209" s="1"/>
      <c r="H209" s="4"/>
      <c r="I209" s="4"/>
      <c r="J209" s="4"/>
      <c r="K209" s="4"/>
      <c r="L209" s="4"/>
      <c r="M209" s="4"/>
      <c r="N209" s="4"/>
      <c r="O209" s="4"/>
      <c r="P209" s="4"/>
      <c r="Q209" s="4"/>
      <c r="R209" s="4"/>
      <c r="S209" s="4"/>
      <c r="T209" s="4"/>
      <c r="U209" s="4"/>
      <c r="V209" s="4"/>
      <c r="W209" s="4"/>
      <c r="X209" s="4"/>
      <c r="Y209" s="4"/>
      <c r="Z209" s="4"/>
    </row>
    <row r="210" ht="15.75" customHeight="1">
      <c r="A210" s="1"/>
      <c r="B210" s="1"/>
      <c r="C210" s="1"/>
      <c r="D210" s="1"/>
      <c r="E210" s="1"/>
      <c r="F210" s="1"/>
      <c r="G210" s="1"/>
      <c r="H210" s="4"/>
      <c r="I210" s="4"/>
      <c r="J210" s="4"/>
      <c r="K210" s="4"/>
      <c r="L210" s="4"/>
      <c r="M210" s="4"/>
      <c r="N210" s="4"/>
      <c r="O210" s="4"/>
      <c r="P210" s="4"/>
      <c r="Q210" s="4"/>
      <c r="R210" s="4"/>
      <c r="S210" s="4"/>
      <c r="T210" s="4"/>
      <c r="U210" s="4"/>
      <c r="V210" s="4"/>
      <c r="W210" s="4"/>
      <c r="X210" s="4"/>
      <c r="Y210" s="4"/>
      <c r="Z210" s="4"/>
    </row>
    <row r="211" ht="15.75" customHeight="1">
      <c r="A211" s="1"/>
      <c r="B211" s="1"/>
      <c r="C211" s="1"/>
      <c r="D211" s="1"/>
      <c r="E211" s="1"/>
      <c r="F211" s="1"/>
      <c r="G211" s="1"/>
      <c r="H211" s="4"/>
      <c r="I211" s="4"/>
      <c r="J211" s="4"/>
      <c r="K211" s="4"/>
      <c r="L211" s="4"/>
      <c r="M211" s="4"/>
      <c r="N211" s="4"/>
      <c r="O211" s="4"/>
      <c r="P211" s="4"/>
      <c r="Q211" s="4"/>
      <c r="R211" s="4"/>
      <c r="S211" s="4"/>
      <c r="T211" s="4"/>
      <c r="U211" s="4"/>
      <c r="V211" s="4"/>
      <c r="W211" s="4"/>
      <c r="X211" s="4"/>
      <c r="Y211" s="4"/>
      <c r="Z211" s="4"/>
    </row>
    <row r="212" ht="15.75" customHeight="1">
      <c r="A212" s="1"/>
      <c r="B212" s="1"/>
      <c r="C212" s="1"/>
      <c r="D212" s="1"/>
      <c r="E212" s="1"/>
      <c r="F212" s="1"/>
      <c r="G212" s="1"/>
      <c r="H212" s="4"/>
      <c r="I212" s="4"/>
      <c r="J212" s="4"/>
      <c r="K212" s="4"/>
      <c r="L212" s="4"/>
      <c r="M212" s="4"/>
      <c r="N212" s="4"/>
      <c r="O212" s="4"/>
      <c r="P212" s="4"/>
      <c r="Q212" s="4"/>
      <c r="R212" s="4"/>
      <c r="S212" s="4"/>
      <c r="T212" s="4"/>
      <c r="U212" s="4"/>
      <c r="V212" s="4"/>
      <c r="W212" s="4"/>
      <c r="X212" s="4"/>
      <c r="Y212" s="4"/>
      <c r="Z212" s="4"/>
    </row>
    <row r="213" ht="15.75" customHeight="1">
      <c r="A213" s="1"/>
      <c r="B213" s="1"/>
      <c r="C213" s="1"/>
      <c r="D213" s="1"/>
      <c r="E213" s="1"/>
      <c r="F213" s="1"/>
      <c r="G213" s="1"/>
      <c r="H213" s="4"/>
      <c r="I213" s="4"/>
      <c r="J213" s="4"/>
      <c r="K213" s="4"/>
      <c r="L213" s="4"/>
      <c r="M213" s="4"/>
      <c r="N213" s="4"/>
      <c r="O213" s="4"/>
      <c r="P213" s="4"/>
      <c r="Q213" s="4"/>
      <c r="R213" s="4"/>
      <c r="S213" s="4"/>
      <c r="T213" s="4"/>
      <c r="U213" s="4"/>
      <c r="V213" s="4"/>
      <c r="W213" s="4"/>
      <c r="X213" s="4"/>
      <c r="Y213" s="4"/>
      <c r="Z213" s="4"/>
    </row>
    <row r="214" ht="15.75" customHeight="1">
      <c r="A214" s="1"/>
      <c r="B214" s="1"/>
      <c r="C214" s="1"/>
      <c r="D214" s="1"/>
      <c r="E214" s="1"/>
      <c r="F214" s="1"/>
      <c r="G214" s="1"/>
      <c r="H214" s="4"/>
      <c r="I214" s="4"/>
      <c r="J214" s="4"/>
      <c r="K214" s="4"/>
      <c r="L214" s="4"/>
      <c r="M214" s="4"/>
      <c r="N214" s="4"/>
      <c r="O214" s="4"/>
      <c r="P214" s="4"/>
      <c r="Q214" s="4"/>
      <c r="R214" s="4"/>
      <c r="S214" s="4"/>
      <c r="T214" s="4"/>
      <c r="U214" s="4"/>
      <c r="V214" s="4"/>
      <c r="W214" s="4"/>
      <c r="X214" s="4"/>
      <c r="Y214" s="4"/>
      <c r="Z214" s="4"/>
    </row>
    <row r="215" ht="15.75" customHeight="1">
      <c r="A215" s="1"/>
      <c r="B215" s="1"/>
      <c r="C215" s="1"/>
      <c r="D215" s="1"/>
      <c r="E215" s="1"/>
      <c r="F215" s="1"/>
      <c r="G215" s="1"/>
      <c r="H215" s="4"/>
      <c r="I215" s="4"/>
      <c r="J215" s="4"/>
      <c r="K215" s="4"/>
      <c r="L215" s="4"/>
      <c r="M215" s="4"/>
      <c r="N215" s="4"/>
      <c r="O215" s="4"/>
      <c r="P215" s="4"/>
      <c r="Q215" s="4"/>
      <c r="R215" s="4"/>
      <c r="S215" s="4"/>
      <c r="T215" s="4"/>
      <c r="U215" s="4"/>
      <c r="V215" s="4"/>
      <c r="W215" s="4"/>
      <c r="X215" s="4"/>
      <c r="Y215" s="4"/>
      <c r="Z215" s="4"/>
    </row>
    <row r="216" ht="15.75" customHeight="1">
      <c r="A216" s="1"/>
      <c r="B216" s="1"/>
      <c r="C216" s="1"/>
      <c r="D216" s="1"/>
      <c r="E216" s="1"/>
      <c r="F216" s="1"/>
      <c r="G216" s="1"/>
      <c r="H216" s="4"/>
      <c r="I216" s="4"/>
      <c r="J216" s="4"/>
      <c r="K216" s="4"/>
      <c r="L216" s="4"/>
      <c r="M216" s="4"/>
      <c r="N216" s="4"/>
      <c r="O216" s="4"/>
      <c r="P216" s="4"/>
      <c r="Q216" s="4"/>
      <c r="R216" s="4"/>
      <c r="S216" s="4"/>
      <c r="T216" s="4"/>
      <c r="U216" s="4"/>
      <c r="V216" s="4"/>
      <c r="W216" s="4"/>
      <c r="X216" s="4"/>
      <c r="Y216" s="4"/>
      <c r="Z216" s="4"/>
    </row>
    <row r="217" ht="15.75" customHeight="1">
      <c r="A217" s="1"/>
      <c r="B217" s="1"/>
      <c r="C217" s="1"/>
      <c r="D217" s="1"/>
      <c r="E217" s="1"/>
      <c r="F217" s="1"/>
      <c r="G217" s="1"/>
      <c r="H217" s="4"/>
      <c r="I217" s="4"/>
      <c r="J217" s="4"/>
      <c r="K217" s="4"/>
      <c r="L217" s="4"/>
      <c r="M217" s="4"/>
      <c r="N217" s="4"/>
      <c r="O217" s="4"/>
      <c r="P217" s="4"/>
      <c r="Q217" s="4"/>
      <c r="R217" s="4"/>
      <c r="S217" s="4"/>
      <c r="T217" s="4"/>
      <c r="U217" s="4"/>
      <c r="V217" s="4"/>
      <c r="W217" s="4"/>
      <c r="X217" s="4"/>
      <c r="Y217" s="4"/>
      <c r="Z217" s="4"/>
    </row>
    <row r="218" ht="15.75" customHeight="1">
      <c r="A218" s="1"/>
      <c r="B218" s="1"/>
      <c r="C218" s="1"/>
      <c r="D218" s="1"/>
      <c r="E218" s="1"/>
      <c r="F218" s="1"/>
      <c r="G218" s="1"/>
      <c r="H218" s="4"/>
      <c r="I218" s="4"/>
      <c r="J218" s="4"/>
      <c r="K218" s="4"/>
      <c r="L218" s="4"/>
      <c r="M218" s="4"/>
      <c r="N218" s="4"/>
      <c r="O218" s="4"/>
      <c r="P218" s="4"/>
      <c r="Q218" s="4"/>
      <c r="R218" s="4"/>
      <c r="S218" s="4"/>
      <c r="T218" s="4"/>
      <c r="U218" s="4"/>
      <c r="V218" s="4"/>
      <c r="W218" s="4"/>
      <c r="X218" s="4"/>
      <c r="Y218" s="4"/>
      <c r="Z218" s="4"/>
    </row>
    <row r="219" ht="15.75" customHeight="1">
      <c r="A219" s="1"/>
      <c r="B219" s="1"/>
      <c r="C219" s="1"/>
      <c r="D219" s="1"/>
      <c r="E219" s="1"/>
      <c r="F219" s="1"/>
      <c r="G219" s="1"/>
      <c r="H219" s="4"/>
      <c r="I219" s="4"/>
      <c r="J219" s="4"/>
      <c r="K219" s="4"/>
      <c r="L219" s="4"/>
      <c r="M219" s="4"/>
      <c r="N219" s="4"/>
      <c r="O219" s="4"/>
      <c r="P219" s="4"/>
      <c r="Q219" s="4"/>
      <c r="R219" s="4"/>
      <c r="S219" s="4"/>
      <c r="T219" s="4"/>
      <c r="U219" s="4"/>
      <c r="V219" s="4"/>
      <c r="W219" s="4"/>
      <c r="X219" s="4"/>
      <c r="Y219" s="4"/>
      <c r="Z219" s="4"/>
    </row>
    <row r="220" ht="15.75" customHeight="1">
      <c r="A220" s="1"/>
      <c r="B220" s="1"/>
      <c r="C220" s="1"/>
      <c r="D220" s="1"/>
      <c r="E220" s="1"/>
      <c r="F220" s="1"/>
      <c r="G220" s="1"/>
      <c r="H220" s="4"/>
      <c r="I220" s="4"/>
      <c r="J220" s="4"/>
      <c r="K220" s="4"/>
      <c r="L220" s="4"/>
      <c r="M220" s="4"/>
      <c r="N220" s="4"/>
      <c r="O220" s="4"/>
      <c r="P220" s="4"/>
      <c r="Q220" s="4"/>
      <c r="R220" s="4"/>
      <c r="S220" s="4"/>
      <c r="T220" s="4"/>
      <c r="U220" s="4"/>
      <c r="V220" s="4"/>
      <c r="W220" s="4"/>
      <c r="X220" s="4"/>
      <c r="Y220" s="4"/>
      <c r="Z220" s="4"/>
    </row>
    <row r="221" ht="15.75" customHeight="1">
      <c r="A221" s="1"/>
      <c r="B221" s="1"/>
      <c r="C221" s="1"/>
      <c r="D221" s="1"/>
      <c r="E221" s="1"/>
      <c r="F221" s="1"/>
      <c r="G221" s="1"/>
      <c r="H221" s="4"/>
      <c r="I221" s="4"/>
      <c r="J221" s="4"/>
      <c r="K221" s="4"/>
      <c r="L221" s="4"/>
      <c r="M221" s="4"/>
      <c r="N221" s="4"/>
      <c r="O221" s="4"/>
      <c r="P221" s="4"/>
      <c r="Q221" s="4"/>
      <c r="R221" s="4"/>
      <c r="S221" s="4"/>
      <c r="T221" s="4"/>
      <c r="U221" s="4"/>
      <c r="V221" s="4"/>
      <c r="W221" s="4"/>
      <c r="X221" s="4"/>
      <c r="Y221" s="4"/>
      <c r="Z221" s="4"/>
    </row>
    <row r="222" ht="15.75" customHeight="1">
      <c r="A222" s="1"/>
      <c r="B222" s="1"/>
      <c r="C222" s="1"/>
      <c r="D222" s="1"/>
      <c r="E222" s="1"/>
      <c r="F222" s="1"/>
      <c r="G222" s="1"/>
      <c r="H222" s="4"/>
      <c r="I222" s="4"/>
      <c r="J222" s="4"/>
      <c r="K222" s="4"/>
      <c r="L222" s="4"/>
      <c r="M222" s="4"/>
      <c r="N222" s="4"/>
      <c r="O222" s="4"/>
      <c r="P222" s="4"/>
      <c r="Q222" s="4"/>
      <c r="R222" s="4"/>
      <c r="S222" s="4"/>
      <c r="T222" s="4"/>
      <c r="U222" s="4"/>
      <c r="V222" s="4"/>
      <c r="W222" s="4"/>
      <c r="X222" s="4"/>
      <c r="Y222" s="4"/>
      <c r="Z222" s="4"/>
    </row>
    <row r="223" ht="15.75" customHeight="1">
      <c r="A223" s="1"/>
      <c r="B223" s="1"/>
      <c r="C223" s="1"/>
      <c r="D223" s="1"/>
      <c r="E223" s="1"/>
      <c r="F223" s="1"/>
      <c r="G223" s="1"/>
      <c r="H223" s="4"/>
      <c r="I223" s="4"/>
      <c r="J223" s="4"/>
      <c r="K223" s="4"/>
      <c r="L223" s="4"/>
      <c r="M223" s="4"/>
      <c r="N223" s="4"/>
      <c r="O223" s="4"/>
      <c r="P223" s="4"/>
      <c r="Q223" s="4"/>
      <c r="R223" s="4"/>
      <c r="S223" s="4"/>
      <c r="T223" s="4"/>
      <c r="U223" s="4"/>
      <c r="V223" s="4"/>
      <c r="W223" s="4"/>
      <c r="X223" s="4"/>
      <c r="Y223" s="4"/>
      <c r="Z223" s="4"/>
    </row>
    <row r="224" ht="15.75" customHeight="1">
      <c r="A224" s="1"/>
      <c r="B224" s="1"/>
      <c r="C224" s="1"/>
      <c r="D224" s="1"/>
      <c r="E224" s="1"/>
      <c r="F224" s="1"/>
      <c r="G224" s="1"/>
      <c r="H224" s="4"/>
      <c r="I224" s="4"/>
      <c r="J224" s="4"/>
      <c r="K224" s="4"/>
      <c r="L224" s="4"/>
      <c r="M224" s="4"/>
      <c r="N224" s="4"/>
      <c r="O224" s="4"/>
      <c r="P224" s="4"/>
      <c r="Q224" s="4"/>
      <c r="R224" s="4"/>
      <c r="S224" s="4"/>
      <c r="T224" s="4"/>
      <c r="U224" s="4"/>
      <c r="V224" s="4"/>
      <c r="W224" s="4"/>
      <c r="X224" s="4"/>
      <c r="Y224" s="4"/>
      <c r="Z224" s="4"/>
    </row>
    <row r="225" ht="15.75" customHeight="1">
      <c r="A225" s="1"/>
      <c r="B225" s="1"/>
      <c r="C225" s="1"/>
      <c r="D225" s="1"/>
      <c r="E225" s="1"/>
      <c r="F225" s="1"/>
      <c r="G225" s="1"/>
      <c r="H225" s="4"/>
      <c r="I225" s="4"/>
      <c r="J225" s="4"/>
      <c r="K225" s="4"/>
      <c r="L225" s="4"/>
      <c r="M225" s="4"/>
      <c r="N225" s="4"/>
      <c r="O225" s="4"/>
      <c r="P225" s="4"/>
      <c r="Q225" s="4"/>
      <c r="R225" s="4"/>
      <c r="S225" s="4"/>
      <c r="T225" s="4"/>
      <c r="U225" s="4"/>
      <c r="V225" s="4"/>
      <c r="W225" s="4"/>
      <c r="X225" s="4"/>
      <c r="Y225" s="4"/>
      <c r="Z225" s="4"/>
    </row>
    <row r="226" ht="15.75" customHeight="1">
      <c r="A226" s="1"/>
      <c r="B226" s="1"/>
      <c r="C226" s="1"/>
      <c r="D226" s="1"/>
      <c r="E226" s="1"/>
      <c r="F226" s="1"/>
      <c r="G226" s="1"/>
      <c r="H226" s="4"/>
      <c r="I226" s="4"/>
      <c r="J226" s="4"/>
      <c r="K226" s="4"/>
      <c r="L226" s="4"/>
      <c r="M226" s="4"/>
      <c r="N226" s="4"/>
      <c r="O226" s="4"/>
      <c r="P226" s="4"/>
      <c r="Q226" s="4"/>
      <c r="R226" s="4"/>
      <c r="S226" s="4"/>
      <c r="T226" s="4"/>
      <c r="U226" s="4"/>
      <c r="V226" s="4"/>
      <c r="W226" s="4"/>
      <c r="X226" s="4"/>
      <c r="Y226" s="4"/>
      <c r="Z226" s="4"/>
    </row>
    <row r="227" ht="15.75" customHeight="1">
      <c r="A227" s="1"/>
      <c r="B227" s="1"/>
      <c r="C227" s="1"/>
      <c r="D227" s="1"/>
      <c r="E227" s="1"/>
      <c r="F227" s="1"/>
      <c r="G227" s="1"/>
      <c r="H227" s="4"/>
      <c r="I227" s="4"/>
      <c r="J227" s="4"/>
      <c r="K227" s="4"/>
      <c r="L227" s="4"/>
      <c r="M227" s="4"/>
      <c r="N227" s="4"/>
      <c r="O227" s="4"/>
      <c r="P227" s="4"/>
      <c r="Q227" s="4"/>
      <c r="R227" s="4"/>
      <c r="S227" s="4"/>
      <c r="T227" s="4"/>
      <c r="U227" s="4"/>
      <c r="V227" s="4"/>
      <c r="W227" s="4"/>
      <c r="X227" s="4"/>
      <c r="Y227" s="4"/>
      <c r="Z227" s="4"/>
    </row>
    <row r="228" ht="15.75" customHeight="1">
      <c r="A228" s="1"/>
      <c r="B228" s="1"/>
      <c r="C228" s="1"/>
      <c r="D228" s="1"/>
      <c r="E228" s="1"/>
      <c r="F228" s="1"/>
      <c r="G228" s="1"/>
      <c r="H228" s="4"/>
      <c r="I228" s="4"/>
      <c r="J228" s="4"/>
      <c r="K228" s="4"/>
      <c r="L228" s="4"/>
      <c r="M228" s="4"/>
      <c r="N228" s="4"/>
      <c r="O228" s="4"/>
      <c r="P228" s="4"/>
      <c r="Q228" s="4"/>
      <c r="R228" s="4"/>
      <c r="S228" s="4"/>
      <c r="T228" s="4"/>
      <c r="U228" s="4"/>
      <c r="V228" s="4"/>
      <c r="W228" s="4"/>
      <c r="X228" s="4"/>
      <c r="Y228" s="4"/>
      <c r="Z228" s="4"/>
    </row>
    <row r="229" ht="15.75" customHeight="1">
      <c r="A229" s="1"/>
      <c r="B229" s="1"/>
      <c r="C229" s="1"/>
      <c r="D229" s="1"/>
      <c r="E229" s="1"/>
      <c r="F229" s="1"/>
      <c r="G229" s="1"/>
      <c r="H229" s="4"/>
      <c r="I229" s="4"/>
      <c r="J229" s="4"/>
      <c r="K229" s="4"/>
      <c r="L229" s="4"/>
      <c r="M229" s="4"/>
      <c r="N229" s="4"/>
      <c r="O229" s="4"/>
      <c r="P229" s="4"/>
      <c r="Q229" s="4"/>
      <c r="R229" s="4"/>
      <c r="S229" s="4"/>
      <c r="T229" s="4"/>
      <c r="U229" s="4"/>
      <c r="V229" s="4"/>
      <c r="W229" s="4"/>
      <c r="X229" s="4"/>
      <c r="Y229" s="4"/>
      <c r="Z229" s="4"/>
    </row>
    <row r="230" ht="15.75" customHeight="1">
      <c r="A230" s="1"/>
      <c r="B230" s="1"/>
      <c r="C230" s="1"/>
      <c r="D230" s="1"/>
      <c r="E230" s="1"/>
      <c r="F230" s="1"/>
      <c r="G230" s="1"/>
      <c r="H230" s="4"/>
      <c r="I230" s="4"/>
      <c r="J230" s="4"/>
      <c r="K230" s="4"/>
      <c r="L230" s="4"/>
      <c r="M230" s="4"/>
      <c r="N230" s="4"/>
      <c r="O230" s="4"/>
      <c r="P230" s="4"/>
      <c r="Q230" s="4"/>
      <c r="R230" s="4"/>
      <c r="S230" s="4"/>
      <c r="T230" s="4"/>
      <c r="U230" s="4"/>
      <c r="V230" s="4"/>
      <c r="W230" s="4"/>
      <c r="X230" s="4"/>
      <c r="Y230" s="4"/>
      <c r="Z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
    <mergeCell ref="A1:G1"/>
    <mergeCell ref="A3:G3"/>
    <mergeCell ref="A4:H4"/>
    <mergeCell ref="A12:G12"/>
    <mergeCell ref="A21:G21"/>
    <mergeCell ref="A30:H30"/>
    <mergeCell ref="A31:H31"/>
  </mergeCells>
  <dataValidations>
    <dataValidation type="list" allowBlank="1" showErrorMessage="1" sqref="E6:E11">
      <formula1>"QUALIFIED,CONDITIONALLY QUALIFIED (CQ-90),CONDITIONALLY QUALIFIED (CQ-30),DISQUALIFIED,ASSESSMENT INCOMPLETE"</formula1>
    </dataValidation>
    <dataValidation type="list" allowBlank="1" showErrorMessage="1" sqref="F6:F11">
      <formula1>"Yes,No"</formula1>
    </dataValidation>
    <dataValidation type="list" allowBlank="1" showErrorMessage="1" sqref="G23:G28">
      <formula1>"PASS,BREACH,N/A"</formula1>
    </dataValidation>
  </dataValidation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0"/>
    <col customWidth="1" min="2" max="2" width="14.0"/>
    <col customWidth="1" min="3" max="3" width="34.0"/>
    <col customWidth="1" min="4" max="5" width="28.0"/>
    <col customWidth="1" min="6" max="6" width="20.0"/>
    <col customWidth="1" min="7" max="7" width="28.0"/>
    <col customWidth="1" min="8" max="9" width="20.0"/>
    <col customWidth="1" min="10" max="11" width="22.0"/>
    <col customWidth="1" min="12" max="12" width="24.0"/>
    <col customWidth="1" min="13" max="13" width="28.0"/>
    <col customWidth="1" min="14" max="14" width="30.0"/>
    <col customWidth="1" min="15" max="26" width="8.71"/>
  </cols>
  <sheetData>
    <row r="1" ht="16.5" customHeight="1">
      <c r="A1" s="40" t="s">
        <v>751</v>
      </c>
    </row>
    <row r="2" ht="15.0" customHeight="1">
      <c r="A2" s="173" t="s">
        <v>752</v>
      </c>
      <c r="B2" s="173" t="s">
        <v>753</v>
      </c>
      <c r="C2" s="173" t="s">
        <v>159</v>
      </c>
      <c r="D2" s="173" t="s">
        <v>754</v>
      </c>
      <c r="E2" s="173" t="s">
        <v>755</v>
      </c>
      <c r="F2" s="173" t="s">
        <v>74</v>
      </c>
      <c r="G2" s="173" t="s">
        <v>756</v>
      </c>
      <c r="H2" s="173" t="s">
        <v>757</v>
      </c>
      <c r="I2" s="173" t="s">
        <v>758</v>
      </c>
      <c r="J2" s="173" t="s">
        <v>402</v>
      </c>
      <c r="K2" s="173" t="s">
        <v>162</v>
      </c>
      <c r="L2" s="173" t="s">
        <v>759</v>
      </c>
      <c r="M2" s="173" t="s">
        <v>760</v>
      </c>
      <c r="N2" s="173" t="s">
        <v>7</v>
      </c>
    </row>
    <row r="3" ht="39.0" customHeight="1">
      <c r="A3" s="28" t="s">
        <v>761</v>
      </c>
      <c r="B3" s="28" t="s">
        <v>762</v>
      </c>
      <c r="C3" s="28" t="s">
        <v>166</v>
      </c>
      <c r="D3" s="28" t="s">
        <v>763</v>
      </c>
      <c r="E3" s="28" t="s">
        <v>764</v>
      </c>
      <c r="F3" s="28" t="s">
        <v>29</v>
      </c>
      <c r="G3" s="28" t="s">
        <v>765</v>
      </c>
      <c r="H3" s="28" t="s">
        <v>766</v>
      </c>
      <c r="I3" s="28"/>
      <c r="J3" s="28"/>
      <c r="K3" s="28" t="s">
        <v>767</v>
      </c>
      <c r="L3" s="28" t="s">
        <v>768</v>
      </c>
      <c r="M3" s="28" t="s">
        <v>769</v>
      </c>
      <c r="N3" s="28"/>
    </row>
    <row r="4" ht="26.25" customHeight="1">
      <c r="A4" s="28" t="s">
        <v>770</v>
      </c>
      <c r="B4" s="28" t="s">
        <v>762</v>
      </c>
      <c r="C4" s="28" t="s">
        <v>168</v>
      </c>
      <c r="D4" s="28" t="s">
        <v>763</v>
      </c>
      <c r="E4" s="28" t="s">
        <v>764</v>
      </c>
      <c r="F4" s="28" t="s">
        <v>29</v>
      </c>
      <c r="G4" s="28" t="s">
        <v>765</v>
      </c>
      <c r="H4" s="28" t="s">
        <v>771</v>
      </c>
      <c r="I4" s="28"/>
      <c r="J4" s="28"/>
      <c r="K4" s="28" t="s">
        <v>772</v>
      </c>
      <c r="L4" s="28" t="s">
        <v>768</v>
      </c>
      <c r="M4" s="28" t="s">
        <v>773</v>
      </c>
      <c r="N4" s="28"/>
    </row>
    <row r="5" ht="26.25" customHeight="1">
      <c r="A5" s="28" t="s">
        <v>774</v>
      </c>
      <c r="B5" s="28" t="s">
        <v>762</v>
      </c>
      <c r="C5" s="28" t="s">
        <v>775</v>
      </c>
      <c r="D5" s="28" t="s">
        <v>763</v>
      </c>
      <c r="E5" s="28" t="s">
        <v>776</v>
      </c>
      <c r="F5" s="28" t="s">
        <v>29</v>
      </c>
      <c r="G5" s="28" t="s">
        <v>777</v>
      </c>
      <c r="H5" s="28" t="s">
        <v>135</v>
      </c>
      <c r="I5" s="28" t="s">
        <v>778</v>
      </c>
      <c r="J5" s="28" t="s">
        <v>779</v>
      </c>
      <c r="K5" s="28" t="s">
        <v>171</v>
      </c>
      <c r="L5" s="28" t="s">
        <v>780</v>
      </c>
      <c r="M5" s="28" t="s">
        <v>781</v>
      </c>
      <c r="N5" s="28"/>
    </row>
    <row r="6" ht="15.0" customHeight="1">
      <c r="A6" s="28" t="s">
        <v>782</v>
      </c>
      <c r="B6" s="28" t="s">
        <v>762</v>
      </c>
      <c r="C6" s="28" t="s">
        <v>783</v>
      </c>
      <c r="D6" s="28" t="s">
        <v>784</v>
      </c>
      <c r="E6" s="28" t="s">
        <v>785</v>
      </c>
      <c r="F6" s="28" t="s">
        <v>29</v>
      </c>
      <c r="G6" s="28" t="s">
        <v>786</v>
      </c>
      <c r="H6" s="28" t="s">
        <v>787</v>
      </c>
      <c r="I6" s="28" t="s">
        <v>788</v>
      </c>
      <c r="J6" s="28" t="s">
        <v>175</v>
      </c>
      <c r="K6" s="28" t="s">
        <v>174</v>
      </c>
      <c r="L6" s="28" t="s">
        <v>174</v>
      </c>
      <c r="M6" s="28" t="s">
        <v>789</v>
      </c>
      <c r="N6" s="28"/>
    </row>
    <row r="7" ht="26.25" customHeight="1">
      <c r="A7" s="28" t="s">
        <v>790</v>
      </c>
      <c r="B7" s="28" t="s">
        <v>762</v>
      </c>
      <c r="C7" s="28" t="s">
        <v>791</v>
      </c>
      <c r="D7" s="28" t="s">
        <v>311</v>
      </c>
      <c r="E7" s="28" t="s">
        <v>792</v>
      </c>
      <c r="F7" s="28" t="s">
        <v>344</v>
      </c>
      <c r="G7" s="28" t="s">
        <v>786</v>
      </c>
      <c r="H7" s="28" t="s">
        <v>787</v>
      </c>
      <c r="I7" s="28" t="s">
        <v>793</v>
      </c>
      <c r="J7" s="28" t="s">
        <v>175</v>
      </c>
      <c r="K7" s="28" t="s">
        <v>171</v>
      </c>
      <c r="L7" s="28" t="s">
        <v>794</v>
      </c>
      <c r="M7" s="28" t="s">
        <v>781</v>
      </c>
      <c r="N7" s="28"/>
    </row>
    <row r="8" ht="26.25" customHeight="1">
      <c r="A8" s="28" t="s">
        <v>795</v>
      </c>
      <c r="B8" s="28" t="s">
        <v>762</v>
      </c>
      <c r="C8" s="28" t="s">
        <v>796</v>
      </c>
      <c r="D8" s="28" t="s">
        <v>797</v>
      </c>
      <c r="E8" s="28" t="s">
        <v>798</v>
      </c>
      <c r="F8" s="28" t="s">
        <v>340</v>
      </c>
      <c r="G8" s="28" t="s">
        <v>799</v>
      </c>
      <c r="H8" s="28" t="s">
        <v>787</v>
      </c>
      <c r="I8" s="28" t="s">
        <v>796</v>
      </c>
      <c r="J8" s="28" t="s">
        <v>178</v>
      </c>
      <c r="K8" s="28" t="s">
        <v>174</v>
      </c>
      <c r="L8" s="28" t="s">
        <v>174</v>
      </c>
      <c r="M8" s="28" t="s">
        <v>800</v>
      </c>
      <c r="N8" s="28"/>
    </row>
    <row r="9" ht="26.25" customHeight="1">
      <c r="A9" s="28" t="s">
        <v>801</v>
      </c>
      <c r="B9" s="28" t="s">
        <v>762</v>
      </c>
      <c r="C9" s="28" t="s">
        <v>802</v>
      </c>
      <c r="D9" s="28" t="s">
        <v>803</v>
      </c>
      <c r="E9" s="28" t="s">
        <v>804</v>
      </c>
      <c r="F9" s="28" t="s">
        <v>344</v>
      </c>
      <c r="G9" s="28" t="s">
        <v>799</v>
      </c>
      <c r="H9" s="28" t="s">
        <v>787</v>
      </c>
      <c r="I9" s="28" t="s">
        <v>805</v>
      </c>
      <c r="J9" s="28" t="s">
        <v>178</v>
      </c>
      <c r="K9" s="28" t="s">
        <v>171</v>
      </c>
      <c r="L9" s="28" t="s">
        <v>794</v>
      </c>
      <c r="M9" s="28" t="s">
        <v>781</v>
      </c>
      <c r="N9" s="28"/>
    </row>
    <row r="10" ht="26.25" customHeight="1">
      <c r="A10" s="28" t="s">
        <v>806</v>
      </c>
      <c r="B10" s="28" t="s">
        <v>762</v>
      </c>
      <c r="C10" s="28" t="s">
        <v>807</v>
      </c>
      <c r="D10" s="28" t="s">
        <v>808</v>
      </c>
      <c r="E10" s="28" t="s">
        <v>809</v>
      </c>
      <c r="F10" s="28" t="s">
        <v>29</v>
      </c>
      <c r="G10" s="28" t="s">
        <v>786</v>
      </c>
      <c r="H10" s="28" t="s">
        <v>787</v>
      </c>
      <c r="I10" s="28" t="s">
        <v>810</v>
      </c>
      <c r="J10" s="28" t="s">
        <v>175</v>
      </c>
      <c r="K10" s="28" t="s">
        <v>174</v>
      </c>
      <c r="L10" s="28" t="s">
        <v>174</v>
      </c>
      <c r="M10" s="28" t="s">
        <v>800</v>
      </c>
      <c r="N10" s="28"/>
    </row>
    <row r="11" ht="26.25" customHeight="1">
      <c r="A11" s="28" t="s">
        <v>811</v>
      </c>
      <c r="B11" s="28" t="s">
        <v>812</v>
      </c>
      <c r="C11" s="28" t="s">
        <v>813</v>
      </c>
      <c r="D11" s="28" t="s">
        <v>814</v>
      </c>
      <c r="E11" s="28" t="s">
        <v>815</v>
      </c>
      <c r="F11" s="28" t="s">
        <v>29</v>
      </c>
      <c r="G11" s="28" t="s">
        <v>816</v>
      </c>
      <c r="H11" s="28" t="s">
        <v>817</v>
      </c>
      <c r="I11" s="28"/>
      <c r="J11" s="28"/>
      <c r="K11" s="28" t="s">
        <v>171</v>
      </c>
      <c r="L11" s="28" t="s">
        <v>818</v>
      </c>
      <c r="M11" s="28" t="s">
        <v>773</v>
      </c>
      <c r="N11" s="28"/>
    </row>
    <row r="12" ht="26.25" customHeight="1">
      <c r="A12" s="28" t="s">
        <v>819</v>
      </c>
      <c r="B12" s="28" t="s">
        <v>812</v>
      </c>
      <c r="C12" s="28" t="s">
        <v>820</v>
      </c>
      <c r="D12" s="28" t="s">
        <v>814</v>
      </c>
      <c r="E12" s="28" t="s">
        <v>821</v>
      </c>
      <c r="F12" s="28" t="s">
        <v>29</v>
      </c>
      <c r="G12" s="28" t="s">
        <v>816</v>
      </c>
      <c r="H12" s="28" t="s">
        <v>817</v>
      </c>
      <c r="I12" s="28"/>
      <c r="J12" s="28"/>
      <c r="K12" s="28" t="s">
        <v>171</v>
      </c>
      <c r="L12" s="28" t="s">
        <v>818</v>
      </c>
      <c r="M12" s="28" t="s">
        <v>773</v>
      </c>
      <c r="N12" s="28"/>
    </row>
    <row r="13" ht="109.5" customHeight="1">
      <c r="A13" s="28" t="s">
        <v>822</v>
      </c>
      <c r="B13" s="28" t="s">
        <v>812</v>
      </c>
      <c r="C13" s="28" t="s">
        <v>192</v>
      </c>
      <c r="D13" s="28" t="s">
        <v>763</v>
      </c>
      <c r="E13" s="28" t="s">
        <v>823</v>
      </c>
      <c r="F13" s="28" t="s">
        <v>29</v>
      </c>
      <c r="G13" s="28" t="s">
        <v>824</v>
      </c>
      <c r="H13" s="28" t="s">
        <v>825</v>
      </c>
      <c r="I13" s="28" t="s">
        <v>826</v>
      </c>
      <c r="J13" s="28" t="s">
        <v>827</v>
      </c>
      <c r="K13" s="28" t="s">
        <v>828</v>
      </c>
      <c r="L13" s="28" t="s">
        <v>818</v>
      </c>
      <c r="M13" s="28" t="s">
        <v>773</v>
      </c>
      <c r="N13" s="28" t="s">
        <v>829</v>
      </c>
    </row>
    <row r="14" ht="26.25" customHeight="1">
      <c r="A14" s="28" t="s">
        <v>830</v>
      </c>
      <c r="B14" s="28" t="s">
        <v>831</v>
      </c>
      <c r="C14" s="28" t="s">
        <v>832</v>
      </c>
      <c r="D14" s="28" t="s">
        <v>833</v>
      </c>
      <c r="E14" s="28" t="s">
        <v>834</v>
      </c>
      <c r="F14" s="28" t="s">
        <v>344</v>
      </c>
      <c r="G14" s="28" t="s">
        <v>178</v>
      </c>
      <c r="H14" s="28" t="s">
        <v>787</v>
      </c>
      <c r="I14" s="28" t="s">
        <v>835</v>
      </c>
      <c r="J14" s="28" t="s">
        <v>178</v>
      </c>
      <c r="K14" s="28" t="s">
        <v>171</v>
      </c>
      <c r="L14" s="28" t="s">
        <v>794</v>
      </c>
      <c r="M14" s="28" t="s">
        <v>781</v>
      </c>
      <c r="N14" s="28"/>
    </row>
    <row r="15" ht="26.25" customHeight="1">
      <c r="A15" s="28" t="s">
        <v>836</v>
      </c>
      <c r="B15" s="28" t="s">
        <v>831</v>
      </c>
      <c r="C15" s="28" t="s">
        <v>837</v>
      </c>
      <c r="D15" s="28" t="s">
        <v>339</v>
      </c>
      <c r="E15" s="28" t="s">
        <v>838</v>
      </c>
      <c r="F15" s="28" t="s">
        <v>344</v>
      </c>
      <c r="G15" s="28" t="s">
        <v>178</v>
      </c>
      <c r="H15" s="28" t="s">
        <v>787</v>
      </c>
      <c r="I15" s="28" t="s">
        <v>839</v>
      </c>
      <c r="J15" s="28" t="s">
        <v>178</v>
      </c>
      <c r="K15" s="28" t="s">
        <v>171</v>
      </c>
      <c r="L15" s="28" t="s">
        <v>794</v>
      </c>
      <c r="M15" s="28" t="s">
        <v>781</v>
      </c>
      <c r="N15" s="28"/>
    </row>
    <row r="16" ht="26.25" customHeight="1">
      <c r="A16" s="28" t="s">
        <v>840</v>
      </c>
      <c r="B16" s="28" t="s">
        <v>831</v>
      </c>
      <c r="C16" s="28" t="s">
        <v>841</v>
      </c>
      <c r="D16" s="28" t="s">
        <v>842</v>
      </c>
      <c r="E16" s="28" t="s">
        <v>843</v>
      </c>
      <c r="F16" s="28" t="s">
        <v>340</v>
      </c>
      <c r="G16" s="28" t="s">
        <v>844</v>
      </c>
      <c r="H16" s="28" t="s">
        <v>845</v>
      </c>
      <c r="I16" s="28"/>
      <c r="J16" s="28"/>
      <c r="K16" s="28" t="s">
        <v>846</v>
      </c>
      <c r="L16" s="28" t="s">
        <v>847</v>
      </c>
      <c r="M16" s="28" t="s">
        <v>773</v>
      </c>
      <c r="N16" s="28"/>
    </row>
    <row r="17" ht="26.25" customHeight="1">
      <c r="A17" s="28" t="s">
        <v>848</v>
      </c>
      <c r="B17" s="28" t="s">
        <v>831</v>
      </c>
      <c r="C17" s="28" t="s">
        <v>849</v>
      </c>
      <c r="D17" s="28" t="s">
        <v>850</v>
      </c>
      <c r="E17" s="28" t="s">
        <v>851</v>
      </c>
      <c r="F17" s="28" t="s">
        <v>340</v>
      </c>
      <c r="G17" s="28" t="s">
        <v>178</v>
      </c>
      <c r="H17" s="28" t="s">
        <v>787</v>
      </c>
      <c r="I17" s="28" t="s">
        <v>852</v>
      </c>
      <c r="J17" s="28" t="s">
        <v>178</v>
      </c>
      <c r="K17" s="28" t="s">
        <v>174</v>
      </c>
      <c r="L17" s="28" t="s">
        <v>174</v>
      </c>
      <c r="M17" s="28" t="s">
        <v>800</v>
      </c>
      <c r="N17" s="28"/>
    </row>
    <row r="18" ht="15.0" customHeight="1">
      <c r="A18" s="28" t="s">
        <v>853</v>
      </c>
      <c r="B18" s="28" t="s">
        <v>831</v>
      </c>
      <c r="C18" s="28" t="s">
        <v>854</v>
      </c>
      <c r="D18" s="28" t="s">
        <v>784</v>
      </c>
      <c r="E18" s="28" t="s">
        <v>855</v>
      </c>
      <c r="F18" s="28" t="s">
        <v>29</v>
      </c>
      <c r="G18" s="28" t="s">
        <v>175</v>
      </c>
      <c r="H18" s="28" t="s">
        <v>787</v>
      </c>
      <c r="I18" s="28" t="s">
        <v>810</v>
      </c>
      <c r="J18" s="28" t="s">
        <v>175</v>
      </c>
      <c r="K18" s="28" t="s">
        <v>174</v>
      </c>
      <c r="L18" s="28" t="s">
        <v>174</v>
      </c>
      <c r="M18" s="28" t="s">
        <v>800</v>
      </c>
      <c r="N18" s="28"/>
    </row>
    <row r="19" ht="26.25" customHeight="1">
      <c r="A19" s="28" t="s">
        <v>856</v>
      </c>
      <c r="B19" s="28" t="s">
        <v>831</v>
      </c>
      <c r="C19" s="28" t="s">
        <v>217</v>
      </c>
      <c r="D19" s="28" t="s">
        <v>857</v>
      </c>
      <c r="E19" s="28" t="s">
        <v>858</v>
      </c>
      <c r="F19" s="28" t="s">
        <v>340</v>
      </c>
      <c r="G19" s="28" t="s">
        <v>178</v>
      </c>
      <c r="H19" s="28" t="s">
        <v>787</v>
      </c>
      <c r="I19" s="28" t="s">
        <v>859</v>
      </c>
      <c r="J19" s="28" t="s">
        <v>178</v>
      </c>
      <c r="K19" s="28" t="s">
        <v>174</v>
      </c>
      <c r="L19" s="28" t="s">
        <v>174</v>
      </c>
      <c r="M19" s="28" t="s">
        <v>800</v>
      </c>
      <c r="N19" s="28"/>
    </row>
    <row r="20" ht="26.25" customHeight="1">
      <c r="A20" s="28" t="s">
        <v>860</v>
      </c>
      <c r="B20" s="28" t="s">
        <v>831</v>
      </c>
      <c r="C20" s="28" t="s">
        <v>861</v>
      </c>
      <c r="D20" s="28" t="s">
        <v>803</v>
      </c>
      <c r="E20" s="28" t="s">
        <v>862</v>
      </c>
      <c r="F20" s="28" t="s">
        <v>344</v>
      </c>
      <c r="G20" s="28" t="s">
        <v>178</v>
      </c>
      <c r="H20" s="28" t="s">
        <v>787</v>
      </c>
      <c r="I20" s="28" t="s">
        <v>863</v>
      </c>
      <c r="J20" s="28" t="s">
        <v>178</v>
      </c>
      <c r="K20" s="28" t="s">
        <v>174</v>
      </c>
      <c r="L20" s="28" t="s">
        <v>174</v>
      </c>
      <c r="M20" s="28" t="s">
        <v>800</v>
      </c>
      <c r="N20" s="28"/>
    </row>
    <row r="21" ht="26.25" customHeight="1">
      <c r="A21" s="28" t="s">
        <v>864</v>
      </c>
      <c r="B21" s="28" t="s">
        <v>831</v>
      </c>
      <c r="C21" s="28" t="s">
        <v>865</v>
      </c>
      <c r="D21" s="28" t="s">
        <v>866</v>
      </c>
      <c r="E21" s="28" t="s">
        <v>867</v>
      </c>
      <c r="F21" s="28" t="s">
        <v>340</v>
      </c>
      <c r="G21" s="28" t="s">
        <v>844</v>
      </c>
      <c r="H21" s="28" t="s">
        <v>868</v>
      </c>
      <c r="I21" s="28"/>
      <c r="J21" s="28"/>
      <c r="K21" s="28" t="s">
        <v>224</v>
      </c>
      <c r="L21" s="28" t="s">
        <v>869</v>
      </c>
      <c r="M21" s="28" t="s">
        <v>773</v>
      </c>
      <c r="N21" s="28"/>
    </row>
    <row r="22" ht="26.25" customHeight="1">
      <c r="A22" s="28" t="s">
        <v>870</v>
      </c>
      <c r="B22" s="28" t="s">
        <v>831</v>
      </c>
      <c r="C22" s="28" t="s">
        <v>234</v>
      </c>
      <c r="D22" s="28" t="s">
        <v>871</v>
      </c>
      <c r="E22" s="28" t="s">
        <v>872</v>
      </c>
      <c r="F22" s="28" t="s">
        <v>340</v>
      </c>
      <c r="G22" s="28" t="s">
        <v>844</v>
      </c>
      <c r="H22" s="28" t="s">
        <v>873</v>
      </c>
      <c r="I22" s="28"/>
      <c r="J22" s="28"/>
      <c r="K22" s="28" t="s">
        <v>874</v>
      </c>
      <c r="L22" s="28" t="s">
        <v>869</v>
      </c>
      <c r="M22" s="28" t="s">
        <v>773</v>
      </c>
      <c r="N22" s="28"/>
    </row>
    <row r="23" ht="26.25" customHeight="1">
      <c r="A23" s="28" t="s">
        <v>875</v>
      </c>
      <c r="B23" s="28" t="s">
        <v>831</v>
      </c>
      <c r="C23" s="28" t="s">
        <v>240</v>
      </c>
      <c r="D23" s="28" t="s">
        <v>339</v>
      </c>
      <c r="E23" s="28" t="s">
        <v>876</v>
      </c>
      <c r="F23" s="28" t="s">
        <v>344</v>
      </c>
      <c r="G23" s="28" t="s">
        <v>844</v>
      </c>
      <c r="H23" s="28" t="s">
        <v>135</v>
      </c>
      <c r="I23" s="28"/>
      <c r="J23" s="28"/>
      <c r="K23" s="28" t="s">
        <v>171</v>
      </c>
      <c r="L23" s="28" t="s">
        <v>794</v>
      </c>
      <c r="M23" s="28" t="s">
        <v>781</v>
      </c>
      <c r="N23" s="28"/>
    </row>
    <row r="24" ht="15.0" customHeight="1">
      <c r="A24" s="28" t="s">
        <v>877</v>
      </c>
      <c r="B24" s="28" t="s">
        <v>831</v>
      </c>
      <c r="C24" s="28" t="s">
        <v>878</v>
      </c>
      <c r="D24" s="28" t="s">
        <v>879</v>
      </c>
      <c r="E24" s="28" t="s">
        <v>880</v>
      </c>
      <c r="F24" s="28" t="s">
        <v>881</v>
      </c>
      <c r="G24" s="28" t="s">
        <v>92</v>
      </c>
      <c r="H24" s="28" t="s">
        <v>135</v>
      </c>
      <c r="I24" s="28"/>
      <c r="J24" s="28"/>
      <c r="K24" s="28" t="s">
        <v>882</v>
      </c>
      <c r="L24" s="28" t="s">
        <v>883</v>
      </c>
      <c r="M24" s="28" t="s">
        <v>773</v>
      </c>
      <c r="N24" s="28"/>
    </row>
    <row r="25" ht="26.25" customHeight="1">
      <c r="A25" s="28" t="s">
        <v>884</v>
      </c>
      <c r="B25" s="28" t="s">
        <v>831</v>
      </c>
      <c r="C25" s="28" t="s">
        <v>885</v>
      </c>
      <c r="D25" s="28" t="s">
        <v>886</v>
      </c>
      <c r="E25" s="28" t="s">
        <v>887</v>
      </c>
      <c r="F25" s="28" t="s">
        <v>888</v>
      </c>
      <c r="G25" s="28" t="s">
        <v>889</v>
      </c>
      <c r="H25" s="28" t="s">
        <v>135</v>
      </c>
      <c r="I25" s="28"/>
      <c r="J25" s="28"/>
      <c r="K25" s="28" t="s">
        <v>171</v>
      </c>
      <c r="L25" s="28" t="s">
        <v>890</v>
      </c>
      <c r="M25" s="28" t="s">
        <v>781</v>
      </c>
      <c r="N25" s="28"/>
    </row>
    <row r="26" ht="26.25" customHeight="1">
      <c r="A26" s="28" t="s">
        <v>891</v>
      </c>
      <c r="B26" s="28" t="s">
        <v>892</v>
      </c>
      <c r="C26" s="28" t="s">
        <v>893</v>
      </c>
      <c r="D26" s="28" t="s">
        <v>833</v>
      </c>
      <c r="E26" s="28" t="s">
        <v>894</v>
      </c>
      <c r="F26" s="28" t="s">
        <v>344</v>
      </c>
      <c r="G26" s="28" t="s">
        <v>895</v>
      </c>
      <c r="H26" s="28" t="s">
        <v>787</v>
      </c>
      <c r="I26" s="28" t="s">
        <v>893</v>
      </c>
      <c r="J26" s="28" t="s">
        <v>195</v>
      </c>
      <c r="K26" s="28"/>
      <c r="L26" s="28" t="s">
        <v>896</v>
      </c>
      <c r="M26" s="28" t="s">
        <v>897</v>
      </c>
      <c r="N26" s="28"/>
    </row>
    <row r="27" ht="26.25" customHeight="1">
      <c r="A27" s="28" t="s">
        <v>898</v>
      </c>
      <c r="B27" s="28" t="s">
        <v>892</v>
      </c>
      <c r="C27" s="28" t="s">
        <v>899</v>
      </c>
      <c r="D27" s="28" t="s">
        <v>833</v>
      </c>
      <c r="E27" s="28" t="s">
        <v>894</v>
      </c>
      <c r="F27" s="28" t="s">
        <v>344</v>
      </c>
      <c r="G27" s="28" t="s">
        <v>895</v>
      </c>
      <c r="H27" s="28" t="s">
        <v>787</v>
      </c>
      <c r="I27" s="28" t="s">
        <v>899</v>
      </c>
      <c r="J27" s="28" t="s">
        <v>195</v>
      </c>
      <c r="K27" s="28"/>
      <c r="L27" s="28" t="s">
        <v>896</v>
      </c>
      <c r="M27" s="28" t="s">
        <v>897</v>
      </c>
      <c r="N27" s="28"/>
    </row>
    <row r="28" ht="26.25" customHeight="1">
      <c r="A28" s="28" t="s">
        <v>900</v>
      </c>
      <c r="B28" s="28" t="s">
        <v>892</v>
      </c>
      <c r="C28" s="28" t="s">
        <v>901</v>
      </c>
      <c r="D28" s="28" t="s">
        <v>833</v>
      </c>
      <c r="E28" s="28" t="s">
        <v>894</v>
      </c>
      <c r="F28" s="28" t="s">
        <v>344</v>
      </c>
      <c r="G28" s="28" t="s">
        <v>895</v>
      </c>
      <c r="H28" s="28" t="s">
        <v>787</v>
      </c>
      <c r="I28" s="28" t="s">
        <v>901</v>
      </c>
      <c r="J28" s="28" t="s">
        <v>195</v>
      </c>
      <c r="K28" s="28"/>
      <c r="L28" s="28" t="s">
        <v>896</v>
      </c>
      <c r="M28" s="28" t="s">
        <v>897</v>
      </c>
      <c r="N28" s="28"/>
    </row>
    <row r="29" ht="26.25" customHeight="1">
      <c r="A29" s="28" t="s">
        <v>902</v>
      </c>
      <c r="B29" s="28" t="s">
        <v>892</v>
      </c>
      <c r="C29" s="28" t="s">
        <v>209</v>
      </c>
      <c r="D29" s="28" t="s">
        <v>833</v>
      </c>
      <c r="E29" s="28" t="s">
        <v>894</v>
      </c>
      <c r="F29" s="28" t="s">
        <v>344</v>
      </c>
      <c r="G29" s="28" t="s">
        <v>895</v>
      </c>
      <c r="H29" s="28" t="s">
        <v>787</v>
      </c>
      <c r="I29" s="28" t="s">
        <v>209</v>
      </c>
      <c r="J29" s="28" t="s">
        <v>195</v>
      </c>
      <c r="K29" s="28"/>
      <c r="L29" s="28" t="s">
        <v>896</v>
      </c>
      <c r="M29" s="28" t="s">
        <v>897</v>
      </c>
      <c r="N29" s="28"/>
    </row>
    <row r="30" ht="26.25" customHeight="1">
      <c r="A30" s="28" t="s">
        <v>903</v>
      </c>
      <c r="B30" s="28" t="s">
        <v>892</v>
      </c>
      <c r="C30" s="28" t="s">
        <v>904</v>
      </c>
      <c r="D30" s="28" t="s">
        <v>833</v>
      </c>
      <c r="E30" s="28" t="s">
        <v>894</v>
      </c>
      <c r="F30" s="28" t="s">
        <v>344</v>
      </c>
      <c r="G30" s="28" t="s">
        <v>895</v>
      </c>
      <c r="H30" s="28" t="s">
        <v>787</v>
      </c>
      <c r="I30" s="28" t="s">
        <v>904</v>
      </c>
      <c r="J30" s="28" t="s">
        <v>195</v>
      </c>
      <c r="K30" s="28"/>
      <c r="L30" s="28" t="s">
        <v>896</v>
      </c>
      <c r="M30" s="28" t="s">
        <v>897</v>
      </c>
      <c r="N30" s="28"/>
    </row>
    <row r="31" ht="26.25" customHeight="1">
      <c r="A31" s="28" t="s">
        <v>905</v>
      </c>
      <c r="B31" s="28" t="s">
        <v>892</v>
      </c>
      <c r="C31" s="28" t="s">
        <v>906</v>
      </c>
      <c r="D31" s="28" t="s">
        <v>833</v>
      </c>
      <c r="E31" s="28" t="s">
        <v>894</v>
      </c>
      <c r="F31" s="28" t="s">
        <v>344</v>
      </c>
      <c r="G31" s="28" t="s">
        <v>895</v>
      </c>
      <c r="H31" s="28" t="s">
        <v>787</v>
      </c>
      <c r="I31" s="28" t="s">
        <v>906</v>
      </c>
      <c r="J31" s="28" t="s">
        <v>195</v>
      </c>
      <c r="K31" s="28"/>
      <c r="L31" s="28" t="s">
        <v>896</v>
      </c>
      <c r="M31" s="28" t="s">
        <v>897</v>
      </c>
      <c r="N31" s="28"/>
    </row>
    <row r="32" ht="26.25" customHeight="1">
      <c r="A32" s="28" t="s">
        <v>907</v>
      </c>
      <c r="B32" s="28" t="s">
        <v>892</v>
      </c>
      <c r="C32" s="28" t="s">
        <v>908</v>
      </c>
      <c r="D32" s="28" t="s">
        <v>833</v>
      </c>
      <c r="E32" s="28" t="s">
        <v>894</v>
      </c>
      <c r="F32" s="28" t="s">
        <v>344</v>
      </c>
      <c r="G32" s="28" t="s">
        <v>895</v>
      </c>
      <c r="H32" s="28" t="s">
        <v>787</v>
      </c>
      <c r="I32" s="28" t="s">
        <v>908</v>
      </c>
      <c r="J32" s="28" t="s">
        <v>195</v>
      </c>
      <c r="K32" s="28"/>
      <c r="L32" s="28" t="s">
        <v>896</v>
      </c>
      <c r="M32" s="28" t="s">
        <v>897</v>
      </c>
      <c r="N32" s="28"/>
    </row>
    <row r="33" ht="26.25" customHeight="1">
      <c r="A33" s="28" t="s">
        <v>277</v>
      </c>
      <c r="B33" s="28" t="s">
        <v>909</v>
      </c>
      <c r="C33" s="28" t="s">
        <v>910</v>
      </c>
      <c r="D33" s="28" t="s">
        <v>311</v>
      </c>
      <c r="E33" s="28" t="s">
        <v>911</v>
      </c>
      <c r="F33" s="28" t="s">
        <v>344</v>
      </c>
      <c r="G33" s="28" t="s">
        <v>912</v>
      </c>
      <c r="H33" s="28" t="s">
        <v>913</v>
      </c>
      <c r="I33" s="28"/>
      <c r="J33" s="28"/>
      <c r="K33" s="28" t="s">
        <v>914</v>
      </c>
      <c r="L33" s="28" t="s">
        <v>915</v>
      </c>
      <c r="M33" s="28" t="s">
        <v>773</v>
      </c>
      <c r="N33" s="28"/>
    </row>
    <row r="34" ht="26.25" customHeight="1">
      <c r="A34" s="28" t="s">
        <v>308</v>
      </c>
      <c r="B34" s="28" t="s">
        <v>909</v>
      </c>
      <c r="C34" s="28" t="s">
        <v>916</v>
      </c>
      <c r="D34" s="28" t="s">
        <v>311</v>
      </c>
      <c r="E34" s="28" t="s">
        <v>911</v>
      </c>
      <c r="F34" s="28" t="s">
        <v>344</v>
      </c>
      <c r="G34" s="28" t="s">
        <v>912</v>
      </c>
      <c r="H34" s="28" t="s">
        <v>913</v>
      </c>
      <c r="I34" s="28"/>
      <c r="J34" s="28"/>
      <c r="K34" s="28" t="s">
        <v>917</v>
      </c>
      <c r="L34" s="28" t="s">
        <v>915</v>
      </c>
      <c r="M34" s="28" t="s">
        <v>773</v>
      </c>
      <c r="N34" s="28"/>
    </row>
    <row r="35" ht="26.25" customHeight="1">
      <c r="A35" s="28" t="s">
        <v>312</v>
      </c>
      <c r="B35" s="28" t="s">
        <v>909</v>
      </c>
      <c r="C35" s="28" t="s">
        <v>313</v>
      </c>
      <c r="D35" s="28" t="s">
        <v>311</v>
      </c>
      <c r="E35" s="28" t="s">
        <v>911</v>
      </c>
      <c r="F35" s="28" t="s">
        <v>344</v>
      </c>
      <c r="G35" s="28" t="s">
        <v>912</v>
      </c>
      <c r="H35" s="28" t="s">
        <v>913</v>
      </c>
      <c r="I35" s="28"/>
      <c r="J35" s="28"/>
      <c r="K35" s="28" t="s">
        <v>918</v>
      </c>
      <c r="L35" s="28" t="s">
        <v>915</v>
      </c>
      <c r="M35" s="28" t="s">
        <v>773</v>
      </c>
      <c r="N35" s="28"/>
    </row>
    <row r="36" ht="26.25" customHeight="1">
      <c r="A36" s="28" t="s">
        <v>316</v>
      </c>
      <c r="B36" s="28" t="s">
        <v>909</v>
      </c>
      <c r="C36" s="28" t="s">
        <v>317</v>
      </c>
      <c r="D36" s="28" t="s">
        <v>311</v>
      </c>
      <c r="E36" s="28" t="s">
        <v>911</v>
      </c>
      <c r="F36" s="28" t="s">
        <v>344</v>
      </c>
      <c r="G36" s="28" t="s">
        <v>912</v>
      </c>
      <c r="H36" s="28" t="s">
        <v>913</v>
      </c>
      <c r="I36" s="28"/>
      <c r="J36" s="28"/>
      <c r="K36" s="28" t="s">
        <v>919</v>
      </c>
      <c r="L36" s="28" t="s">
        <v>915</v>
      </c>
      <c r="M36" s="28" t="s">
        <v>773</v>
      </c>
      <c r="N36" s="28"/>
    </row>
    <row r="37" ht="26.25" customHeight="1">
      <c r="A37" s="28" t="s">
        <v>325</v>
      </c>
      <c r="B37" s="28" t="s">
        <v>909</v>
      </c>
      <c r="C37" s="28" t="s">
        <v>920</v>
      </c>
      <c r="D37" s="28" t="s">
        <v>311</v>
      </c>
      <c r="E37" s="28" t="s">
        <v>911</v>
      </c>
      <c r="F37" s="28" t="s">
        <v>344</v>
      </c>
      <c r="G37" s="28" t="s">
        <v>912</v>
      </c>
      <c r="H37" s="28" t="s">
        <v>913</v>
      </c>
      <c r="I37" s="28"/>
      <c r="J37" s="28"/>
      <c r="K37" s="28" t="s">
        <v>921</v>
      </c>
      <c r="L37" s="28" t="s">
        <v>922</v>
      </c>
      <c r="M37" s="28" t="s">
        <v>773</v>
      </c>
      <c r="N37" s="28"/>
    </row>
    <row r="38" ht="26.25" customHeight="1">
      <c r="A38" s="28" t="s">
        <v>336</v>
      </c>
      <c r="B38" s="28" t="s">
        <v>909</v>
      </c>
      <c r="C38" s="28" t="s">
        <v>337</v>
      </c>
      <c r="D38" s="28" t="s">
        <v>311</v>
      </c>
      <c r="E38" s="28" t="s">
        <v>911</v>
      </c>
      <c r="F38" s="28" t="s">
        <v>344</v>
      </c>
      <c r="G38" s="28" t="s">
        <v>912</v>
      </c>
      <c r="H38" s="28" t="s">
        <v>913</v>
      </c>
      <c r="I38" s="28"/>
      <c r="J38" s="28"/>
      <c r="K38" s="28" t="s">
        <v>923</v>
      </c>
      <c r="L38" s="28" t="s">
        <v>915</v>
      </c>
      <c r="M38" s="28" t="s">
        <v>773</v>
      </c>
      <c r="N38" s="28"/>
    </row>
    <row r="39" ht="26.25" customHeight="1">
      <c r="A39" s="28" t="s">
        <v>341</v>
      </c>
      <c r="B39" s="28" t="s">
        <v>909</v>
      </c>
      <c r="C39" s="28" t="s">
        <v>343</v>
      </c>
      <c r="D39" s="28" t="s">
        <v>311</v>
      </c>
      <c r="E39" s="28" t="s">
        <v>911</v>
      </c>
      <c r="F39" s="28" t="s">
        <v>344</v>
      </c>
      <c r="G39" s="28" t="s">
        <v>912</v>
      </c>
      <c r="H39" s="28" t="s">
        <v>913</v>
      </c>
      <c r="I39" s="28"/>
      <c r="J39" s="28"/>
      <c r="K39" s="28" t="s">
        <v>924</v>
      </c>
      <c r="L39" s="28" t="s">
        <v>915</v>
      </c>
      <c r="M39" s="28" t="s">
        <v>773</v>
      </c>
      <c r="N39" s="28"/>
    </row>
    <row r="40" ht="15.0" customHeight="1">
      <c r="A40" s="28" t="s">
        <v>925</v>
      </c>
      <c r="B40" s="28" t="s">
        <v>926</v>
      </c>
      <c r="C40" s="28" t="s">
        <v>553</v>
      </c>
      <c r="D40" s="28" t="s">
        <v>927</v>
      </c>
      <c r="E40" s="28" t="s">
        <v>928</v>
      </c>
      <c r="F40" s="28" t="s">
        <v>29</v>
      </c>
      <c r="G40" s="28" t="s">
        <v>929</v>
      </c>
      <c r="H40" s="28" t="s">
        <v>930</v>
      </c>
      <c r="I40" s="28" t="s">
        <v>550</v>
      </c>
      <c r="J40" s="28" t="s">
        <v>549</v>
      </c>
      <c r="K40" s="28" t="s">
        <v>458</v>
      </c>
      <c r="L40" s="28" t="s">
        <v>931</v>
      </c>
      <c r="M40" s="28" t="s">
        <v>932</v>
      </c>
      <c r="N40" s="28"/>
    </row>
    <row r="41" ht="15.0" customHeight="1">
      <c r="A41" s="28" t="s">
        <v>933</v>
      </c>
      <c r="B41" s="28" t="s">
        <v>926</v>
      </c>
      <c r="C41" s="28" t="s">
        <v>934</v>
      </c>
      <c r="D41" s="28" t="s">
        <v>927</v>
      </c>
      <c r="E41" s="28" t="s">
        <v>928</v>
      </c>
      <c r="F41" s="28" t="s">
        <v>29</v>
      </c>
      <c r="G41" s="28" t="s">
        <v>929</v>
      </c>
      <c r="H41" s="28" t="s">
        <v>930</v>
      </c>
      <c r="I41" s="28" t="s">
        <v>550</v>
      </c>
      <c r="J41" s="28" t="s">
        <v>549</v>
      </c>
      <c r="K41" s="28" t="s">
        <v>458</v>
      </c>
      <c r="L41" s="28" t="s">
        <v>931</v>
      </c>
      <c r="M41" s="28" t="s">
        <v>932</v>
      </c>
      <c r="N41" s="28"/>
    </row>
    <row r="42" ht="15.0" customHeight="1">
      <c r="A42" s="28" t="s">
        <v>935</v>
      </c>
      <c r="B42" s="28" t="s">
        <v>926</v>
      </c>
      <c r="C42" s="28" t="s">
        <v>556</v>
      </c>
      <c r="D42" s="28" t="s">
        <v>927</v>
      </c>
      <c r="E42" s="28" t="s">
        <v>936</v>
      </c>
      <c r="F42" s="28" t="s">
        <v>29</v>
      </c>
      <c r="G42" s="28" t="s">
        <v>937</v>
      </c>
      <c r="H42" s="28" t="s">
        <v>930</v>
      </c>
      <c r="I42" s="28" t="s">
        <v>550</v>
      </c>
      <c r="J42" s="28" t="s">
        <v>549</v>
      </c>
      <c r="K42" s="28" t="s">
        <v>458</v>
      </c>
      <c r="L42" s="28" t="s">
        <v>931</v>
      </c>
      <c r="M42" s="28" t="s">
        <v>932</v>
      </c>
      <c r="N42" s="28"/>
    </row>
    <row r="43" ht="15.0" customHeight="1">
      <c r="A43" s="28" t="s">
        <v>938</v>
      </c>
      <c r="B43" s="28" t="s">
        <v>926</v>
      </c>
      <c r="C43" s="28" t="s">
        <v>557</v>
      </c>
      <c r="D43" s="28" t="s">
        <v>927</v>
      </c>
      <c r="E43" s="28" t="s">
        <v>928</v>
      </c>
      <c r="F43" s="28" t="s">
        <v>29</v>
      </c>
      <c r="G43" s="28" t="s">
        <v>929</v>
      </c>
      <c r="H43" s="28" t="s">
        <v>930</v>
      </c>
      <c r="I43" s="28" t="s">
        <v>550</v>
      </c>
      <c r="J43" s="28" t="s">
        <v>549</v>
      </c>
      <c r="K43" s="28" t="s">
        <v>458</v>
      </c>
      <c r="L43" s="28" t="s">
        <v>931</v>
      </c>
      <c r="M43" s="28" t="s">
        <v>932</v>
      </c>
      <c r="N43" s="28"/>
    </row>
    <row r="44" ht="15.0" customHeight="1">
      <c r="A44" s="28" t="s">
        <v>366</v>
      </c>
      <c r="B44" s="28" t="s">
        <v>939</v>
      </c>
      <c r="C44" s="28" t="s">
        <v>940</v>
      </c>
      <c r="D44" s="28" t="s">
        <v>941</v>
      </c>
      <c r="E44" s="28" t="s">
        <v>942</v>
      </c>
      <c r="F44" s="28" t="s">
        <v>29</v>
      </c>
      <c r="G44" s="28" t="s">
        <v>943</v>
      </c>
      <c r="H44" s="28" t="s">
        <v>944</v>
      </c>
      <c r="I44" s="28" t="s">
        <v>945</v>
      </c>
      <c r="J44" s="28" t="s">
        <v>946</v>
      </c>
      <c r="K44" s="28" t="s">
        <v>947</v>
      </c>
      <c r="L44" s="28" t="s">
        <v>948</v>
      </c>
      <c r="M44" s="28" t="s">
        <v>949</v>
      </c>
      <c r="N44" s="28" t="s">
        <v>950</v>
      </c>
    </row>
    <row r="45" ht="26.25" customHeight="1">
      <c r="A45" s="28" t="s">
        <v>951</v>
      </c>
      <c r="B45" s="28" t="s">
        <v>952</v>
      </c>
      <c r="C45" s="28" t="s">
        <v>953</v>
      </c>
      <c r="D45" s="28" t="s">
        <v>954</v>
      </c>
      <c r="E45" s="28" t="s">
        <v>955</v>
      </c>
      <c r="F45" s="28" t="s">
        <v>956</v>
      </c>
      <c r="G45" s="28" t="s">
        <v>92</v>
      </c>
      <c r="H45" s="28" t="s">
        <v>135</v>
      </c>
      <c r="I45" s="28"/>
      <c r="J45" s="28"/>
      <c r="K45" s="28" t="s">
        <v>957</v>
      </c>
      <c r="L45" s="28" t="s">
        <v>958</v>
      </c>
      <c r="M45" s="28" t="s">
        <v>959</v>
      </c>
      <c r="N45" s="28"/>
    </row>
    <row r="46" ht="26.25" customHeight="1">
      <c r="A46" s="28" t="s">
        <v>960</v>
      </c>
      <c r="B46" s="28" t="s">
        <v>952</v>
      </c>
      <c r="C46" s="28" t="s">
        <v>961</v>
      </c>
      <c r="D46" s="28" t="s">
        <v>954</v>
      </c>
      <c r="E46" s="28" t="s">
        <v>955</v>
      </c>
      <c r="F46" s="28" t="s">
        <v>956</v>
      </c>
      <c r="G46" s="28" t="s">
        <v>92</v>
      </c>
      <c r="H46" s="28" t="s">
        <v>135</v>
      </c>
      <c r="I46" s="28"/>
      <c r="J46" s="28"/>
      <c r="K46" s="28" t="s">
        <v>957</v>
      </c>
      <c r="L46" s="28" t="s">
        <v>958</v>
      </c>
      <c r="M46" s="28" t="s">
        <v>959</v>
      </c>
      <c r="N46" s="28"/>
    </row>
    <row r="47" ht="26.25" customHeight="1">
      <c r="A47" s="28" t="s">
        <v>962</v>
      </c>
      <c r="B47" s="28" t="s">
        <v>952</v>
      </c>
      <c r="C47" s="28" t="s">
        <v>963</v>
      </c>
      <c r="D47" s="28" t="s">
        <v>954</v>
      </c>
      <c r="E47" s="28" t="s">
        <v>955</v>
      </c>
      <c r="F47" s="28" t="s">
        <v>956</v>
      </c>
      <c r="G47" s="28" t="s">
        <v>92</v>
      </c>
      <c r="H47" s="28" t="s">
        <v>135</v>
      </c>
      <c r="I47" s="28"/>
      <c r="J47" s="28"/>
      <c r="K47" s="28" t="s">
        <v>957</v>
      </c>
      <c r="L47" s="28" t="s">
        <v>958</v>
      </c>
      <c r="M47" s="28" t="s">
        <v>959</v>
      </c>
      <c r="N47" s="28"/>
    </row>
    <row r="48" ht="26.25" customHeight="1">
      <c r="A48" s="28" t="s">
        <v>964</v>
      </c>
      <c r="B48" s="28" t="s">
        <v>952</v>
      </c>
      <c r="C48" s="28" t="s">
        <v>965</v>
      </c>
      <c r="D48" s="28" t="s">
        <v>954</v>
      </c>
      <c r="E48" s="28" t="s">
        <v>955</v>
      </c>
      <c r="F48" s="28" t="s">
        <v>956</v>
      </c>
      <c r="G48" s="28" t="s">
        <v>92</v>
      </c>
      <c r="H48" s="28" t="s">
        <v>135</v>
      </c>
      <c r="I48" s="28"/>
      <c r="J48" s="28"/>
      <c r="K48" s="28" t="s">
        <v>957</v>
      </c>
      <c r="L48" s="28" t="s">
        <v>958</v>
      </c>
      <c r="M48" s="28" t="s">
        <v>959</v>
      </c>
      <c r="N48" s="28"/>
    </row>
    <row r="49" ht="26.25" customHeight="1">
      <c r="A49" s="28" t="s">
        <v>966</v>
      </c>
      <c r="B49" s="28" t="s">
        <v>952</v>
      </c>
      <c r="C49" s="28" t="s">
        <v>967</v>
      </c>
      <c r="D49" s="28" t="s">
        <v>954</v>
      </c>
      <c r="E49" s="28" t="s">
        <v>955</v>
      </c>
      <c r="F49" s="28" t="s">
        <v>956</v>
      </c>
      <c r="G49" s="28" t="s">
        <v>92</v>
      </c>
      <c r="H49" s="28" t="s">
        <v>135</v>
      </c>
      <c r="I49" s="28"/>
      <c r="J49" s="28"/>
      <c r="K49" s="28" t="s">
        <v>957</v>
      </c>
      <c r="L49" s="28" t="s">
        <v>958</v>
      </c>
      <c r="M49" s="28" t="s">
        <v>959</v>
      </c>
      <c r="N49" s="28"/>
    </row>
    <row r="50" ht="26.25" customHeight="1">
      <c r="A50" s="28" t="s">
        <v>968</v>
      </c>
      <c r="B50" s="28" t="s">
        <v>952</v>
      </c>
      <c r="C50" s="28" t="s">
        <v>656</v>
      </c>
      <c r="D50" s="28" t="s">
        <v>954</v>
      </c>
      <c r="E50" s="28" t="s">
        <v>955</v>
      </c>
      <c r="F50" s="28" t="s">
        <v>956</v>
      </c>
      <c r="G50" s="28" t="s">
        <v>92</v>
      </c>
      <c r="H50" s="28" t="s">
        <v>135</v>
      </c>
      <c r="I50" s="28"/>
      <c r="J50" s="28"/>
      <c r="K50" s="28" t="s">
        <v>957</v>
      </c>
      <c r="L50" s="28" t="s">
        <v>958</v>
      </c>
      <c r="M50" s="28" t="s">
        <v>959</v>
      </c>
      <c r="N50" s="28"/>
    </row>
    <row r="51" ht="26.25" customHeight="1">
      <c r="A51" s="28" t="s">
        <v>661</v>
      </c>
      <c r="B51" s="29" t="s">
        <v>969</v>
      </c>
      <c r="C51" s="29" t="s">
        <v>970</v>
      </c>
      <c r="D51" s="29" t="s">
        <v>971</v>
      </c>
      <c r="E51" s="29" t="s">
        <v>972</v>
      </c>
      <c r="F51" s="29" t="s">
        <v>956</v>
      </c>
      <c r="G51" s="29" t="s">
        <v>92</v>
      </c>
      <c r="H51" s="29" t="s">
        <v>973</v>
      </c>
      <c r="I51" s="29"/>
      <c r="J51" s="29"/>
      <c r="K51" s="29" t="s">
        <v>974</v>
      </c>
      <c r="L51" s="29" t="s">
        <v>975</v>
      </c>
      <c r="M51" s="29" t="s">
        <v>773</v>
      </c>
      <c r="N51" s="28"/>
    </row>
    <row r="52" ht="26.25" customHeight="1">
      <c r="A52" s="28" t="s">
        <v>664</v>
      </c>
      <c r="B52" s="29" t="s">
        <v>969</v>
      </c>
      <c r="C52" s="29" t="s">
        <v>976</v>
      </c>
      <c r="D52" s="29" t="s">
        <v>977</v>
      </c>
      <c r="E52" s="29" t="s">
        <v>978</v>
      </c>
      <c r="F52" s="29" t="s">
        <v>979</v>
      </c>
      <c r="G52" s="29" t="s">
        <v>980</v>
      </c>
      <c r="H52" s="29" t="s">
        <v>981</v>
      </c>
      <c r="I52" s="29" t="s">
        <v>982</v>
      </c>
      <c r="J52" s="29" t="s">
        <v>983</v>
      </c>
      <c r="K52" s="29" t="s">
        <v>974</v>
      </c>
      <c r="L52" s="29" t="s">
        <v>984</v>
      </c>
      <c r="M52" s="29" t="s">
        <v>773</v>
      </c>
      <c r="N52" s="28"/>
    </row>
    <row r="53" ht="26.25" customHeight="1">
      <c r="A53" s="28" t="s">
        <v>669</v>
      </c>
      <c r="B53" s="29" t="s">
        <v>969</v>
      </c>
      <c r="C53" s="29" t="s">
        <v>985</v>
      </c>
      <c r="D53" s="29" t="s">
        <v>986</v>
      </c>
      <c r="E53" s="29" t="s">
        <v>987</v>
      </c>
      <c r="F53" s="29" t="s">
        <v>344</v>
      </c>
      <c r="G53" s="29" t="s">
        <v>988</v>
      </c>
      <c r="H53" s="29" t="s">
        <v>989</v>
      </c>
      <c r="I53" s="29" t="s">
        <v>990</v>
      </c>
      <c r="J53" s="29" t="s">
        <v>991</v>
      </c>
      <c r="K53" s="29" t="s">
        <v>974</v>
      </c>
      <c r="L53" s="29" t="s">
        <v>992</v>
      </c>
      <c r="M53" s="29" t="s">
        <v>773</v>
      </c>
      <c r="N53" s="28"/>
    </row>
    <row r="54" ht="26.25" customHeight="1">
      <c r="A54" s="28" t="s">
        <v>673</v>
      </c>
      <c r="B54" s="29" t="s">
        <v>969</v>
      </c>
      <c r="C54" s="29" t="s">
        <v>993</v>
      </c>
      <c r="D54" s="29" t="s">
        <v>994</v>
      </c>
      <c r="E54" s="29" t="s">
        <v>995</v>
      </c>
      <c r="F54" s="29" t="s">
        <v>956</v>
      </c>
      <c r="G54" s="29" t="s">
        <v>996</v>
      </c>
      <c r="H54" s="29" t="s">
        <v>973</v>
      </c>
      <c r="I54" s="29"/>
      <c r="J54" s="29"/>
      <c r="K54" s="29" t="s">
        <v>974</v>
      </c>
      <c r="L54" s="29" t="s">
        <v>997</v>
      </c>
      <c r="M54" s="29" t="s">
        <v>773</v>
      </c>
      <c r="N54" s="28"/>
    </row>
    <row r="55" ht="26.25" customHeight="1">
      <c r="A55" s="28" t="s">
        <v>678</v>
      </c>
      <c r="B55" s="29" t="s">
        <v>969</v>
      </c>
      <c r="C55" s="29" t="s">
        <v>998</v>
      </c>
      <c r="D55" s="29" t="s">
        <v>763</v>
      </c>
      <c r="E55" s="29" t="s">
        <v>999</v>
      </c>
      <c r="F55" s="29" t="s">
        <v>29</v>
      </c>
      <c r="G55" s="29" t="s">
        <v>816</v>
      </c>
      <c r="H55" s="29" t="s">
        <v>1000</v>
      </c>
      <c r="I55" s="29" t="s">
        <v>1001</v>
      </c>
      <c r="J55" s="29" t="s">
        <v>1002</v>
      </c>
      <c r="K55" s="29" t="s">
        <v>974</v>
      </c>
      <c r="L55" s="29" t="s">
        <v>1003</v>
      </c>
      <c r="M55" s="29" t="s">
        <v>773</v>
      </c>
      <c r="N55" s="28"/>
    </row>
    <row r="56" ht="26.25" customHeight="1">
      <c r="A56" s="28" t="s">
        <v>682</v>
      </c>
      <c r="B56" s="29" t="s">
        <v>969</v>
      </c>
      <c r="C56" s="29" t="s">
        <v>1004</v>
      </c>
      <c r="D56" s="29" t="s">
        <v>1005</v>
      </c>
      <c r="E56" s="29" t="s">
        <v>1006</v>
      </c>
      <c r="F56" s="29" t="s">
        <v>979</v>
      </c>
      <c r="G56" s="29" t="s">
        <v>1007</v>
      </c>
      <c r="H56" s="29" t="s">
        <v>1008</v>
      </c>
      <c r="I56" s="29" t="s">
        <v>1009</v>
      </c>
      <c r="J56" s="29" t="s">
        <v>1007</v>
      </c>
      <c r="K56" s="29" t="s">
        <v>974</v>
      </c>
      <c r="L56" s="29" t="s">
        <v>1010</v>
      </c>
      <c r="M56" s="29" t="s">
        <v>773</v>
      </c>
      <c r="N56" s="28"/>
    </row>
    <row r="57" ht="26.25" customHeight="1">
      <c r="A57" s="28" t="s">
        <v>1011</v>
      </c>
      <c r="B57" s="29" t="s">
        <v>1012</v>
      </c>
      <c r="C57" s="29" t="s">
        <v>700</v>
      </c>
      <c r="D57" s="29" t="s">
        <v>1013</v>
      </c>
      <c r="E57" s="29" t="s">
        <v>1014</v>
      </c>
      <c r="F57" s="29" t="s">
        <v>956</v>
      </c>
      <c r="G57" s="29" t="s">
        <v>92</v>
      </c>
      <c r="H57" s="29" t="s">
        <v>1015</v>
      </c>
      <c r="I57" s="29"/>
      <c r="J57" s="29"/>
      <c r="K57" s="29" t="s">
        <v>174</v>
      </c>
      <c r="L57" s="29" t="s">
        <v>1016</v>
      </c>
      <c r="M57" s="29" t="s">
        <v>1017</v>
      </c>
      <c r="N57" s="28"/>
    </row>
    <row r="58" ht="26.25" customHeight="1">
      <c r="A58" s="28" t="s">
        <v>1018</v>
      </c>
      <c r="B58" s="29" t="s">
        <v>1012</v>
      </c>
      <c r="C58" s="29" t="s">
        <v>702</v>
      </c>
      <c r="D58" s="29" t="s">
        <v>1019</v>
      </c>
      <c r="E58" s="29" t="s">
        <v>995</v>
      </c>
      <c r="F58" s="29" t="s">
        <v>956</v>
      </c>
      <c r="G58" s="29" t="s">
        <v>92</v>
      </c>
      <c r="H58" s="29" t="s">
        <v>1020</v>
      </c>
      <c r="I58" s="29"/>
      <c r="J58" s="29"/>
      <c r="K58" s="29" t="s">
        <v>1021</v>
      </c>
      <c r="L58" s="29" t="s">
        <v>1022</v>
      </c>
      <c r="M58" s="29" t="s">
        <v>1017</v>
      </c>
      <c r="N58" s="28"/>
    </row>
    <row r="59" ht="26.25" customHeight="1">
      <c r="A59" s="28" t="s">
        <v>1023</v>
      </c>
      <c r="B59" s="29" t="s">
        <v>1012</v>
      </c>
      <c r="C59" s="29" t="s">
        <v>705</v>
      </c>
      <c r="D59" s="29" t="s">
        <v>1019</v>
      </c>
      <c r="E59" s="29" t="s">
        <v>995</v>
      </c>
      <c r="F59" s="29" t="s">
        <v>956</v>
      </c>
      <c r="G59" s="29" t="s">
        <v>92</v>
      </c>
      <c r="H59" s="29" t="s">
        <v>1020</v>
      </c>
      <c r="I59" s="29"/>
      <c r="J59" s="29"/>
      <c r="K59" s="29" t="s">
        <v>1021</v>
      </c>
      <c r="L59" s="29" t="s">
        <v>1024</v>
      </c>
      <c r="M59" s="29" t="s">
        <v>1017</v>
      </c>
      <c r="N59" s="28"/>
    </row>
    <row r="60" ht="26.25" customHeight="1">
      <c r="A60" s="28" t="s">
        <v>1025</v>
      </c>
      <c r="B60" s="29" t="s">
        <v>1012</v>
      </c>
      <c r="C60" s="29" t="s">
        <v>708</v>
      </c>
      <c r="D60" s="29" t="s">
        <v>1026</v>
      </c>
      <c r="E60" s="29" t="s">
        <v>1027</v>
      </c>
      <c r="F60" s="29" t="s">
        <v>956</v>
      </c>
      <c r="G60" s="29" t="s">
        <v>92</v>
      </c>
      <c r="H60" s="29" t="s">
        <v>1020</v>
      </c>
      <c r="I60" s="29"/>
      <c r="J60" s="29"/>
      <c r="K60" s="29" t="s">
        <v>1021</v>
      </c>
      <c r="L60" s="29" t="s">
        <v>1022</v>
      </c>
      <c r="M60" s="29" t="s">
        <v>1017</v>
      </c>
      <c r="N60" s="28"/>
    </row>
    <row r="61" ht="26.25" customHeight="1">
      <c r="A61" s="28" t="s">
        <v>1028</v>
      </c>
      <c r="B61" s="29" t="s">
        <v>1012</v>
      </c>
      <c r="C61" s="29" t="s">
        <v>712</v>
      </c>
      <c r="D61" s="29" t="s">
        <v>1029</v>
      </c>
      <c r="E61" s="29" t="s">
        <v>1030</v>
      </c>
      <c r="F61" s="29" t="s">
        <v>344</v>
      </c>
      <c r="G61" s="29" t="s">
        <v>92</v>
      </c>
      <c r="H61" s="29" t="s">
        <v>1020</v>
      </c>
      <c r="I61" s="29"/>
      <c r="J61" s="29"/>
      <c r="K61" s="29" t="s">
        <v>174</v>
      </c>
      <c r="L61" s="29" t="s">
        <v>1031</v>
      </c>
      <c r="M61" s="29" t="s">
        <v>1017</v>
      </c>
      <c r="N61" s="28"/>
    </row>
    <row r="62" ht="39.0" customHeight="1">
      <c r="A62" s="28" t="s">
        <v>1032</v>
      </c>
      <c r="B62" s="29" t="s">
        <v>1012</v>
      </c>
      <c r="C62" s="29" t="s">
        <v>716</v>
      </c>
      <c r="D62" s="29" t="s">
        <v>1033</v>
      </c>
      <c r="E62" s="29" t="s">
        <v>1034</v>
      </c>
      <c r="F62" s="29" t="s">
        <v>29</v>
      </c>
      <c r="G62" s="29" t="s">
        <v>1035</v>
      </c>
      <c r="H62" s="29" t="s">
        <v>1036</v>
      </c>
      <c r="I62" s="29"/>
      <c r="J62" s="29"/>
      <c r="K62" s="29" t="s">
        <v>1037</v>
      </c>
      <c r="L62" s="29" t="s">
        <v>1038</v>
      </c>
      <c r="M62" s="29" t="s">
        <v>1017</v>
      </c>
      <c r="N62" s="28"/>
    </row>
    <row r="63" ht="15.75" customHeight="1">
      <c r="A63" s="174" t="s">
        <v>1039</v>
      </c>
      <c r="B63" s="29" t="s">
        <v>1012</v>
      </c>
      <c r="C63" s="29" t="s">
        <v>718</v>
      </c>
      <c r="D63" s="29" t="s">
        <v>977</v>
      </c>
      <c r="E63" s="29" t="s">
        <v>1040</v>
      </c>
      <c r="F63" s="29" t="s">
        <v>979</v>
      </c>
      <c r="G63" s="29" t="s">
        <v>1041</v>
      </c>
      <c r="H63" s="29" t="s">
        <v>1015</v>
      </c>
      <c r="I63" s="29"/>
      <c r="J63" s="29"/>
      <c r="K63" s="29" t="s">
        <v>174</v>
      </c>
      <c r="L63" s="29" t="s">
        <v>1042</v>
      </c>
      <c r="M63" s="29" t="s">
        <v>1017</v>
      </c>
    </row>
    <row r="64" ht="15.75" customHeight="1">
      <c r="A64" s="174" t="s">
        <v>1043</v>
      </c>
      <c r="B64" s="29" t="s">
        <v>1012</v>
      </c>
      <c r="C64" s="29" t="s">
        <v>722</v>
      </c>
      <c r="D64" s="29" t="s">
        <v>1044</v>
      </c>
      <c r="E64" s="29" t="s">
        <v>1045</v>
      </c>
      <c r="F64" s="29" t="s">
        <v>979</v>
      </c>
      <c r="G64" s="29" t="s">
        <v>1035</v>
      </c>
      <c r="H64" s="29" t="s">
        <v>1046</v>
      </c>
      <c r="I64" s="29"/>
      <c r="J64" s="29"/>
      <c r="K64" s="29" t="s">
        <v>1047</v>
      </c>
      <c r="L64" s="29" t="s">
        <v>1048</v>
      </c>
      <c r="M64" s="29" t="s">
        <v>1017</v>
      </c>
    </row>
    <row r="65" ht="15.75" customHeight="1">
      <c r="A65" s="29" t="s">
        <v>1049</v>
      </c>
      <c r="B65" s="29" t="s">
        <v>1050</v>
      </c>
      <c r="C65" s="29" t="s">
        <v>304</v>
      </c>
      <c r="D65" s="29" t="s">
        <v>1051</v>
      </c>
      <c r="E65" s="29" t="s">
        <v>1052</v>
      </c>
      <c r="F65" s="29" t="s">
        <v>1053</v>
      </c>
      <c r="G65" s="29" t="s">
        <v>1054</v>
      </c>
      <c r="H65" s="29" t="s">
        <v>1055</v>
      </c>
      <c r="I65" s="29" t="s">
        <v>304</v>
      </c>
      <c r="J65" s="29" t="s">
        <v>1056</v>
      </c>
      <c r="K65" s="29" t="s">
        <v>174</v>
      </c>
      <c r="L65" s="29" t="s">
        <v>1038</v>
      </c>
      <c r="M65" s="29" t="s">
        <v>1057</v>
      </c>
      <c r="N65" s="29" t="s">
        <v>1058</v>
      </c>
    </row>
    <row r="66" ht="15.75" customHeight="1">
      <c r="A66" s="29" t="s">
        <v>1059</v>
      </c>
      <c r="B66" s="29" t="s">
        <v>1050</v>
      </c>
      <c r="C66" s="29" t="s">
        <v>307</v>
      </c>
      <c r="D66" s="29" t="s">
        <v>1051</v>
      </c>
      <c r="E66" s="29" t="s">
        <v>1052</v>
      </c>
      <c r="F66" s="29" t="s">
        <v>1053</v>
      </c>
      <c r="G66" s="29" t="s">
        <v>1054</v>
      </c>
      <c r="H66" s="29" t="s">
        <v>1055</v>
      </c>
      <c r="I66" s="29" t="s">
        <v>307</v>
      </c>
      <c r="J66" s="29" t="s">
        <v>1056</v>
      </c>
      <c r="K66" s="29" t="s">
        <v>174</v>
      </c>
      <c r="L66" s="29" t="s">
        <v>1038</v>
      </c>
      <c r="M66" s="29" t="s">
        <v>1057</v>
      </c>
      <c r="N66" s="29" t="s">
        <v>1058</v>
      </c>
    </row>
    <row r="67" ht="15.75" customHeight="1">
      <c r="A67" s="29" t="s">
        <v>1060</v>
      </c>
      <c r="B67" s="29" t="s">
        <v>1050</v>
      </c>
      <c r="C67" s="29" t="s">
        <v>315</v>
      </c>
      <c r="D67" s="29" t="s">
        <v>1051</v>
      </c>
      <c r="E67" s="29" t="s">
        <v>1052</v>
      </c>
      <c r="F67" s="29" t="s">
        <v>1053</v>
      </c>
      <c r="G67" s="29" t="s">
        <v>1054</v>
      </c>
      <c r="H67" s="29" t="s">
        <v>1055</v>
      </c>
      <c r="I67" s="29" t="s">
        <v>315</v>
      </c>
      <c r="J67" s="29" t="s">
        <v>1056</v>
      </c>
      <c r="K67" s="29" t="s">
        <v>174</v>
      </c>
      <c r="L67" s="29" t="s">
        <v>1038</v>
      </c>
      <c r="M67" s="29" t="s">
        <v>1057</v>
      </c>
      <c r="N67" s="29" t="s">
        <v>1058</v>
      </c>
    </row>
    <row r="68" ht="15.75" customHeight="1">
      <c r="A68" s="29" t="s">
        <v>1061</v>
      </c>
      <c r="B68" s="29" t="s">
        <v>1050</v>
      </c>
      <c r="C68" s="29" t="s">
        <v>318</v>
      </c>
      <c r="D68" s="29" t="s">
        <v>1051</v>
      </c>
      <c r="E68" s="29" t="s">
        <v>1052</v>
      </c>
      <c r="F68" s="29" t="s">
        <v>1053</v>
      </c>
      <c r="G68" s="29" t="s">
        <v>1054</v>
      </c>
      <c r="H68" s="29" t="s">
        <v>1055</v>
      </c>
      <c r="I68" s="29" t="s">
        <v>1062</v>
      </c>
      <c r="J68" s="29" t="s">
        <v>1056</v>
      </c>
      <c r="K68" s="29" t="s">
        <v>174</v>
      </c>
      <c r="L68" s="29" t="s">
        <v>1038</v>
      </c>
      <c r="M68" s="29" t="s">
        <v>1057</v>
      </c>
      <c r="N68" s="29" t="s">
        <v>1058</v>
      </c>
    </row>
    <row r="69" ht="15.75" customHeight="1">
      <c r="A69" s="29" t="s">
        <v>288</v>
      </c>
      <c r="B69" s="29" t="s">
        <v>909</v>
      </c>
      <c r="C69" s="29" t="s">
        <v>1063</v>
      </c>
      <c r="D69" s="29" t="s">
        <v>1064</v>
      </c>
      <c r="E69" s="29" t="s">
        <v>1065</v>
      </c>
      <c r="F69" s="29" t="s">
        <v>29</v>
      </c>
      <c r="G69" s="29" t="s">
        <v>1066</v>
      </c>
      <c r="H69" s="29" t="s">
        <v>1067</v>
      </c>
      <c r="I69" s="29"/>
      <c r="J69" s="29"/>
      <c r="K69" s="29" t="s">
        <v>974</v>
      </c>
      <c r="L69" s="29" t="s">
        <v>1068</v>
      </c>
      <c r="M69" s="29" t="s">
        <v>773</v>
      </c>
      <c r="N69" s="29"/>
    </row>
    <row r="70" ht="15.75" customHeight="1">
      <c r="A70" s="29" t="s">
        <v>294</v>
      </c>
      <c r="B70" s="29" t="s">
        <v>909</v>
      </c>
      <c r="C70" s="29" t="s">
        <v>1069</v>
      </c>
      <c r="D70" s="29" t="s">
        <v>1070</v>
      </c>
      <c r="E70" s="29" t="s">
        <v>1071</v>
      </c>
      <c r="F70" s="29" t="s">
        <v>29</v>
      </c>
      <c r="G70" s="29" t="s">
        <v>1072</v>
      </c>
      <c r="H70" s="29" t="s">
        <v>1073</v>
      </c>
      <c r="I70" s="29" t="s">
        <v>1074</v>
      </c>
      <c r="J70" s="29" t="s">
        <v>1075</v>
      </c>
      <c r="K70" s="29" t="s">
        <v>974</v>
      </c>
      <c r="L70" s="29" t="s">
        <v>1076</v>
      </c>
      <c r="M70" s="29" t="s">
        <v>773</v>
      </c>
      <c r="N70" s="29"/>
    </row>
    <row r="71" ht="15.75" customHeight="1">
      <c r="A71" s="29" t="s">
        <v>301</v>
      </c>
      <c r="B71" s="29" t="s">
        <v>909</v>
      </c>
      <c r="C71" s="29" t="s">
        <v>1077</v>
      </c>
      <c r="D71" s="29" t="s">
        <v>941</v>
      </c>
      <c r="E71" s="29" t="s">
        <v>1078</v>
      </c>
      <c r="F71" s="29" t="s">
        <v>29</v>
      </c>
      <c r="G71" s="29" t="s">
        <v>1079</v>
      </c>
      <c r="H71" s="29" t="s">
        <v>1080</v>
      </c>
      <c r="I71" s="29" t="s">
        <v>1081</v>
      </c>
      <c r="J71" s="29" t="s">
        <v>1082</v>
      </c>
      <c r="K71" s="29" t="s">
        <v>974</v>
      </c>
      <c r="L71" s="29" t="s">
        <v>1083</v>
      </c>
      <c r="M71" s="29" t="s">
        <v>773</v>
      </c>
      <c r="N71" s="29"/>
    </row>
    <row r="72" ht="15.75" customHeight="1">
      <c r="A72" s="29" t="s">
        <v>373</v>
      </c>
      <c r="B72" s="29" t="s">
        <v>909</v>
      </c>
      <c r="C72" s="29" t="s">
        <v>1084</v>
      </c>
      <c r="D72" s="29" t="s">
        <v>763</v>
      </c>
      <c r="E72" s="29" t="s">
        <v>1085</v>
      </c>
      <c r="F72" s="29" t="s">
        <v>1086</v>
      </c>
      <c r="G72" s="29" t="s">
        <v>1087</v>
      </c>
      <c r="H72" s="29" t="s">
        <v>1088</v>
      </c>
      <c r="I72" s="29" t="s">
        <v>1089</v>
      </c>
      <c r="J72" s="29" t="s">
        <v>1090</v>
      </c>
      <c r="K72" s="29" t="s">
        <v>458</v>
      </c>
      <c r="L72" s="29" t="s">
        <v>1091</v>
      </c>
      <c r="M72" s="29" t="s">
        <v>773</v>
      </c>
      <c r="N72" s="29"/>
    </row>
    <row r="73" ht="15.75" customHeight="1">
      <c r="A73" s="29" t="s">
        <v>1092</v>
      </c>
      <c r="B73" s="29" t="s">
        <v>1093</v>
      </c>
      <c r="C73" s="29" t="s">
        <v>1094</v>
      </c>
      <c r="D73" s="29" t="s">
        <v>1095</v>
      </c>
      <c r="E73" s="29" t="s">
        <v>1096</v>
      </c>
      <c r="F73" s="29" t="s">
        <v>340</v>
      </c>
      <c r="G73" s="29" t="s">
        <v>92</v>
      </c>
      <c r="H73" s="29" t="s">
        <v>1097</v>
      </c>
      <c r="I73" s="29"/>
      <c r="J73" s="29"/>
      <c r="K73" s="29" t="s">
        <v>1098</v>
      </c>
      <c r="L73" s="29" t="s">
        <v>1099</v>
      </c>
      <c r="M73" s="29" t="s">
        <v>1100</v>
      </c>
      <c r="N73" s="29"/>
    </row>
    <row r="74" ht="15.75" customHeight="1">
      <c r="A74" s="29" t="s">
        <v>1101</v>
      </c>
      <c r="B74" s="29" t="s">
        <v>1093</v>
      </c>
      <c r="C74" s="29" t="s">
        <v>1102</v>
      </c>
      <c r="D74" s="29" t="s">
        <v>1095</v>
      </c>
      <c r="E74" s="29" t="s">
        <v>1096</v>
      </c>
      <c r="F74" s="29" t="s">
        <v>340</v>
      </c>
      <c r="G74" s="29" t="s">
        <v>92</v>
      </c>
      <c r="H74" s="29" t="s">
        <v>1097</v>
      </c>
      <c r="I74" s="29"/>
      <c r="J74" s="29"/>
      <c r="K74" s="29" t="s">
        <v>1103</v>
      </c>
      <c r="L74" s="29" t="s">
        <v>1099</v>
      </c>
      <c r="M74" s="29" t="s">
        <v>1100</v>
      </c>
      <c r="N74" s="29"/>
    </row>
    <row r="75" ht="15.75" customHeight="1">
      <c r="A75" s="29" t="s">
        <v>1104</v>
      </c>
      <c r="B75" s="29" t="s">
        <v>1093</v>
      </c>
      <c r="C75" s="29" t="s">
        <v>1105</v>
      </c>
      <c r="D75" s="29" t="s">
        <v>1095</v>
      </c>
      <c r="E75" s="29" t="s">
        <v>1096</v>
      </c>
      <c r="F75" s="29" t="s">
        <v>340</v>
      </c>
      <c r="G75" s="29" t="s">
        <v>92</v>
      </c>
      <c r="H75" s="29" t="s">
        <v>1097</v>
      </c>
      <c r="I75" s="29"/>
      <c r="J75" s="29"/>
      <c r="K75" s="29" t="s">
        <v>1106</v>
      </c>
      <c r="L75" s="29" t="s">
        <v>1099</v>
      </c>
      <c r="M75" s="29" t="s">
        <v>1100</v>
      </c>
      <c r="N75" s="29"/>
    </row>
    <row r="76" ht="15.75" customHeight="1">
      <c r="A76" s="29" t="s">
        <v>1107</v>
      </c>
      <c r="B76" s="29" t="s">
        <v>1108</v>
      </c>
      <c r="C76" s="29" t="s">
        <v>407</v>
      </c>
      <c r="D76" s="29" t="s">
        <v>415</v>
      </c>
      <c r="E76" s="29" t="s">
        <v>1109</v>
      </c>
      <c r="F76" s="29" t="s">
        <v>1110</v>
      </c>
      <c r="G76" s="29" t="s">
        <v>92</v>
      </c>
      <c r="H76" s="29" t="s">
        <v>1111</v>
      </c>
      <c r="I76" s="29" t="s">
        <v>408</v>
      </c>
      <c r="J76" s="29" t="s">
        <v>409</v>
      </c>
      <c r="K76" s="29" t="s">
        <v>1112</v>
      </c>
      <c r="L76" s="29" t="s">
        <v>1113</v>
      </c>
      <c r="M76" s="29" t="s">
        <v>174</v>
      </c>
      <c r="N76" s="29"/>
    </row>
    <row r="77" ht="15.75" customHeight="1">
      <c r="A77" s="29" t="s">
        <v>1114</v>
      </c>
      <c r="B77" s="29" t="s">
        <v>1108</v>
      </c>
      <c r="C77" s="29" t="s">
        <v>417</v>
      </c>
      <c r="D77" s="29" t="s">
        <v>423</v>
      </c>
      <c r="E77" s="29" t="s">
        <v>1115</v>
      </c>
      <c r="F77" s="29" t="s">
        <v>1110</v>
      </c>
      <c r="G77" s="29" t="s">
        <v>92</v>
      </c>
      <c r="H77" s="29" t="s">
        <v>1116</v>
      </c>
      <c r="I77" s="29" t="s">
        <v>418</v>
      </c>
      <c r="J77" s="29" t="s">
        <v>419</v>
      </c>
      <c r="K77" s="29" t="s">
        <v>1112</v>
      </c>
      <c r="L77" s="29" t="s">
        <v>1113</v>
      </c>
      <c r="M77" s="29" t="s">
        <v>174</v>
      </c>
      <c r="N77" s="29"/>
    </row>
    <row r="78" ht="15.75" customHeight="1">
      <c r="A78" s="29" t="s">
        <v>1117</v>
      </c>
      <c r="B78" s="29" t="s">
        <v>1108</v>
      </c>
      <c r="C78" s="29" t="s">
        <v>1118</v>
      </c>
      <c r="D78" s="29" t="s">
        <v>850</v>
      </c>
      <c r="E78" s="29" t="s">
        <v>1119</v>
      </c>
      <c r="F78" s="29" t="s">
        <v>1110</v>
      </c>
      <c r="G78" s="29" t="s">
        <v>92</v>
      </c>
      <c r="H78" s="29" t="s">
        <v>1120</v>
      </c>
      <c r="I78" s="29"/>
      <c r="J78" s="29"/>
      <c r="K78" s="29" t="s">
        <v>1121</v>
      </c>
      <c r="L78" s="29" t="s">
        <v>1122</v>
      </c>
      <c r="M78" s="29" t="s">
        <v>174</v>
      </c>
      <c r="N78" s="29" t="s">
        <v>1123</v>
      </c>
    </row>
    <row r="79" ht="15.75" customHeight="1">
      <c r="A79" s="29" t="s">
        <v>1124</v>
      </c>
      <c r="B79" s="29" t="s">
        <v>1108</v>
      </c>
      <c r="C79" s="29" t="s">
        <v>1125</v>
      </c>
      <c r="D79" s="29" t="s">
        <v>850</v>
      </c>
      <c r="E79" s="29" t="s">
        <v>1119</v>
      </c>
      <c r="F79" s="29" t="s">
        <v>1110</v>
      </c>
      <c r="G79" s="29" t="s">
        <v>92</v>
      </c>
      <c r="H79" s="29" t="s">
        <v>1020</v>
      </c>
      <c r="I79" s="29"/>
      <c r="J79" s="29"/>
      <c r="K79" s="29" t="s">
        <v>1121</v>
      </c>
      <c r="L79" s="29" t="s">
        <v>1122</v>
      </c>
      <c r="M79" s="29" t="s">
        <v>174</v>
      </c>
      <c r="N79" s="29" t="s">
        <v>1126</v>
      </c>
    </row>
    <row r="80" ht="15.75" customHeight="1">
      <c r="A80" s="29" t="s">
        <v>1127</v>
      </c>
      <c r="B80" s="29" t="s">
        <v>1108</v>
      </c>
      <c r="C80" s="29" t="s">
        <v>439</v>
      </c>
      <c r="D80" s="29" t="s">
        <v>423</v>
      </c>
      <c r="E80" s="29" t="s">
        <v>1128</v>
      </c>
      <c r="F80" s="29" t="s">
        <v>1110</v>
      </c>
      <c r="G80" s="29" t="s">
        <v>92</v>
      </c>
      <c r="H80" s="29" t="s">
        <v>1116</v>
      </c>
      <c r="I80" s="29" t="s">
        <v>440</v>
      </c>
      <c r="J80" s="29" t="s">
        <v>419</v>
      </c>
      <c r="K80" s="29" t="s">
        <v>1112</v>
      </c>
      <c r="L80" s="29" t="s">
        <v>1122</v>
      </c>
      <c r="M80" s="29" t="s">
        <v>174</v>
      </c>
      <c r="N80" s="29"/>
    </row>
    <row r="81" ht="15.75" customHeight="1">
      <c r="A81" s="29" t="s">
        <v>1129</v>
      </c>
      <c r="B81" s="29" t="s">
        <v>1130</v>
      </c>
      <c r="C81" s="29" t="s">
        <v>1131</v>
      </c>
      <c r="D81" s="29" t="s">
        <v>1132</v>
      </c>
      <c r="E81" s="29" t="s">
        <v>1133</v>
      </c>
      <c r="F81" s="29" t="s">
        <v>1134</v>
      </c>
      <c r="G81" s="29" t="s">
        <v>1035</v>
      </c>
      <c r="H81" s="29" t="s">
        <v>1135</v>
      </c>
      <c r="I81" s="29"/>
      <c r="J81" s="29"/>
      <c r="K81" s="29" t="s">
        <v>1136</v>
      </c>
      <c r="L81" s="29" t="s">
        <v>1137</v>
      </c>
      <c r="M81" s="29" t="s">
        <v>1138</v>
      </c>
      <c r="N81" s="29"/>
    </row>
    <row r="82" ht="15.75" customHeight="1">
      <c r="A82" s="29" t="s">
        <v>1139</v>
      </c>
      <c r="B82" s="29" t="s">
        <v>1140</v>
      </c>
      <c r="C82" s="29" t="s">
        <v>1141</v>
      </c>
      <c r="D82" s="29" t="s">
        <v>850</v>
      </c>
      <c r="E82" s="29" t="s">
        <v>1142</v>
      </c>
      <c r="F82" s="29" t="s">
        <v>1143</v>
      </c>
      <c r="G82" s="29" t="s">
        <v>1035</v>
      </c>
      <c r="H82" s="29" t="s">
        <v>1135</v>
      </c>
      <c r="I82" s="29"/>
      <c r="J82" s="29"/>
      <c r="K82" s="29" t="s">
        <v>1144</v>
      </c>
      <c r="L82" s="29" t="s">
        <v>1145</v>
      </c>
      <c r="M82" s="29" t="s">
        <v>1146</v>
      </c>
      <c r="N82" s="29"/>
    </row>
    <row r="83" ht="15.75" customHeight="1">
      <c r="A83" s="29" t="s">
        <v>1147</v>
      </c>
      <c r="B83" s="29" t="s">
        <v>1148</v>
      </c>
      <c r="C83" s="29" t="s">
        <v>1149</v>
      </c>
      <c r="D83" s="29" t="s">
        <v>1150</v>
      </c>
      <c r="E83" s="29" t="s">
        <v>1151</v>
      </c>
      <c r="F83" s="29" t="s">
        <v>1152</v>
      </c>
      <c r="G83" s="29" t="s">
        <v>1153</v>
      </c>
      <c r="H83" s="29" t="s">
        <v>535</v>
      </c>
      <c r="I83" s="29"/>
      <c r="J83" s="29"/>
      <c r="K83" s="29" t="s">
        <v>1154</v>
      </c>
      <c r="L83" s="29" t="s">
        <v>1155</v>
      </c>
      <c r="M83" s="29" t="s">
        <v>1156</v>
      </c>
      <c r="N83" s="29" t="s">
        <v>1157</v>
      </c>
    </row>
    <row r="84" ht="36.0" customHeight="1">
      <c r="A84" s="29" t="s">
        <v>1158</v>
      </c>
      <c r="B84" s="29" t="s">
        <v>1159</v>
      </c>
      <c r="C84" s="29" t="s">
        <v>448</v>
      </c>
      <c r="D84" s="29" t="s">
        <v>1160</v>
      </c>
      <c r="E84" s="29" t="s">
        <v>1161</v>
      </c>
      <c r="F84" s="29" t="s">
        <v>1162</v>
      </c>
      <c r="G84" s="29" t="s">
        <v>1163</v>
      </c>
      <c r="H84" s="29" t="s">
        <v>1015</v>
      </c>
      <c r="I84" s="29" t="s">
        <v>1164</v>
      </c>
      <c r="J84" s="29" t="s">
        <v>1165</v>
      </c>
      <c r="K84" s="29" t="s">
        <v>1166</v>
      </c>
      <c r="L84" s="29" t="s">
        <v>1167</v>
      </c>
      <c r="M84" s="29" t="s">
        <v>1168</v>
      </c>
      <c r="N84" s="29" t="s">
        <v>1169</v>
      </c>
    </row>
    <row r="85" ht="24.0" customHeight="1">
      <c r="A85" s="29" t="s">
        <v>1170</v>
      </c>
      <c r="B85" s="29" t="s">
        <v>1159</v>
      </c>
      <c r="C85" s="29" t="s">
        <v>1171</v>
      </c>
      <c r="D85" s="29" t="s">
        <v>1172</v>
      </c>
      <c r="E85" s="29" t="s">
        <v>1173</v>
      </c>
      <c r="F85" s="29" t="s">
        <v>344</v>
      </c>
      <c r="G85" s="29" t="s">
        <v>1035</v>
      </c>
      <c r="H85" s="29" t="s">
        <v>135</v>
      </c>
      <c r="I85" s="29" t="s">
        <v>1174</v>
      </c>
      <c r="J85" s="29"/>
      <c r="K85" s="29" t="s">
        <v>1175</v>
      </c>
      <c r="L85" s="29" t="s">
        <v>1176</v>
      </c>
      <c r="M85" s="29" t="s">
        <v>174</v>
      </c>
      <c r="N85" s="29" t="s">
        <v>1177</v>
      </c>
    </row>
    <row r="86" ht="24.0" customHeight="1">
      <c r="A86" s="29" t="s">
        <v>1178</v>
      </c>
      <c r="B86" s="29" t="s">
        <v>1179</v>
      </c>
      <c r="C86" s="29" t="s">
        <v>457</v>
      </c>
      <c r="D86" s="29" t="s">
        <v>1180</v>
      </c>
      <c r="E86" s="29" t="s">
        <v>1181</v>
      </c>
      <c r="F86" s="29" t="s">
        <v>342</v>
      </c>
      <c r="G86" s="29" t="s">
        <v>1182</v>
      </c>
      <c r="H86" s="29" t="s">
        <v>1015</v>
      </c>
      <c r="I86" s="29" t="s">
        <v>1183</v>
      </c>
      <c r="J86" s="29" t="s">
        <v>1184</v>
      </c>
      <c r="K86" s="29" t="s">
        <v>458</v>
      </c>
      <c r="L86" s="29" t="s">
        <v>1185</v>
      </c>
      <c r="M86" s="29" t="s">
        <v>1186</v>
      </c>
      <c r="N86" s="29" t="s">
        <v>1169</v>
      </c>
    </row>
    <row r="87" ht="15.0" customHeight="1">
      <c r="A87" s="29" t="s">
        <v>1187</v>
      </c>
      <c r="B87" s="29" t="s">
        <v>1179</v>
      </c>
      <c r="C87" s="29" t="s">
        <v>460</v>
      </c>
      <c r="D87" s="29" t="s">
        <v>1180</v>
      </c>
      <c r="E87" s="29" t="s">
        <v>1188</v>
      </c>
      <c r="F87" s="29" t="s">
        <v>342</v>
      </c>
      <c r="G87" s="29" t="s">
        <v>1189</v>
      </c>
      <c r="H87" s="29" t="s">
        <v>1190</v>
      </c>
      <c r="I87" s="29"/>
      <c r="J87" s="29"/>
      <c r="K87" s="29" t="s">
        <v>461</v>
      </c>
      <c r="L87" s="29" t="s">
        <v>1185</v>
      </c>
      <c r="M87" s="29" t="s">
        <v>1191</v>
      </c>
      <c r="N87" s="29"/>
    </row>
    <row r="88" ht="15.0" customHeight="1">
      <c r="A88" s="29" t="s">
        <v>1192</v>
      </c>
      <c r="B88" s="29" t="s">
        <v>1179</v>
      </c>
      <c r="C88" s="29" t="s">
        <v>463</v>
      </c>
      <c r="D88" s="29" t="s">
        <v>1180</v>
      </c>
      <c r="E88" s="29" t="s">
        <v>1188</v>
      </c>
      <c r="F88" s="29" t="s">
        <v>342</v>
      </c>
      <c r="G88" s="29" t="s">
        <v>1193</v>
      </c>
      <c r="H88" s="29" t="s">
        <v>1194</v>
      </c>
      <c r="I88" s="29"/>
      <c r="J88" s="29"/>
      <c r="K88" s="29" t="s">
        <v>1195</v>
      </c>
      <c r="L88" s="29" t="s">
        <v>1185</v>
      </c>
      <c r="M88" s="29" t="s">
        <v>1191</v>
      </c>
      <c r="N88" s="29"/>
    </row>
    <row r="89" ht="15.0" customHeight="1">
      <c r="A89" s="29" t="s">
        <v>1196</v>
      </c>
      <c r="B89" s="29" t="s">
        <v>1179</v>
      </c>
      <c r="C89" s="29" t="s">
        <v>465</v>
      </c>
      <c r="D89" s="29" t="s">
        <v>1180</v>
      </c>
      <c r="E89" s="29" t="s">
        <v>1188</v>
      </c>
      <c r="F89" s="29" t="s">
        <v>342</v>
      </c>
      <c r="G89" s="29" t="s">
        <v>1197</v>
      </c>
      <c r="H89" s="29" t="s">
        <v>1194</v>
      </c>
      <c r="I89" s="29"/>
      <c r="J89" s="29"/>
      <c r="K89" s="29" t="s">
        <v>1198</v>
      </c>
      <c r="L89" s="29" t="s">
        <v>1185</v>
      </c>
      <c r="M89" s="29" t="s">
        <v>1191</v>
      </c>
      <c r="N89" s="29"/>
    </row>
    <row r="90" ht="24.0" customHeight="1">
      <c r="A90" s="29" t="s">
        <v>1199</v>
      </c>
      <c r="B90" s="29" t="s">
        <v>1179</v>
      </c>
      <c r="C90" s="29" t="s">
        <v>468</v>
      </c>
      <c r="D90" s="29" t="s">
        <v>1180</v>
      </c>
      <c r="E90" s="29" t="s">
        <v>470</v>
      </c>
      <c r="F90" s="29" t="s">
        <v>342</v>
      </c>
      <c r="G90" s="29" t="s">
        <v>1200</v>
      </c>
      <c r="H90" s="29" t="s">
        <v>1201</v>
      </c>
      <c r="I90" s="29"/>
      <c r="J90" s="29"/>
      <c r="K90" s="29" t="s">
        <v>469</v>
      </c>
      <c r="L90" s="29" t="s">
        <v>1202</v>
      </c>
      <c r="M90" s="29" t="s">
        <v>1203</v>
      </c>
      <c r="N90" s="29" t="s">
        <v>1204</v>
      </c>
    </row>
    <row r="91" ht="24.0" customHeight="1">
      <c r="A91" s="29" t="s">
        <v>1205</v>
      </c>
      <c r="B91" s="29" t="s">
        <v>1179</v>
      </c>
      <c r="C91" s="29" t="s">
        <v>471</v>
      </c>
      <c r="D91" s="29" t="s">
        <v>1180</v>
      </c>
      <c r="E91" s="29" t="s">
        <v>1206</v>
      </c>
      <c r="F91" s="29" t="s">
        <v>342</v>
      </c>
      <c r="G91" s="29" t="s">
        <v>1207</v>
      </c>
      <c r="H91" s="29" t="s">
        <v>1015</v>
      </c>
      <c r="I91" s="29" t="s">
        <v>1208</v>
      </c>
      <c r="J91" s="29" t="s">
        <v>1209</v>
      </c>
      <c r="K91" s="29" t="s">
        <v>1210</v>
      </c>
      <c r="L91" s="29" t="s">
        <v>1185</v>
      </c>
      <c r="M91" s="29" t="s">
        <v>1211</v>
      </c>
      <c r="N91" s="29"/>
    </row>
    <row r="92" ht="24.0" customHeight="1">
      <c r="A92" s="29" t="s">
        <v>1212</v>
      </c>
      <c r="B92" s="29" t="s">
        <v>1179</v>
      </c>
      <c r="C92" s="29" t="s">
        <v>474</v>
      </c>
      <c r="D92" s="29" t="s">
        <v>814</v>
      </c>
      <c r="E92" s="29" t="s">
        <v>1213</v>
      </c>
      <c r="F92" s="29" t="s">
        <v>1214</v>
      </c>
      <c r="G92" s="29" t="s">
        <v>1035</v>
      </c>
      <c r="H92" s="29" t="s">
        <v>163</v>
      </c>
      <c r="I92" s="29"/>
      <c r="J92" s="29"/>
      <c r="K92" s="29" t="s">
        <v>1215</v>
      </c>
      <c r="L92" s="29" t="s">
        <v>1216</v>
      </c>
      <c r="M92" s="29" t="s">
        <v>1217</v>
      </c>
      <c r="N92" s="29" t="s">
        <v>1218</v>
      </c>
    </row>
    <row r="93" ht="24.0" customHeight="1">
      <c r="A93" s="29" t="s">
        <v>1219</v>
      </c>
      <c r="B93" s="29" t="s">
        <v>1220</v>
      </c>
      <c r="C93" s="29" t="s">
        <v>485</v>
      </c>
      <c r="D93" s="29" t="s">
        <v>1221</v>
      </c>
      <c r="E93" s="29" t="s">
        <v>486</v>
      </c>
      <c r="F93" s="29" t="s">
        <v>1222</v>
      </c>
      <c r="G93" s="29" t="s">
        <v>92</v>
      </c>
      <c r="H93" s="29" t="s">
        <v>135</v>
      </c>
      <c r="I93" s="29"/>
      <c r="J93" s="29"/>
      <c r="K93" s="29" t="s">
        <v>1223</v>
      </c>
      <c r="L93" s="29" t="s">
        <v>1224</v>
      </c>
      <c r="M93" s="29" t="s">
        <v>1225</v>
      </c>
      <c r="N93" s="29" t="s">
        <v>1226</v>
      </c>
    </row>
    <row r="94" ht="24.0" customHeight="1">
      <c r="A94" s="29" t="s">
        <v>1227</v>
      </c>
      <c r="B94" s="29" t="s">
        <v>1220</v>
      </c>
      <c r="C94" s="29" t="s">
        <v>490</v>
      </c>
      <c r="D94" s="29" t="s">
        <v>1221</v>
      </c>
      <c r="E94" s="29" t="s">
        <v>491</v>
      </c>
      <c r="F94" s="29" t="s">
        <v>1222</v>
      </c>
      <c r="G94" s="29" t="s">
        <v>92</v>
      </c>
      <c r="H94" s="29" t="s">
        <v>135</v>
      </c>
      <c r="I94" s="29"/>
      <c r="J94" s="29"/>
      <c r="K94" s="29" t="s">
        <v>1223</v>
      </c>
      <c r="L94" s="29" t="s">
        <v>1224</v>
      </c>
      <c r="M94" s="29" t="s">
        <v>1225</v>
      </c>
      <c r="N94" s="29" t="s">
        <v>1226</v>
      </c>
    </row>
    <row r="95" ht="24.0" customHeight="1">
      <c r="A95" s="29" t="s">
        <v>1228</v>
      </c>
      <c r="B95" s="29" t="s">
        <v>1220</v>
      </c>
      <c r="C95" s="29" t="s">
        <v>496</v>
      </c>
      <c r="D95" s="29" t="s">
        <v>1221</v>
      </c>
      <c r="E95" s="29" t="s">
        <v>497</v>
      </c>
      <c r="F95" s="29" t="s">
        <v>1222</v>
      </c>
      <c r="G95" s="29" t="s">
        <v>92</v>
      </c>
      <c r="H95" s="29" t="s">
        <v>135</v>
      </c>
      <c r="I95" s="29"/>
      <c r="J95" s="29"/>
      <c r="K95" s="29" t="s">
        <v>1223</v>
      </c>
      <c r="L95" s="29" t="s">
        <v>1224</v>
      </c>
      <c r="M95" s="29" t="s">
        <v>1225</v>
      </c>
      <c r="N95" s="29" t="s">
        <v>1226</v>
      </c>
    </row>
    <row r="96" ht="24.0" customHeight="1">
      <c r="A96" s="29" t="s">
        <v>1229</v>
      </c>
      <c r="B96" s="29" t="s">
        <v>1220</v>
      </c>
      <c r="C96" s="29" t="s">
        <v>499</v>
      </c>
      <c r="D96" s="29" t="s">
        <v>1221</v>
      </c>
      <c r="E96" s="29" t="s">
        <v>501</v>
      </c>
      <c r="F96" s="29" t="s">
        <v>1222</v>
      </c>
      <c r="G96" s="29" t="s">
        <v>92</v>
      </c>
      <c r="H96" s="29" t="s">
        <v>1230</v>
      </c>
      <c r="I96" s="29"/>
      <c r="J96" s="29"/>
      <c r="K96" s="29" t="s">
        <v>1223</v>
      </c>
      <c r="L96" s="29" t="s">
        <v>1224</v>
      </c>
      <c r="M96" s="29" t="s">
        <v>1225</v>
      </c>
      <c r="N96" s="29" t="s">
        <v>1226</v>
      </c>
    </row>
    <row r="97" ht="24.0" customHeight="1">
      <c r="A97" s="29" t="s">
        <v>1231</v>
      </c>
      <c r="B97" s="29" t="s">
        <v>1220</v>
      </c>
      <c r="C97" s="29" t="s">
        <v>502</v>
      </c>
      <c r="D97" s="29" t="s">
        <v>1221</v>
      </c>
      <c r="E97" s="29" t="s">
        <v>501</v>
      </c>
      <c r="F97" s="29" t="s">
        <v>1222</v>
      </c>
      <c r="G97" s="29" t="s">
        <v>92</v>
      </c>
      <c r="H97" s="29" t="s">
        <v>1232</v>
      </c>
      <c r="I97" s="29"/>
      <c r="J97" s="29"/>
      <c r="K97" s="29" t="s">
        <v>1223</v>
      </c>
      <c r="L97" s="29" t="s">
        <v>1224</v>
      </c>
      <c r="M97" s="29" t="s">
        <v>1225</v>
      </c>
      <c r="N97" s="29" t="s">
        <v>1226</v>
      </c>
    </row>
    <row r="98" ht="24.0" customHeight="1">
      <c r="A98" s="29" t="s">
        <v>1233</v>
      </c>
      <c r="B98" s="29" t="s">
        <v>1220</v>
      </c>
      <c r="C98" s="29" t="s">
        <v>504</v>
      </c>
      <c r="D98" s="29" t="s">
        <v>1221</v>
      </c>
      <c r="E98" s="29" t="s">
        <v>1234</v>
      </c>
      <c r="F98" s="29" t="s">
        <v>1222</v>
      </c>
      <c r="G98" s="29" t="s">
        <v>92</v>
      </c>
      <c r="H98" s="29" t="s">
        <v>135</v>
      </c>
      <c r="I98" s="29"/>
      <c r="J98" s="29"/>
      <c r="K98" s="29" t="s">
        <v>1223</v>
      </c>
      <c r="L98" s="29" t="s">
        <v>1224</v>
      </c>
      <c r="M98" s="29" t="s">
        <v>1225</v>
      </c>
      <c r="N98" s="29" t="s">
        <v>1226</v>
      </c>
    </row>
    <row r="99" ht="24.0" customHeight="1">
      <c r="A99" s="29" t="s">
        <v>1235</v>
      </c>
      <c r="B99" s="29" t="s">
        <v>1220</v>
      </c>
      <c r="C99" s="29" t="s">
        <v>508</v>
      </c>
      <c r="D99" s="29" t="s">
        <v>1221</v>
      </c>
      <c r="E99" s="29" t="s">
        <v>509</v>
      </c>
      <c r="F99" s="29" t="s">
        <v>1222</v>
      </c>
      <c r="G99" s="29" t="s">
        <v>92</v>
      </c>
      <c r="H99" s="29" t="s">
        <v>1236</v>
      </c>
      <c r="I99" s="29"/>
      <c r="J99" s="29"/>
      <c r="K99" s="29" t="s">
        <v>1223</v>
      </c>
      <c r="L99" s="29" t="s">
        <v>1224</v>
      </c>
      <c r="M99" s="29" t="s">
        <v>1225</v>
      </c>
      <c r="N99" s="29" t="s">
        <v>1226</v>
      </c>
    </row>
    <row r="100" ht="24.0" customHeight="1">
      <c r="A100" s="29" t="s">
        <v>1237</v>
      </c>
      <c r="B100" s="29" t="s">
        <v>1220</v>
      </c>
      <c r="C100" s="29" t="s">
        <v>510</v>
      </c>
      <c r="D100" s="29" t="s">
        <v>1221</v>
      </c>
      <c r="E100" s="29" t="s">
        <v>511</v>
      </c>
      <c r="F100" s="29" t="s">
        <v>1222</v>
      </c>
      <c r="G100" s="29" t="s">
        <v>92</v>
      </c>
      <c r="H100" s="29" t="s">
        <v>135</v>
      </c>
      <c r="I100" s="29"/>
      <c r="J100" s="29"/>
      <c r="K100" s="29" t="s">
        <v>1223</v>
      </c>
      <c r="L100" s="29" t="s">
        <v>1224</v>
      </c>
      <c r="M100" s="29" t="s">
        <v>1225</v>
      </c>
      <c r="N100" s="29" t="s">
        <v>1226</v>
      </c>
    </row>
    <row r="101" ht="24.0" customHeight="1">
      <c r="A101" s="29" t="s">
        <v>1238</v>
      </c>
      <c r="B101" s="29" t="s">
        <v>1220</v>
      </c>
      <c r="C101" s="29" t="s">
        <v>512</v>
      </c>
      <c r="D101" s="29" t="s">
        <v>1221</v>
      </c>
      <c r="E101" s="29" t="s">
        <v>513</v>
      </c>
      <c r="F101" s="29" t="s">
        <v>1222</v>
      </c>
      <c r="G101" s="29" t="s">
        <v>92</v>
      </c>
      <c r="H101" s="29" t="s">
        <v>135</v>
      </c>
      <c r="I101" s="29"/>
      <c r="J101" s="29"/>
      <c r="K101" s="29" t="s">
        <v>1223</v>
      </c>
      <c r="L101" s="29" t="s">
        <v>1224</v>
      </c>
      <c r="M101" s="29" t="s">
        <v>1225</v>
      </c>
      <c r="N101" s="29" t="s">
        <v>1226</v>
      </c>
    </row>
    <row r="102" ht="24.0" customHeight="1">
      <c r="A102" s="29" t="s">
        <v>1239</v>
      </c>
      <c r="B102" s="29" t="s">
        <v>1220</v>
      </c>
      <c r="C102" s="29" t="s">
        <v>515</v>
      </c>
      <c r="D102" s="29" t="s">
        <v>1221</v>
      </c>
      <c r="E102" s="29" t="s">
        <v>1240</v>
      </c>
      <c r="F102" s="29" t="s">
        <v>1222</v>
      </c>
      <c r="G102" s="29" t="s">
        <v>92</v>
      </c>
      <c r="H102" s="29" t="s">
        <v>135</v>
      </c>
      <c r="I102" s="29"/>
      <c r="J102" s="29"/>
      <c r="K102" s="29" t="s">
        <v>1223</v>
      </c>
      <c r="L102" s="29" t="s">
        <v>1224</v>
      </c>
      <c r="M102" s="29" t="s">
        <v>1225</v>
      </c>
      <c r="N102" s="29" t="s">
        <v>1226</v>
      </c>
    </row>
    <row r="103" ht="24.0" customHeight="1">
      <c r="A103" s="29" t="s">
        <v>1241</v>
      </c>
      <c r="B103" s="29" t="s">
        <v>1220</v>
      </c>
      <c r="C103" s="29" t="s">
        <v>518</v>
      </c>
      <c r="D103" s="29" t="s">
        <v>1221</v>
      </c>
      <c r="E103" s="29" t="s">
        <v>519</v>
      </c>
      <c r="F103" s="29" t="s">
        <v>1222</v>
      </c>
      <c r="G103" s="29" t="s">
        <v>92</v>
      </c>
      <c r="H103" s="29" t="s">
        <v>135</v>
      </c>
      <c r="I103" s="29"/>
      <c r="J103" s="29"/>
      <c r="K103" s="29" t="s">
        <v>1223</v>
      </c>
      <c r="L103" s="29" t="s">
        <v>1224</v>
      </c>
      <c r="M103" s="29" t="s">
        <v>1225</v>
      </c>
      <c r="N103" s="29" t="s">
        <v>1226</v>
      </c>
    </row>
    <row r="104" ht="24.0" customHeight="1">
      <c r="A104" s="29" t="s">
        <v>1242</v>
      </c>
      <c r="B104" s="29" t="s">
        <v>1220</v>
      </c>
      <c r="C104" s="29" t="s">
        <v>521</v>
      </c>
      <c r="D104" s="29" t="s">
        <v>1221</v>
      </c>
      <c r="E104" s="29" t="s">
        <v>523</v>
      </c>
      <c r="F104" s="29" t="s">
        <v>1222</v>
      </c>
      <c r="G104" s="29" t="s">
        <v>92</v>
      </c>
      <c r="H104" s="29" t="s">
        <v>1243</v>
      </c>
      <c r="I104" s="29"/>
      <c r="J104" s="29"/>
      <c r="K104" s="29" t="s">
        <v>1223</v>
      </c>
      <c r="L104" s="29" t="s">
        <v>1224</v>
      </c>
      <c r="M104" s="29" t="s">
        <v>1225</v>
      </c>
      <c r="N104" s="29" t="s">
        <v>1226</v>
      </c>
    </row>
    <row r="105" ht="24.0" customHeight="1">
      <c r="A105" s="29" t="s">
        <v>1244</v>
      </c>
      <c r="B105" s="29" t="s">
        <v>1220</v>
      </c>
      <c r="C105" s="29" t="s">
        <v>525</v>
      </c>
      <c r="D105" s="29" t="s">
        <v>1221</v>
      </c>
      <c r="E105" s="29" t="s">
        <v>526</v>
      </c>
      <c r="F105" s="29" t="s">
        <v>1222</v>
      </c>
      <c r="G105" s="29" t="s">
        <v>92</v>
      </c>
      <c r="H105" s="29" t="s">
        <v>135</v>
      </c>
      <c r="I105" s="29"/>
      <c r="J105" s="29"/>
      <c r="K105" s="29" t="s">
        <v>1223</v>
      </c>
      <c r="L105" s="29" t="s">
        <v>1224</v>
      </c>
      <c r="M105" s="29" t="s">
        <v>1225</v>
      </c>
      <c r="N105" s="29" t="s">
        <v>1226</v>
      </c>
    </row>
    <row r="106" ht="24.0" customHeight="1">
      <c r="A106" s="29" t="s">
        <v>1245</v>
      </c>
      <c r="B106" s="29" t="s">
        <v>1220</v>
      </c>
      <c r="C106" s="29" t="s">
        <v>527</v>
      </c>
      <c r="D106" s="29" t="s">
        <v>1221</v>
      </c>
      <c r="E106" s="29" t="s">
        <v>528</v>
      </c>
      <c r="F106" s="29" t="s">
        <v>1222</v>
      </c>
      <c r="G106" s="29" t="s">
        <v>92</v>
      </c>
      <c r="H106" s="29" t="s">
        <v>135</v>
      </c>
      <c r="I106" s="29"/>
      <c r="J106" s="29"/>
      <c r="K106" s="29" t="s">
        <v>1223</v>
      </c>
      <c r="L106" s="29" t="s">
        <v>1224</v>
      </c>
      <c r="M106" s="29" t="s">
        <v>1225</v>
      </c>
      <c r="N106" s="29" t="s">
        <v>1226</v>
      </c>
    </row>
    <row r="107" ht="24.0" customHeight="1">
      <c r="A107" s="29" t="s">
        <v>1246</v>
      </c>
      <c r="B107" s="29" t="s">
        <v>1220</v>
      </c>
      <c r="C107" s="29" t="s">
        <v>529</v>
      </c>
      <c r="D107" s="29" t="s">
        <v>1221</v>
      </c>
      <c r="E107" s="29" t="s">
        <v>531</v>
      </c>
      <c r="F107" s="29" t="s">
        <v>1222</v>
      </c>
      <c r="G107" s="29" t="s">
        <v>92</v>
      </c>
      <c r="H107" s="29" t="s">
        <v>135</v>
      </c>
      <c r="I107" s="29"/>
      <c r="J107" s="29"/>
      <c r="K107" s="29" t="s">
        <v>1223</v>
      </c>
      <c r="L107" s="29" t="s">
        <v>1224</v>
      </c>
      <c r="M107" s="29" t="s">
        <v>1225</v>
      </c>
      <c r="N107" s="29" t="s">
        <v>1226</v>
      </c>
    </row>
    <row r="108" ht="26.25" customHeight="1">
      <c r="A108" s="2" t="s">
        <v>1247</v>
      </c>
      <c r="B108" s="2" t="s">
        <v>1220</v>
      </c>
      <c r="C108" s="2" t="s">
        <v>532</v>
      </c>
      <c r="D108" s="2" t="s">
        <v>1221</v>
      </c>
      <c r="E108" s="2" t="s">
        <v>1248</v>
      </c>
      <c r="F108" s="2" t="s">
        <v>1222</v>
      </c>
      <c r="G108" s="2" t="s">
        <v>92</v>
      </c>
      <c r="H108" s="2" t="s">
        <v>135</v>
      </c>
      <c r="I108" s="2"/>
      <c r="J108" s="2"/>
      <c r="K108" s="2" t="s">
        <v>1223</v>
      </c>
      <c r="L108" s="2" t="s">
        <v>1224</v>
      </c>
      <c r="M108" s="2" t="s">
        <v>1225</v>
      </c>
      <c r="N108" s="2" t="s">
        <v>1226</v>
      </c>
    </row>
    <row r="109" ht="15.75" customHeight="1">
      <c r="A109" s="174" t="s">
        <v>1249</v>
      </c>
      <c r="B109" s="174" t="s">
        <v>1220</v>
      </c>
      <c r="C109" s="174" t="s">
        <v>534</v>
      </c>
      <c r="D109" s="174" t="s">
        <v>1221</v>
      </c>
      <c r="E109" s="174" t="s">
        <v>1250</v>
      </c>
      <c r="F109" s="174" t="s">
        <v>1222</v>
      </c>
      <c r="G109" s="174" t="s">
        <v>92</v>
      </c>
      <c r="H109" s="174" t="s">
        <v>535</v>
      </c>
      <c r="K109" s="174" t="s">
        <v>1223</v>
      </c>
      <c r="L109" s="174" t="s">
        <v>1224</v>
      </c>
      <c r="M109" s="174" t="s">
        <v>1225</v>
      </c>
      <c r="N109" s="174" t="s">
        <v>1226</v>
      </c>
    </row>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N1"/>
  </mergeCell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30.57"/>
    <col customWidth="1" min="2" max="2" width="30.0"/>
    <col customWidth="1" min="3" max="3" width="28.0"/>
    <col customWidth="1" min="4" max="4" width="28.43"/>
    <col customWidth="1" min="5" max="5" width="16.0"/>
    <col customWidth="1" min="6" max="6" width="8.71"/>
  </cols>
  <sheetData>
    <row r="1" ht="15.0" customHeight="1">
      <c r="A1" s="3" t="s">
        <v>1251</v>
      </c>
      <c r="B1" s="5"/>
      <c r="C1" s="5"/>
      <c r="D1" s="5"/>
      <c r="E1" s="6"/>
      <c r="F1" s="4"/>
      <c r="G1" s="4"/>
      <c r="H1" s="4"/>
      <c r="I1" s="4"/>
      <c r="J1" s="4"/>
      <c r="K1" s="4"/>
      <c r="L1" s="4"/>
      <c r="M1" s="4"/>
      <c r="N1" s="4"/>
      <c r="O1" s="4"/>
      <c r="P1" s="4"/>
      <c r="Q1" s="4"/>
      <c r="R1" s="4"/>
      <c r="S1" s="4"/>
      <c r="T1" s="4"/>
      <c r="U1" s="4"/>
      <c r="V1" s="4"/>
      <c r="W1" s="4"/>
      <c r="X1" s="4"/>
      <c r="Y1" s="4"/>
      <c r="Z1" s="4"/>
    </row>
    <row r="2" ht="15.0" customHeight="1">
      <c r="A2" s="4"/>
      <c r="B2" s="4"/>
      <c r="C2" s="4"/>
      <c r="D2" s="4"/>
      <c r="E2" s="4"/>
      <c r="F2" s="4"/>
      <c r="G2" s="4"/>
      <c r="H2" s="4"/>
      <c r="I2" s="4"/>
      <c r="J2" s="4"/>
      <c r="K2" s="4"/>
      <c r="L2" s="4"/>
      <c r="M2" s="4"/>
      <c r="N2" s="4"/>
      <c r="O2" s="4"/>
      <c r="P2" s="4"/>
      <c r="Q2" s="4"/>
      <c r="R2" s="4"/>
      <c r="S2" s="4"/>
      <c r="T2" s="4"/>
      <c r="U2" s="4"/>
      <c r="V2" s="4"/>
      <c r="W2" s="4"/>
      <c r="X2" s="4"/>
      <c r="Y2" s="4"/>
      <c r="Z2" s="4"/>
    </row>
    <row r="3" ht="15.0" customHeight="1">
      <c r="A3" s="15" t="s">
        <v>1253</v>
      </c>
      <c r="B3" s="5"/>
      <c r="C3" s="5"/>
      <c r="D3" s="5"/>
      <c r="E3" s="6"/>
      <c r="F3" s="4"/>
      <c r="G3" s="4"/>
      <c r="H3" s="4"/>
      <c r="I3" s="4"/>
      <c r="J3" s="4"/>
      <c r="K3" s="4"/>
      <c r="L3" s="4"/>
      <c r="M3" s="4"/>
      <c r="N3" s="4"/>
      <c r="O3" s="4"/>
      <c r="P3" s="4"/>
      <c r="Q3" s="4"/>
      <c r="R3" s="4"/>
      <c r="S3" s="4"/>
      <c r="T3" s="4"/>
      <c r="U3" s="4"/>
      <c r="V3" s="4"/>
      <c r="W3" s="4"/>
      <c r="X3" s="4"/>
      <c r="Y3" s="4"/>
      <c r="Z3" s="4"/>
    </row>
    <row r="4" ht="15.0" customHeight="1">
      <c r="A4" s="9" t="s">
        <v>22</v>
      </c>
      <c r="B4" s="9" t="s">
        <v>1255</v>
      </c>
      <c r="C4" s="9" t="s">
        <v>1256</v>
      </c>
      <c r="D4" s="9" t="s">
        <v>1257</v>
      </c>
      <c r="E4" s="9" t="s">
        <v>7</v>
      </c>
      <c r="F4" s="4"/>
      <c r="G4" s="4"/>
      <c r="H4" s="4"/>
      <c r="I4" s="4"/>
      <c r="J4" s="4"/>
      <c r="K4" s="4"/>
      <c r="L4" s="4"/>
      <c r="M4" s="4"/>
      <c r="N4" s="4"/>
      <c r="O4" s="4"/>
      <c r="P4" s="4"/>
      <c r="Q4" s="4"/>
      <c r="R4" s="4"/>
      <c r="S4" s="4"/>
      <c r="T4" s="4"/>
      <c r="U4" s="4"/>
      <c r="V4" s="4"/>
      <c r="W4" s="4"/>
      <c r="X4" s="4"/>
      <c r="Y4" s="4"/>
      <c r="Z4" s="4"/>
    </row>
    <row r="5" ht="15.0" customHeight="1">
      <c r="A5" s="12" t="s">
        <v>1258</v>
      </c>
      <c r="B5" s="12"/>
      <c r="C5" s="12"/>
      <c r="D5" s="12"/>
      <c r="E5" s="12"/>
      <c r="F5" s="4"/>
      <c r="G5" s="4"/>
      <c r="H5" s="4"/>
      <c r="I5" s="4"/>
      <c r="J5" s="4"/>
      <c r="K5" s="4"/>
      <c r="L5" s="4"/>
      <c r="M5" s="4"/>
      <c r="N5" s="4"/>
      <c r="O5" s="4"/>
      <c r="P5" s="4"/>
      <c r="Q5" s="4"/>
      <c r="R5" s="4"/>
      <c r="S5" s="4"/>
      <c r="T5" s="4"/>
      <c r="U5" s="4"/>
      <c r="V5" s="4"/>
      <c r="W5" s="4"/>
      <c r="X5" s="4"/>
      <c r="Y5" s="4"/>
      <c r="Z5" s="4"/>
    </row>
    <row r="6" ht="15.0" customHeight="1">
      <c r="A6" s="16" t="s">
        <v>1260</v>
      </c>
      <c r="B6" s="16"/>
      <c r="C6" s="16"/>
      <c r="D6" s="16"/>
      <c r="E6" s="16"/>
      <c r="F6" s="4"/>
      <c r="G6" s="4"/>
      <c r="H6" s="4"/>
      <c r="I6" s="4"/>
      <c r="J6" s="4"/>
      <c r="K6" s="4"/>
      <c r="L6" s="4"/>
      <c r="M6" s="4"/>
      <c r="N6" s="4"/>
      <c r="O6" s="4"/>
      <c r="P6" s="4"/>
      <c r="Q6" s="4"/>
      <c r="R6" s="4"/>
      <c r="S6" s="4"/>
      <c r="T6" s="4"/>
      <c r="U6" s="4"/>
      <c r="V6" s="4"/>
      <c r="W6" s="4"/>
      <c r="X6" s="4"/>
      <c r="Y6" s="4"/>
      <c r="Z6" s="4"/>
    </row>
    <row r="7" ht="15.0" customHeight="1">
      <c r="A7" s="12" t="s">
        <v>1263</v>
      </c>
      <c r="B7" s="12"/>
      <c r="C7" s="12"/>
      <c r="D7" s="12"/>
      <c r="E7" s="12"/>
      <c r="F7" s="4"/>
      <c r="G7" s="4"/>
      <c r="H7" s="4"/>
      <c r="I7" s="4"/>
      <c r="J7" s="4"/>
      <c r="K7" s="4"/>
      <c r="L7" s="4"/>
      <c r="M7" s="4"/>
      <c r="N7" s="4"/>
      <c r="O7" s="4"/>
      <c r="P7" s="4"/>
      <c r="Q7" s="4"/>
      <c r="R7" s="4"/>
      <c r="S7" s="4"/>
      <c r="T7" s="4"/>
      <c r="U7" s="4"/>
      <c r="V7" s="4"/>
      <c r="W7" s="4"/>
      <c r="X7" s="4"/>
      <c r="Y7" s="4"/>
      <c r="Z7" s="4"/>
    </row>
    <row r="8" ht="24.0" customHeight="1">
      <c r="A8" s="16" t="s">
        <v>1265</v>
      </c>
      <c r="B8" s="16"/>
      <c r="C8" s="16"/>
      <c r="D8" s="16"/>
      <c r="E8" s="16"/>
      <c r="F8" s="4"/>
      <c r="G8" s="4"/>
      <c r="H8" s="4"/>
      <c r="I8" s="4"/>
      <c r="J8" s="4"/>
      <c r="K8" s="4"/>
      <c r="L8" s="4"/>
      <c r="M8" s="4"/>
      <c r="N8" s="4"/>
      <c r="O8" s="4"/>
      <c r="P8" s="4"/>
      <c r="Q8" s="4"/>
      <c r="R8" s="4"/>
      <c r="S8" s="4"/>
      <c r="T8" s="4"/>
      <c r="U8" s="4"/>
      <c r="V8" s="4"/>
      <c r="W8" s="4"/>
      <c r="X8" s="4"/>
      <c r="Y8" s="4"/>
      <c r="Z8" s="4"/>
    </row>
    <row r="9" ht="15.0" customHeight="1">
      <c r="A9" s="4"/>
      <c r="B9" s="4"/>
      <c r="C9" s="4"/>
      <c r="D9" s="4"/>
      <c r="E9" s="4"/>
      <c r="F9" s="4"/>
      <c r="G9" s="4"/>
      <c r="H9" s="4"/>
      <c r="I9" s="4"/>
      <c r="J9" s="4"/>
      <c r="K9" s="4"/>
      <c r="L9" s="4"/>
      <c r="M9" s="4"/>
      <c r="N9" s="4"/>
      <c r="O9" s="4"/>
      <c r="P9" s="4"/>
      <c r="Q9" s="4"/>
      <c r="R9" s="4"/>
      <c r="S9" s="4"/>
      <c r="T9" s="4"/>
      <c r="U9" s="4"/>
      <c r="V9" s="4"/>
      <c r="W9" s="4"/>
      <c r="X9" s="4"/>
      <c r="Y9" s="4"/>
      <c r="Z9" s="4"/>
    </row>
    <row r="10" ht="15.0" customHeight="1">
      <c r="A10" s="15" t="s">
        <v>1270</v>
      </c>
      <c r="B10" s="5"/>
      <c r="C10" s="5"/>
      <c r="D10" s="5"/>
      <c r="E10" s="6"/>
      <c r="F10" s="4"/>
      <c r="G10" s="4"/>
      <c r="H10" s="4"/>
      <c r="I10" s="4"/>
      <c r="J10" s="4"/>
      <c r="K10" s="4"/>
      <c r="L10" s="4"/>
      <c r="M10" s="4"/>
      <c r="N10" s="4"/>
      <c r="O10" s="4"/>
      <c r="P10" s="4"/>
      <c r="Q10" s="4"/>
      <c r="R10" s="4"/>
      <c r="S10" s="4"/>
      <c r="T10" s="4"/>
      <c r="U10" s="4"/>
      <c r="V10" s="4"/>
      <c r="W10" s="4"/>
      <c r="X10" s="4"/>
      <c r="Y10" s="4"/>
      <c r="Z10" s="4"/>
    </row>
    <row r="11" ht="15.0" customHeight="1">
      <c r="A11" s="9" t="s">
        <v>1274</v>
      </c>
      <c r="B11" s="9" t="s">
        <v>22</v>
      </c>
      <c r="C11" s="9" t="s">
        <v>1276</v>
      </c>
      <c r="D11" s="9" t="s">
        <v>1277</v>
      </c>
      <c r="E11" s="9" t="s">
        <v>7</v>
      </c>
      <c r="F11" s="4"/>
      <c r="G11" s="4"/>
      <c r="H11" s="4"/>
      <c r="I11" s="4"/>
      <c r="J11" s="4"/>
      <c r="K11" s="4"/>
      <c r="L11" s="4"/>
      <c r="M11" s="4"/>
      <c r="N11" s="4"/>
      <c r="O11" s="4"/>
      <c r="P11" s="4"/>
      <c r="Q11" s="4"/>
      <c r="R11" s="4"/>
      <c r="S11" s="4"/>
      <c r="T11" s="4"/>
      <c r="U11" s="4"/>
      <c r="V11" s="4"/>
      <c r="W11" s="4"/>
      <c r="X11" s="4"/>
      <c r="Y11" s="4"/>
      <c r="Z11" s="4"/>
    </row>
    <row r="12" ht="24.0" customHeight="1">
      <c r="A12" s="12"/>
      <c r="B12" s="12"/>
      <c r="C12" s="12"/>
      <c r="D12" s="12" t="s">
        <v>1281</v>
      </c>
      <c r="E12" s="12"/>
      <c r="F12" s="4"/>
      <c r="G12" s="4"/>
      <c r="H12" s="4"/>
      <c r="I12" s="4"/>
      <c r="J12" s="4"/>
      <c r="K12" s="4"/>
      <c r="L12" s="4"/>
      <c r="M12" s="4"/>
      <c r="N12" s="4"/>
      <c r="O12" s="4"/>
      <c r="P12" s="4"/>
      <c r="Q12" s="4"/>
      <c r="R12" s="4"/>
      <c r="S12" s="4"/>
      <c r="T12" s="4"/>
      <c r="U12" s="4"/>
      <c r="V12" s="4"/>
      <c r="W12" s="4"/>
      <c r="X12" s="4"/>
      <c r="Y12" s="4"/>
      <c r="Z12" s="4"/>
    </row>
    <row r="13" ht="24.0" customHeight="1">
      <c r="A13" s="16"/>
      <c r="B13" s="16"/>
      <c r="C13" s="16"/>
      <c r="D13" s="16" t="s">
        <v>1281</v>
      </c>
      <c r="E13" s="16"/>
      <c r="F13" s="4"/>
      <c r="G13" s="4"/>
      <c r="H13" s="4"/>
      <c r="I13" s="4"/>
      <c r="J13" s="4"/>
      <c r="K13" s="4"/>
      <c r="L13" s="4"/>
      <c r="M13" s="4"/>
      <c r="N13" s="4"/>
      <c r="O13" s="4"/>
      <c r="P13" s="4"/>
      <c r="Q13" s="4"/>
      <c r="R13" s="4"/>
      <c r="S13" s="4"/>
      <c r="T13" s="4"/>
      <c r="U13" s="4"/>
      <c r="V13" s="4"/>
      <c r="W13" s="4"/>
      <c r="X13" s="4"/>
      <c r="Y13" s="4"/>
      <c r="Z13" s="4"/>
    </row>
    <row r="14" ht="24.0" customHeight="1">
      <c r="A14" s="12"/>
      <c r="B14" s="12"/>
      <c r="C14" s="12"/>
      <c r="D14" s="12" t="s">
        <v>1281</v>
      </c>
      <c r="E14" s="12"/>
      <c r="F14" s="4"/>
      <c r="G14" s="4"/>
      <c r="H14" s="4"/>
      <c r="I14" s="4"/>
      <c r="J14" s="4"/>
      <c r="K14" s="4"/>
      <c r="L14" s="4"/>
      <c r="M14" s="4"/>
      <c r="N14" s="4"/>
      <c r="O14" s="4"/>
      <c r="P14" s="4"/>
      <c r="Q14" s="4"/>
      <c r="R14" s="4"/>
      <c r="S14" s="4"/>
      <c r="T14" s="4"/>
      <c r="U14" s="4"/>
      <c r="V14" s="4"/>
      <c r="W14" s="4"/>
      <c r="X14" s="4"/>
      <c r="Y14" s="4"/>
      <c r="Z14" s="4"/>
    </row>
    <row r="15" ht="24.0" customHeight="1">
      <c r="A15" s="16"/>
      <c r="B15" s="16"/>
      <c r="C15" s="16"/>
      <c r="D15" s="16" t="s">
        <v>1281</v>
      </c>
      <c r="E15" s="16"/>
      <c r="F15" s="4"/>
      <c r="G15" s="4"/>
      <c r="H15" s="4"/>
      <c r="I15" s="4"/>
      <c r="J15" s="4"/>
      <c r="K15" s="4"/>
      <c r="L15" s="4"/>
      <c r="M15" s="4"/>
      <c r="N15" s="4"/>
      <c r="O15" s="4"/>
      <c r="P15" s="4"/>
      <c r="Q15" s="4"/>
      <c r="R15" s="4"/>
      <c r="S15" s="4"/>
      <c r="T15" s="4"/>
      <c r="U15" s="4"/>
      <c r="V15" s="4"/>
      <c r="W15" s="4"/>
      <c r="X15" s="4"/>
      <c r="Y15" s="4"/>
      <c r="Z15" s="4"/>
    </row>
    <row r="16" ht="15.0" customHeight="1">
      <c r="A16" s="4"/>
      <c r="B16" s="4"/>
      <c r="C16" s="4"/>
      <c r="D16" s="4"/>
      <c r="E16" s="4"/>
      <c r="F16" s="4"/>
      <c r="G16" s="4"/>
      <c r="H16" s="4"/>
      <c r="I16" s="4"/>
      <c r="J16" s="4"/>
      <c r="K16" s="4"/>
      <c r="L16" s="4"/>
      <c r="M16" s="4"/>
      <c r="N16" s="4"/>
      <c r="O16" s="4"/>
      <c r="P16" s="4"/>
      <c r="Q16" s="4"/>
      <c r="R16" s="4"/>
      <c r="S16" s="4"/>
      <c r="T16" s="4"/>
      <c r="U16" s="4"/>
      <c r="V16" s="4"/>
      <c r="W16" s="4"/>
      <c r="X16" s="4"/>
      <c r="Y16" s="4"/>
      <c r="Z16" s="4"/>
    </row>
    <row r="17" ht="15.0" customHeight="1">
      <c r="A17" s="15" t="s">
        <v>1292</v>
      </c>
      <c r="B17" s="5"/>
      <c r="C17" s="5"/>
      <c r="D17" s="5"/>
      <c r="E17" s="6"/>
      <c r="F17" s="4"/>
      <c r="G17" s="4"/>
      <c r="H17" s="4"/>
      <c r="I17" s="4"/>
      <c r="J17" s="4"/>
      <c r="K17" s="4"/>
      <c r="L17" s="4"/>
      <c r="M17" s="4"/>
      <c r="N17" s="4"/>
      <c r="O17" s="4"/>
      <c r="P17" s="4"/>
      <c r="Q17" s="4"/>
      <c r="R17" s="4"/>
      <c r="S17" s="4"/>
      <c r="T17" s="4"/>
      <c r="U17" s="4"/>
      <c r="V17" s="4"/>
      <c r="W17" s="4"/>
      <c r="X17" s="4"/>
      <c r="Y17" s="4"/>
      <c r="Z17" s="4"/>
    </row>
    <row r="18" ht="32.25" customHeight="1">
      <c r="A18" s="179" t="s">
        <v>1294</v>
      </c>
      <c r="B18" s="5"/>
      <c r="C18" s="5"/>
      <c r="D18" s="5"/>
      <c r="E18" s="6"/>
      <c r="F18" s="4"/>
      <c r="G18" s="4"/>
      <c r="H18" s="4"/>
      <c r="I18" s="4"/>
      <c r="J18" s="4"/>
      <c r="K18" s="4"/>
      <c r="L18" s="4"/>
      <c r="M18" s="4"/>
      <c r="N18" s="4"/>
      <c r="O18" s="4"/>
      <c r="P18" s="4"/>
      <c r="Q18" s="4"/>
      <c r="R18" s="4"/>
      <c r="S18" s="4"/>
      <c r="T18" s="4"/>
      <c r="U18" s="4"/>
      <c r="V18" s="4"/>
      <c r="W18" s="4"/>
      <c r="X18" s="4"/>
      <c r="Y18" s="4"/>
      <c r="Z18" s="4"/>
    </row>
    <row r="19" ht="15.0" customHeight="1">
      <c r="A19" s="9" t="s">
        <v>5</v>
      </c>
      <c r="B19" s="9" t="s">
        <v>26</v>
      </c>
      <c r="C19" s="9"/>
      <c r="D19" s="9"/>
      <c r="E19" s="9"/>
      <c r="F19" s="4"/>
      <c r="G19" s="4"/>
      <c r="H19" s="4"/>
      <c r="I19" s="4"/>
      <c r="J19" s="4"/>
      <c r="K19" s="4"/>
      <c r="L19" s="4"/>
      <c r="M19" s="4"/>
      <c r="N19" s="4"/>
      <c r="O19" s="4"/>
      <c r="P19" s="4"/>
      <c r="Q19" s="4"/>
      <c r="R19" s="4"/>
      <c r="S19" s="4"/>
      <c r="T19" s="4"/>
      <c r="U19" s="4"/>
      <c r="V19" s="4"/>
      <c r="W19" s="4"/>
      <c r="X19" s="4"/>
      <c r="Y19" s="4"/>
      <c r="Z19" s="4"/>
    </row>
    <row r="20" ht="15.0" customHeight="1">
      <c r="A20" s="12" t="s">
        <v>1295</v>
      </c>
      <c r="B20" s="37"/>
      <c r="C20" s="5"/>
      <c r="D20" s="5"/>
      <c r="E20" s="6"/>
      <c r="F20" s="4"/>
      <c r="G20" s="4"/>
      <c r="H20" s="4"/>
      <c r="I20" s="4"/>
      <c r="J20" s="4"/>
      <c r="K20" s="4"/>
      <c r="L20" s="4"/>
      <c r="M20" s="4"/>
      <c r="N20" s="4"/>
      <c r="O20" s="4"/>
      <c r="P20" s="4"/>
      <c r="Q20" s="4"/>
      <c r="R20" s="4"/>
      <c r="S20" s="4"/>
      <c r="T20" s="4"/>
      <c r="U20" s="4"/>
      <c r="V20" s="4"/>
      <c r="W20" s="4"/>
      <c r="X20" s="4"/>
      <c r="Y20" s="4"/>
      <c r="Z20" s="4"/>
    </row>
    <row r="21" ht="15.0" customHeight="1">
      <c r="A21" s="16" t="s">
        <v>1296</v>
      </c>
      <c r="B21" s="38"/>
      <c r="C21" s="5"/>
      <c r="D21" s="5"/>
      <c r="E21" s="6"/>
      <c r="F21" s="4"/>
      <c r="G21" s="4"/>
      <c r="H21" s="4"/>
      <c r="I21" s="4"/>
      <c r="J21" s="4"/>
      <c r="K21" s="4"/>
      <c r="L21" s="4"/>
      <c r="M21" s="4"/>
      <c r="N21" s="4"/>
      <c r="O21" s="4"/>
      <c r="P21" s="4"/>
      <c r="Q21" s="4"/>
      <c r="R21" s="4"/>
      <c r="S21" s="4"/>
      <c r="T21" s="4"/>
      <c r="U21" s="4"/>
      <c r="V21" s="4"/>
      <c r="W21" s="4"/>
      <c r="X21" s="4"/>
      <c r="Y21" s="4"/>
      <c r="Z21" s="4"/>
    </row>
    <row r="22" ht="15.0" customHeight="1">
      <c r="A22" s="12" t="s">
        <v>1297</v>
      </c>
      <c r="B22" s="37"/>
      <c r="C22" s="5"/>
      <c r="D22" s="5"/>
      <c r="E22" s="6"/>
      <c r="F22" s="4"/>
      <c r="G22" s="4"/>
      <c r="H22" s="4"/>
      <c r="I22" s="4"/>
      <c r="J22" s="4"/>
      <c r="K22" s="4"/>
      <c r="L22" s="4"/>
      <c r="M22" s="4"/>
      <c r="N22" s="4"/>
      <c r="O22" s="4"/>
      <c r="P22" s="4"/>
      <c r="Q22" s="4"/>
      <c r="R22" s="4"/>
      <c r="S22" s="4"/>
      <c r="T22" s="4"/>
      <c r="U22" s="4"/>
      <c r="V22" s="4"/>
      <c r="W22" s="4"/>
      <c r="X22" s="4"/>
      <c r="Y22" s="4"/>
      <c r="Z22" s="4"/>
    </row>
    <row r="23" ht="15.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A1:E1"/>
    <mergeCell ref="A3:E3"/>
    <mergeCell ref="A10:E10"/>
    <mergeCell ref="A17:E17"/>
    <mergeCell ref="A18:E18"/>
    <mergeCell ref="B20:E20"/>
    <mergeCell ref="B21:E21"/>
    <mergeCell ref="B22:E22"/>
  </mergeCell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4.14"/>
    <col customWidth="1" min="2" max="2" width="20.0"/>
    <col customWidth="1" min="3" max="5" width="28.0"/>
    <col customWidth="1" min="6" max="6" width="8.71"/>
  </cols>
  <sheetData>
    <row r="1" ht="15.0" customHeight="1">
      <c r="A1" s="143" t="s">
        <v>1252</v>
      </c>
      <c r="F1" s="4"/>
      <c r="G1" s="4"/>
      <c r="H1" s="4"/>
      <c r="I1" s="4"/>
      <c r="J1" s="4"/>
      <c r="K1" s="4"/>
      <c r="L1" s="4"/>
      <c r="M1" s="4"/>
      <c r="N1" s="4"/>
      <c r="O1" s="4"/>
      <c r="P1" s="4"/>
      <c r="Q1" s="4"/>
      <c r="R1" s="4"/>
      <c r="S1" s="4"/>
      <c r="T1" s="4"/>
      <c r="U1" s="4"/>
      <c r="V1" s="4"/>
      <c r="W1" s="4"/>
      <c r="X1" s="4"/>
      <c r="Y1" s="4"/>
      <c r="Z1" s="4"/>
    </row>
    <row r="2" ht="21.0" customHeight="1">
      <c r="A2" s="54" t="s">
        <v>1254</v>
      </c>
      <c r="F2" s="4"/>
      <c r="G2" s="4"/>
      <c r="H2" s="4"/>
      <c r="I2" s="4"/>
      <c r="J2" s="4"/>
      <c r="K2" s="4"/>
      <c r="L2" s="4"/>
      <c r="M2" s="4"/>
      <c r="N2" s="4"/>
      <c r="O2" s="4"/>
      <c r="P2" s="4"/>
      <c r="Q2" s="4"/>
      <c r="R2" s="4"/>
      <c r="S2" s="4"/>
      <c r="T2" s="4"/>
      <c r="U2" s="4"/>
      <c r="V2" s="4"/>
      <c r="W2" s="4"/>
      <c r="X2" s="4"/>
      <c r="Y2" s="4"/>
      <c r="Z2" s="4"/>
    </row>
    <row r="3" ht="15.0" customHeight="1">
      <c r="A3" s="1"/>
      <c r="B3" s="1"/>
      <c r="C3" s="1"/>
      <c r="D3" s="1"/>
      <c r="E3" s="1"/>
      <c r="F3" s="4"/>
      <c r="G3" s="4"/>
      <c r="H3" s="4"/>
      <c r="I3" s="4"/>
      <c r="J3" s="4"/>
      <c r="K3" s="4"/>
      <c r="L3" s="4"/>
      <c r="M3" s="4"/>
      <c r="N3" s="4"/>
      <c r="O3" s="4"/>
      <c r="P3" s="4"/>
      <c r="Q3" s="4"/>
      <c r="R3" s="4"/>
      <c r="S3" s="4"/>
      <c r="T3" s="4"/>
      <c r="U3" s="4"/>
      <c r="V3" s="4"/>
      <c r="W3" s="4"/>
      <c r="X3" s="4"/>
      <c r="Y3" s="4"/>
      <c r="Z3" s="4"/>
    </row>
    <row r="4" ht="15.0" customHeight="1">
      <c r="A4" s="9"/>
      <c r="B4" s="9" t="s">
        <v>140</v>
      </c>
      <c r="C4" s="9" t="s">
        <v>1259</v>
      </c>
      <c r="D4" s="9" t="s">
        <v>1261</v>
      </c>
      <c r="E4" s="9" t="s">
        <v>1262</v>
      </c>
      <c r="F4" s="4"/>
      <c r="G4" s="4"/>
      <c r="H4" s="4"/>
      <c r="I4" s="4"/>
      <c r="J4" s="4"/>
      <c r="K4" s="4"/>
      <c r="L4" s="4"/>
      <c r="M4" s="4"/>
      <c r="N4" s="4"/>
      <c r="O4" s="4"/>
      <c r="P4" s="4"/>
      <c r="Q4" s="4"/>
      <c r="R4" s="4"/>
      <c r="S4" s="4"/>
      <c r="T4" s="4"/>
      <c r="U4" s="4"/>
      <c r="V4" s="4"/>
      <c r="W4" s="4"/>
      <c r="X4" s="4"/>
      <c r="Y4" s="4"/>
      <c r="Z4" s="4"/>
    </row>
    <row r="5" ht="48.0" customHeight="1">
      <c r="A5" s="1"/>
      <c r="B5" s="175" t="s">
        <v>1264</v>
      </c>
      <c r="C5" s="176" t="s">
        <v>1266</v>
      </c>
      <c r="D5" s="176" t="s">
        <v>1267</v>
      </c>
      <c r="E5" s="176" t="s">
        <v>1268</v>
      </c>
      <c r="F5" s="4"/>
      <c r="G5" s="4"/>
      <c r="H5" s="4"/>
      <c r="I5" s="4"/>
      <c r="J5" s="4"/>
      <c r="K5" s="4"/>
      <c r="L5" s="4"/>
      <c r="M5" s="4"/>
      <c r="N5" s="4"/>
      <c r="O5" s="4"/>
      <c r="P5" s="4"/>
      <c r="Q5" s="4"/>
      <c r="R5" s="4"/>
      <c r="S5" s="4"/>
      <c r="T5" s="4"/>
      <c r="U5" s="4"/>
      <c r="V5" s="4"/>
      <c r="W5" s="4"/>
      <c r="X5" s="4"/>
      <c r="Y5" s="4"/>
      <c r="Z5" s="4"/>
    </row>
    <row r="6" ht="48.0" customHeight="1">
      <c r="A6" s="1"/>
      <c r="B6" s="177" t="s">
        <v>1269</v>
      </c>
      <c r="C6" s="178" t="s">
        <v>1271</v>
      </c>
      <c r="D6" s="178" t="s">
        <v>1272</v>
      </c>
      <c r="E6" s="178" t="s">
        <v>1273</v>
      </c>
      <c r="F6" s="4"/>
      <c r="G6" s="4"/>
      <c r="H6" s="4"/>
      <c r="I6" s="4"/>
      <c r="J6" s="4"/>
      <c r="K6" s="4"/>
      <c r="L6" s="4"/>
      <c r="M6" s="4"/>
      <c r="N6" s="4"/>
      <c r="O6" s="4"/>
      <c r="P6" s="4"/>
      <c r="Q6" s="4"/>
      <c r="R6" s="4"/>
      <c r="S6" s="4"/>
      <c r="T6" s="4"/>
      <c r="U6" s="4"/>
      <c r="V6" s="4"/>
      <c r="W6" s="4"/>
      <c r="X6" s="4"/>
      <c r="Y6" s="4"/>
      <c r="Z6" s="4"/>
    </row>
    <row r="7" ht="108.0" customHeight="1">
      <c r="A7" s="1"/>
      <c r="B7" s="175" t="s">
        <v>1275</v>
      </c>
      <c r="C7" s="176" t="s">
        <v>1278</v>
      </c>
      <c r="D7" s="176" t="s">
        <v>1279</v>
      </c>
      <c r="E7" s="176" t="s">
        <v>1280</v>
      </c>
      <c r="F7" s="4"/>
      <c r="G7" s="4"/>
      <c r="H7" s="4"/>
      <c r="I7" s="4"/>
      <c r="J7" s="4"/>
      <c r="K7" s="4"/>
      <c r="L7" s="4"/>
      <c r="M7" s="4"/>
      <c r="N7" s="4"/>
      <c r="O7" s="4"/>
      <c r="P7" s="4"/>
      <c r="Q7" s="4"/>
      <c r="R7" s="4"/>
      <c r="S7" s="4"/>
      <c r="T7" s="4"/>
      <c r="U7" s="4"/>
      <c r="V7" s="4"/>
      <c r="W7" s="4"/>
      <c r="X7" s="4"/>
      <c r="Y7" s="4"/>
      <c r="Z7" s="4"/>
    </row>
    <row r="8" ht="48.0" customHeight="1">
      <c r="A8" s="1"/>
      <c r="B8" s="177" t="s">
        <v>1282</v>
      </c>
      <c r="C8" s="178" t="s">
        <v>1283</v>
      </c>
      <c r="D8" s="178" t="s">
        <v>1284</v>
      </c>
      <c r="E8" s="178" t="s">
        <v>1285</v>
      </c>
      <c r="F8" s="4"/>
      <c r="G8" s="4"/>
      <c r="H8" s="4"/>
      <c r="I8" s="4"/>
      <c r="J8" s="4"/>
      <c r="K8" s="4"/>
      <c r="L8" s="4"/>
      <c r="M8" s="4"/>
      <c r="N8" s="4"/>
      <c r="O8" s="4"/>
      <c r="P8" s="4"/>
      <c r="Q8" s="4"/>
      <c r="R8" s="4"/>
      <c r="S8" s="4"/>
      <c r="T8" s="4"/>
      <c r="U8" s="4"/>
      <c r="V8" s="4"/>
      <c r="W8" s="4"/>
      <c r="X8" s="4"/>
      <c r="Y8" s="4"/>
      <c r="Z8" s="4"/>
    </row>
    <row r="9" ht="60.0" customHeight="1">
      <c r="A9" s="1"/>
      <c r="B9" s="175" t="s">
        <v>1286</v>
      </c>
      <c r="C9" s="176" t="s">
        <v>1287</v>
      </c>
      <c r="D9" s="176" t="s">
        <v>1288</v>
      </c>
      <c r="E9" s="176" t="s">
        <v>1289</v>
      </c>
      <c r="F9" s="4"/>
      <c r="G9" s="4"/>
      <c r="H9" s="4"/>
      <c r="I9" s="4"/>
      <c r="J9" s="4"/>
      <c r="K9" s="4"/>
      <c r="L9" s="4"/>
      <c r="M9" s="4"/>
      <c r="N9" s="4"/>
      <c r="O9" s="4"/>
      <c r="P9" s="4"/>
      <c r="Q9" s="4"/>
      <c r="R9" s="4"/>
      <c r="S9" s="4"/>
      <c r="T9" s="4"/>
      <c r="U9" s="4"/>
      <c r="V9" s="4"/>
      <c r="W9" s="4"/>
      <c r="X9" s="4"/>
      <c r="Y9" s="4"/>
      <c r="Z9" s="4"/>
    </row>
    <row r="10" ht="54.0" customHeight="1">
      <c r="A10" s="54" t="s">
        <v>1290</v>
      </c>
      <c r="F10" s="4"/>
      <c r="G10" s="4"/>
      <c r="H10" s="4"/>
      <c r="I10" s="4"/>
      <c r="J10" s="4"/>
      <c r="K10" s="4"/>
      <c r="L10" s="4"/>
      <c r="M10" s="4"/>
      <c r="N10" s="4"/>
      <c r="O10" s="4"/>
      <c r="P10" s="4"/>
      <c r="Q10" s="4"/>
      <c r="R10" s="4"/>
      <c r="S10" s="4"/>
      <c r="T10" s="4"/>
      <c r="U10" s="4"/>
      <c r="V10" s="4"/>
      <c r="W10" s="4"/>
      <c r="X10" s="4"/>
      <c r="Y10" s="4"/>
      <c r="Z10" s="4"/>
    </row>
    <row r="11">
      <c r="A11" s="1"/>
      <c r="B11" s="1"/>
      <c r="C11" s="1"/>
      <c r="D11" s="1"/>
      <c r="E11" s="1"/>
      <c r="F11" s="4"/>
      <c r="G11" s="4"/>
      <c r="H11" s="4"/>
      <c r="I11" s="4"/>
      <c r="J11" s="4"/>
      <c r="K11" s="4"/>
      <c r="L11" s="4"/>
      <c r="M11" s="4"/>
      <c r="N11" s="4"/>
      <c r="O11" s="4"/>
      <c r="P11" s="4"/>
      <c r="Q11" s="4"/>
      <c r="R11" s="4"/>
      <c r="S11" s="4"/>
      <c r="T11" s="4"/>
      <c r="U11" s="4"/>
      <c r="V11" s="4"/>
      <c r="W11" s="4"/>
      <c r="X11" s="4"/>
      <c r="Y11" s="4"/>
      <c r="Z11" s="4"/>
    </row>
    <row r="12" ht="27.75" customHeight="1">
      <c r="A12" s="39" t="s">
        <v>1291</v>
      </c>
      <c r="G12" s="4"/>
      <c r="H12" s="4"/>
      <c r="I12" s="4"/>
      <c r="J12" s="4"/>
      <c r="K12" s="4"/>
      <c r="L12" s="4"/>
      <c r="M12" s="4"/>
      <c r="N12" s="4"/>
      <c r="O12" s="4"/>
      <c r="P12" s="4"/>
      <c r="Q12" s="4"/>
      <c r="R12" s="4"/>
      <c r="S12" s="4"/>
      <c r="T12" s="4"/>
      <c r="U12" s="4"/>
      <c r="V12" s="4"/>
      <c r="W12" s="4"/>
      <c r="X12" s="4"/>
      <c r="Y12" s="4"/>
      <c r="Z12" s="4"/>
    </row>
    <row r="13">
      <c r="A13" s="1"/>
      <c r="B13" s="146" t="s">
        <v>124</v>
      </c>
      <c r="C13" s="146" t="s">
        <v>403</v>
      </c>
      <c r="D13" s="146" t="s">
        <v>161</v>
      </c>
      <c r="E13" s="146" t="s">
        <v>1293</v>
      </c>
      <c r="F13" s="74" t="s">
        <v>393</v>
      </c>
      <c r="G13" s="4"/>
      <c r="H13" s="4"/>
      <c r="I13" s="4"/>
      <c r="J13" s="4"/>
      <c r="K13" s="4"/>
      <c r="L13" s="4"/>
      <c r="M13" s="4"/>
      <c r="N13" s="4"/>
      <c r="O13" s="4"/>
      <c r="P13" s="4"/>
      <c r="Q13" s="4"/>
      <c r="R13" s="4"/>
      <c r="S13" s="4"/>
      <c r="T13" s="4"/>
      <c r="U13" s="4"/>
      <c r="V13" s="4"/>
      <c r="W13" s="4"/>
      <c r="X13" s="4"/>
      <c r="Y13" s="4"/>
      <c r="Z13" s="4"/>
    </row>
    <row r="14" ht="15.0" customHeight="1">
      <c r="A14" s="1"/>
      <c r="B14" s="76" t="s">
        <v>407</v>
      </c>
      <c r="C14" s="76" t="str">
        <f>IF('D — Incidents &amp; SLOs'!E44="","",'D — Incidents &amp; SLOs'!E44)</f>
        <v/>
      </c>
      <c r="D14" s="76"/>
      <c r="E14" s="76"/>
      <c r="F14" s="76" t="s">
        <v>1108</v>
      </c>
      <c r="G14" s="4"/>
      <c r="H14" s="4"/>
      <c r="I14" s="4"/>
      <c r="J14" s="4"/>
      <c r="K14" s="4"/>
      <c r="L14" s="4"/>
      <c r="M14" s="4"/>
      <c r="N14" s="4"/>
      <c r="O14" s="4"/>
      <c r="P14" s="4"/>
      <c r="Q14" s="4"/>
      <c r="R14" s="4"/>
      <c r="S14" s="4"/>
      <c r="T14" s="4"/>
      <c r="U14" s="4"/>
      <c r="V14" s="4"/>
      <c r="W14" s="4"/>
      <c r="X14" s="4"/>
      <c r="Y14" s="4"/>
      <c r="Z14" s="4"/>
    </row>
    <row r="15" ht="15.0" customHeight="1">
      <c r="A15" s="1"/>
      <c r="B15" s="78" t="s">
        <v>417</v>
      </c>
      <c r="C15" s="78" t="str">
        <f>IF('D — Incidents &amp; SLOs'!E45="","",'D — Incidents &amp; SLOs'!E45)</f>
        <v/>
      </c>
      <c r="D15" s="78"/>
      <c r="E15" s="78"/>
      <c r="F15" s="78" t="s">
        <v>1108</v>
      </c>
      <c r="G15" s="4"/>
      <c r="H15" s="4"/>
      <c r="I15" s="4"/>
      <c r="J15" s="4"/>
      <c r="K15" s="4"/>
      <c r="L15" s="4"/>
      <c r="M15" s="4"/>
      <c r="N15" s="4"/>
      <c r="O15" s="4"/>
      <c r="P15" s="4"/>
      <c r="Q15" s="4"/>
      <c r="R15" s="4"/>
      <c r="S15" s="4"/>
      <c r="T15" s="4"/>
      <c r="U15" s="4"/>
      <c r="V15" s="4"/>
      <c r="W15" s="4"/>
      <c r="X15" s="4"/>
      <c r="Y15" s="4"/>
      <c r="Z15" s="4"/>
    </row>
    <row r="16" ht="24.0" customHeight="1">
      <c r="A16" s="1"/>
      <c r="B16" s="76" t="s">
        <v>1298</v>
      </c>
      <c r="C16" s="76" t="str">
        <f>IF('D — Incidents &amp; SLOs'!E46="","",'D — Incidents &amp; SLOs'!E46)</f>
        <v/>
      </c>
      <c r="D16" s="76"/>
      <c r="E16" s="76"/>
      <c r="F16" s="76" t="s">
        <v>1108</v>
      </c>
      <c r="G16" s="4"/>
      <c r="H16" s="4"/>
      <c r="I16" s="4"/>
      <c r="J16" s="4"/>
      <c r="K16" s="4"/>
      <c r="L16" s="4"/>
      <c r="M16" s="4"/>
      <c r="N16" s="4"/>
      <c r="O16" s="4"/>
      <c r="P16" s="4"/>
      <c r="Q16" s="4"/>
      <c r="R16" s="4"/>
      <c r="S16" s="4"/>
      <c r="T16" s="4"/>
      <c r="U16" s="4"/>
      <c r="V16" s="4"/>
      <c r="W16" s="4"/>
      <c r="X16" s="4"/>
      <c r="Y16" s="4"/>
      <c r="Z16" s="4"/>
    </row>
    <row r="17" ht="24.0" customHeight="1">
      <c r="A17" s="1"/>
      <c r="B17" s="78" t="s">
        <v>1299</v>
      </c>
      <c r="C17" s="78" t="str">
        <f>IF('D — Incidents &amp; SLOs'!E47="","",'D — Incidents &amp; SLOs'!E47)</f>
        <v/>
      </c>
      <c r="D17" s="78"/>
      <c r="E17" s="78"/>
      <c r="F17" s="78" t="s">
        <v>1108</v>
      </c>
      <c r="G17" s="4"/>
      <c r="H17" s="4"/>
      <c r="I17" s="4"/>
      <c r="J17" s="4"/>
      <c r="K17" s="4"/>
      <c r="L17" s="4"/>
      <c r="M17" s="4"/>
      <c r="N17" s="4"/>
      <c r="O17" s="4"/>
      <c r="P17" s="4"/>
      <c r="Q17" s="4"/>
      <c r="R17" s="4"/>
      <c r="S17" s="4"/>
      <c r="T17" s="4"/>
      <c r="U17" s="4"/>
      <c r="V17" s="4"/>
      <c r="W17" s="4"/>
      <c r="X17" s="4"/>
      <c r="Y17" s="4"/>
      <c r="Z17" s="4"/>
    </row>
    <row r="18" ht="24.0" customHeight="1">
      <c r="A18" s="1"/>
      <c r="B18" s="76" t="s">
        <v>1300</v>
      </c>
      <c r="C18" s="76" t="str">
        <f>IF('D — Incidents &amp; SLOs'!E48="","",'D — Incidents &amp; SLOs'!E48)</f>
        <v/>
      </c>
      <c r="D18" s="76"/>
      <c r="E18" s="76"/>
      <c r="F18" s="76" t="s">
        <v>1108</v>
      </c>
      <c r="G18" s="4"/>
      <c r="H18" s="4"/>
      <c r="I18" s="4"/>
      <c r="J18" s="4"/>
      <c r="K18" s="4"/>
      <c r="L18" s="4"/>
      <c r="M18" s="4"/>
      <c r="N18" s="4"/>
      <c r="O18" s="4"/>
      <c r="P18" s="4"/>
      <c r="Q18" s="4"/>
      <c r="R18" s="4"/>
      <c r="S18" s="4"/>
      <c r="T18" s="4"/>
      <c r="U18" s="4"/>
      <c r="V18" s="4"/>
      <c r="W18" s="4"/>
      <c r="X18" s="4"/>
      <c r="Y18" s="4"/>
      <c r="Z18" s="4"/>
    </row>
    <row r="19">
      <c r="A19" s="1"/>
      <c r="B19" s="1"/>
      <c r="C19" s="1"/>
      <c r="D19" s="1"/>
      <c r="E19" s="1"/>
      <c r="F19" s="4"/>
      <c r="G19" s="4"/>
      <c r="H19" s="4"/>
      <c r="I19" s="4"/>
      <c r="J19" s="4"/>
      <c r="K19" s="4"/>
      <c r="L19" s="4"/>
      <c r="M19" s="4"/>
      <c r="N19" s="4"/>
      <c r="O19" s="4"/>
      <c r="P19" s="4"/>
      <c r="Q19" s="4"/>
      <c r="R19" s="4"/>
      <c r="S19" s="4"/>
      <c r="T19" s="4"/>
      <c r="U19" s="4"/>
      <c r="V19" s="4"/>
      <c r="W19" s="4"/>
      <c r="X19" s="4"/>
      <c r="Y19" s="4"/>
      <c r="Z19" s="4"/>
    </row>
    <row r="20">
      <c r="A20" s="1"/>
      <c r="B20" s="1"/>
      <c r="C20" s="1"/>
      <c r="D20" s="1"/>
      <c r="E20" s="1"/>
      <c r="F20" s="4"/>
      <c r="G20" s="4"/>
      <c r="H20" s="4"/>
      <c r="I20" s="4"/>
      <c r="J20" s="4"/>
      <c r="K20" s="4"/>
      <c r="L20" s="4"/>
      <c r="M20" s="4"/>
      <c r="N20" s="4"/>
      <c r="O20" s="4"/>
      <c r="P20" s="4"/>
      <c r="Q20" s="4"/>
      <c r="R20" s="4"/>
      <c r="S20" s="4"/>
      <c r="T20" s="4"/>
      <c r="U20" s="4"/>
      <c r="V20" s="4"/>
      <c r="W20" s="4"/>
      <c r="X20" s="4"/>
      <c r="Y20" s="4"/>
      <c r="Z20" s="4"/>
    </row>
    <row r="21" ht="15.75" customHeight="1">
      <c r="A21" s="1"/>
      <c r="B21" s="1"/>
      <c r="C21" s="1"/>
      <c r="D21" s="1"/>
      <c r="E21" s="1"/>
      <c r="F21" s="4"/>
      <c r="G21" s="4"/>
      <c r="H21" s="4"/>
      <c r="I21" s="4"/>
      <c r="J21" s="4"/>
      <c r="K21" s="4"/>
      <c r="L21" s="4"/>
      <c r="M21" s="4"/>
      <c r="N21" s="4"/>
      <c r="O21" s="4"/>
      <c r="P21" s="4"/>
      <c r="Q21" s="4"/>
      <c r="R21" s="4"/>
      <c r="S21" s="4"/>
      <c r="T21" s="4"/>
      <c r="U21" s="4"/>
      <c r="V21" s="4"/>
      <c r="W21" s="4"/>
      <c r="X21" s="4"/>
      <c r="Y21" s="4"/>
      <c r="Z21" s="4"/>
    </row>
    <row r="22" ht="15.75" customHeight="1">
      <c r="A22" s="1"/>
      <c r="B22" s="1"/>
      <c r="C22" s="1"/>
      <c r="D22" s="1"/>
      <c r="E22" s="1"/>
      <c r="F22" s="4"/>
      <c r="G22" s="4"/>
      <c r="H22" s="4"/>
      <c r="I22" s="4"/>
      <c r="J22" s="4"/>
      <c r="K22" s="4"/>
      <c r="L22" s="4"/>
      <c r="M22" s="4"/>
      <c r="N22" s="4"/>
      <c r="O22" s="4"/>
      <c r="P22" s="4"/>
      <c r="Q22" s="4"/>
      <c r="R22" s="4"/>
      <c r="S22" s="4"/>
      <c r="T22" s="4"/>
      <c r="U22" s="4"/>
      <c r="V22" s="4"/>
      <c r="W22" s="4"/>
      <c r="X22" s="4"/>
      <c r="Y22" s="4"/>
      <c r="Z22" s="4"/>
    </row>
    <row r="23" ht="15.75" customHeight="1">
      <c r="A23" s="1"/>
      <c r="B23" s="1"/>
      <c r="C23" s="1"/>
      <c r="D23" s="1"/>
      <c r="E23" s="1"/>
      <c r="F23" s="4"/>
      <c r="G23" s="4"/>
      <c r="H23" s="4"/>
      <c r="I23" s="4"/>
      <c r="J23" s="4"/>
      <c r="K23" s="4"/>
      <c r="L23" s="4"/>
      <c r="M23" s="4"/>
      <c r="N23" s="4"/>
      <c r="O23" s="4"/>
      <c r="P23" s="4"/>
      <c r="Q23" s="4"/>
      <c r="R23" s="4"/>
      <c r="S23" s="4"/>
      <c r="T23" s="4"/>
      <c r="U23" s="4"/>
      <c r="V23" s="4"/>
      <c r="W23" s="4"/>
      <c r="X23" s="4"/>
      <c r="Y23" s="4"/>
      <c r="Z23" s="4"/>
    </row>
    <row r="24" ht="15.75" customHeight="1">
      <c r="A24" s="1"/>
      <c r="B24" s="1"/>
      <c r="C24" s="1"/>
      <c r="D24" s="1"/>
      <c r="E24" s="1"/>
      <c r="F24" s="4"/>
      <c r="G24" s="4"/>
      <c r="H24" s="4"/>
      <c r="I24" s="4"/>
      <c r="J24" s="4"/>
      <c r="K24" s="4"/>
      <c r="L24" s="4"/>
      <c r="M24" s="4"/>
      <c r="N24" s="4"/>
      <c r="O24" s="4"/>
      <c r="P24" s="4"/>
      <c r="Q24" s="4"/>
      <c r="R24" s="4"/>
      <c r="S24" s="4"/>
      <c r="T24" s="4"/>
      <c r="U24" s="4"/>
      <c r="V24" s="4"/>
      <c r="W24" s="4"/>
      <c r="X24" s="4"/>
      <c r="Y24" s="4"/>
      <c r="Z24" s="4"/>
    </row>
    <row r="25" ht="15.75" customHeight="1">
      <c r="A25" s="1"/>
      <c r="B25" s="1"/>
      <c r="C25" s="1"/>
      <c r="D25" s="1"/>
      <c r="E25" s="1"/>
      <c r="F25" s="4"/>
      <c r="G25" s="4"/>
      <c r="H25" s="4"/>
      <c r="I25" s="4"/>
      <c r="J25" s="4"/>
      <c r="K25" s="4"/>
      <c r="L25" s="4"/>
      <c r="M25" s="4"/>
      <c r="N25" s="4"/>
      <c r="O25" s="4"/>
      <c r="P25" s="4"/>
      <c r="Q25" s="4"/>
      <c r="R25" s="4"/>
      <c r="S25" s="4"/>
      <c r="T25" s="4"/>
      <c r="U25" s="4"/>
      <c r="V25" s="4"/>
      <c r="W25" s="4"/>
      <c r="X25" s="4"/>
      <c r="Y25" s="4"/>
      <c r="Z25" s="4"/>
    </row>
    <row r="26" ht="15.75" customHeight="1">
      <c r="A26" s="1"/>
      <c r="B26" s="1"/>
      <c r="C26" s="1"/>
      <c r="D26" s="1"/>
      <c r="E26" s="1"/>
      <c r="F26" s="4"/>
      <c r="G26" s="4"/>
      <c r="H26" s="4"/>
      <c r="I26" s="4"/>
      <c r="J26" s="4"/>
      <c r="K26" s="4"/>
      <c r="L26" s="4"/>
      <c r="M26" s="4"/>
      <c r="N26" s="4"/>
      <c r="O26" s="4"/>
      <c r="P26" s="4"/>
      <c r="Q26" s="4"/>
      <c r="R26" s="4"/>
      <c r="S26" s="4"/>
      <c r="T26" s="4"/>
      <c r="U26" s="4"/>
      <c r="V26" s="4"/>
      <c r="W26" s="4"/>
      <c r="X26" s="4"/>
      <c r="Y26" s="4"/>
      <c r="Z26" s="4"/>
    </row>
    <row r="27" ht="15.75" customHeight="1">
      <c r="A27" s="1"/>
      <c r="B27" s="1"/>
      <c r="C27" s="1"/>
      <c r="D27" s="1"/>
      <c r="E27" s="1"/>
      <c r="F27" s="4"/>
      <c r="G27" s="4"/>
      <c r="H27" s="4"/>
      <c r="I27" s="4"/>
      <c r="J27" s="4"/>
      <c r="K27" s="4"/>
      <c r="L27" s="4"/>
      <c r="M27" s="4"/>
      <c r="N27" s="4"/>
      <c r="O27" s="4"/>
      <c r="P27" s="4"/>
      <c r="Q27" s="4"/>
      <c r="R27" s="4"/>
      <c r="S27" s="4"/>
      <c r="T27" s="4"/>
      <c r="U27" s="4"/>
      <c r="V27" s="4"/>
      <c r="W27" s="4"/>
      <c r="X27" s="4"/>
      <c r="Y27" s="4"/>
      <c r="Z27" s="4"/>
    </row>
    <row r="28" ht="15.75" customHeight="1">
      <c r="A28" s="1"/>
      <c r="B28" s="1"/>
      <c r="C28" s="1"/>
      <c r="D28" s="1"/>
      <c r="E28" s="1"/>
      <c r="F28" s="4"/>
      <c r="G28" s="4"/>
      <c r="H28" s="4"/>
      <c r="I28" s="4"/>
      <c r="J28" s="4"/>
      <c r="K28" s="4"/>
      <c r="L28" s="4"/>
      <c r="M28" s="4"/>
      <c r="N28" s="4"/>
      <c r="O28" s="4"/>
      <c r="P28" s="4"/>
      <c r="Q28" s="4"/>
      <c r="R28" s="4"/>
      <c r="S28" s="4"/>
      <c r="T28" s="4"/>
      <c r="U28" s="4"/>
      <c r="V28" s="4"/>
      <c r="W28" s="4"/>
      <c r="X28" s="4"/>
      <c r="Y28" s="4"/>
      <c r="Z28" s="4"/>
    </row>
    <row r="29" ht="15.75" customHeight="1">
      <c r="A29" s="1"/>
      <c r="B29" s="1"/>
      <c r="C29" s="1"/>
      <c r="D29" s="1"/>
      <c r="E29" s="1"/>
      <c r="F29" s="4"/>
      <c r="G29" s="4"/>
      <c r="H29" s="4"/>
      <c r="I29" s="4"/>
      <c r="J29" s="4"/>
      <c r="K29" s="4"/>
      <c r="L29" s="4"/>
      <c r="M29" s="4"/>
      <c r="N29" s="4"/>
      <c r="O29" s="4"/>
      <c r="P29" s="4"/>
      <c r="Q29" s="4"/>
      <c r="R29" s="4"/>
      <c r="S29" s="4"/>
      <c r="T29" s="4"/>
      <c r="U29" s="4"/>
      <c r="V29" s="4"/>
      <c r="W29" s="4"/>
      <c r="X29" s="4"/>
      <c r="Y29" s="4"/>
      <c r="Z29" s="4"/>
    </row>
    <row r="30" ht="15.75" customHeight="1">
      <c r="A30" s="1"/>
      <c r="B30" s="1"/>
      <c r="C30" s="1"/>
      <c r="D30" s="1"/>
      <c r="E30" s="1"/>
      <c r="F30" s="4"/>
      <c r="G30" s="4"/>
      <c r="H30" s="4"/>
      <c r="I30" s="4"/>
      <c r="J30" s="4"/>
      <c r="K30" s="4"/>
      <c r="L30" s="4"/>
      <c r="M30" s="4"/>
      <c r="N30" s="4"/>
      <c r="O30" s="4"/>
      <c r="P30" s="4"/>
      <c r="Q30" s="4"/>
      <c r="R30" s="4"/>
      <c r="S30" s="4"/>
      <c r="T30" s="4"/>
      <c r="U30" s="4"/>
      <c r="V30" s="4"/>
      <c r="W30" s="4"/>
      <c r="X30" s="4"/>
      <c r="Y30" s="4"/>
      <c r="Z30" s="4"/>
    </row>
    <row r="31" ht="15.75" customHeight="1">
      <c r="A31" s="1"/>
      <c r="B31" s="1"/>
      <c r="C31" s="1"/>
      <c r="D31" s="1"/>
      <c r="E31" s="1"/>
      <c r="F31" s="4"/>
      <c r="G31" s="4"/>
      <c r="H31" s="4"/>
      <c r="I31" s="4"/>
      <c r="J31" s="4"/>
      <c r="K31" s="4"/>
      <c r="L31" s="4"/>
      <c r="M31" s="4"/>
      <c r="N31" s="4"/>
      <c r="O31" s="4"/>
      <c r="P31" s="4"/>
      <c r="Q31" s="4"/>
      <c r="R31" s="4"/>
      <c r="S31" s="4"/>
      <c r="T31" s="4"/>
      <c r="U31" s="4"/>
      <c r="V31" s="4"/>
      <c r="W31" s="4"/>
      <c r="X31" s="4"/>
      <c r="Y31" s="4"/>
      <c r="Z31" s="4"/>
    </row>
    <row r="32" ht="15.75" customHeight="1">
      <c r="A32" s="1"/>
      <c r="B32" s="1"/>
      <c r="C32" s="1"/>
      <c r="D32" s="1"/>
      <c r="E32" s="1"/>
      <c r="F32" s="4"/>
      <c r="G32" s="4"/>
      <c r="H32" s="4"/>
      <c r="I32" s="4"/>
      <c r="J32" s="4"/>
      <c r="K32" s="4"/>
      <c r="L32" s="4"/>
      <c r="M32" s="4"/>
      <c r="N32" s="4"/>
      <c r="O32" s="4"/>
      <c r="P32" s="4"/>
      <c r="Q32" s="4"/>
      <c r="R32" s="4"/>
      <c r="S32" s="4"/>
      <c r="T32" s="4"/>
      <c r="U32" s="4"/>
      <c r="V32" s="4"/>
      <c r="W32" s="4"/>
      <c r="X32" s="4"/>
      <c r="Y32" s="4"/>
      <c r="Z32" s="4"/>
    </row>
    <row r="33" ht="15.75" customHeight="1">
      <c r="A33" s="1"/>
      <c r="B33" s="1"/>
      <c r="C33" s="1"/>
      <c r="D33" s="1"/>
      <c r="E33" s="1"/>
      <c r="F33" s="4"/>
      <c r="G33" s="4"/>
      <c r="H33" s="4"/>
      <c r="I33" s="4"/>
      <c r="J33" s="4"/>
      <c r="K33" s="4"/>
      <c r="L33" s="4"/>
      <c r="M33" s="4"/>
      <c r="N33" s="4"/>
      <c r="O33" s="4"/>
      <c r="P33" s="4"/>
      <c r="Q33" s="4"/>
      <c r="R33" s="4"/>
      <c r="S33" s="4"/>
      <c r="T33" s="4"/>
      <c r="U33" s="4"/>
      <c r="V33" s="4"/>
      <c r="W33" s="4"/>
      <c r="X33" s="4"/>
      <c r="Y33" s="4"/>
      <c r="Z33" s="4"/>
    </row>
    <row r="34" ht="15.75" customHeight="1">
      <c r="A34" s="1"/>
      <c r="B34" s="1"/>
      <c r="C34" s="1"/>
      <c r="D34" s="1"/>
      <c r="E34" s="1"/>
      <c r="F34" s="4"/>
      <c r="G34" s="4"/>
      <c r="H34" s="4"/>
      <c r="I34" s="4"/>
      <c r="J34" s="4"/>
      <c r="K34" s="4"/>
      <c r="L34" s="4"/>
      <c r="M34" s="4"/>
      <c r="N34" s="4"/>
      <c r="O34" s="4"/>
      <c r="P34" s="4"/>
      <c r="Q34" s="4"/>
      <c r="R34" s="4"/>
      <c r="S34" s="4"/>
      <c r="T34" s="4"/>
      <c r="U34" s="4"/>
      <c r="V34" s="4"/>
      <c r="W34" s="4"/>
      <c r="X34" s="4"/>
      <c r="Y34" s="4"/>
      <c r="Z34" s="4"/>
    </row>
    <row r="35" ht="15.75" customHeight="1">
      <c r="A35" s="1"/>
      <c r="B35" s="1"/>
      <c r="C35" s="1"/>
      <c r="D35" s="1"/>
      <c r="E35" s="1"/>
      <c r="F35" s="4"/>
      <c r="G35" s="4"/>
      <c r="H35" s="4"/>
      <c r="I35" s="4"/>
      <c r="J35" s="4"/>
      <c r="K35" s="4"/>
      <c r="L35" s="4"/>
      <c r="M35" s="4"/>
      <c r="N35" s="4"/>
      <c r="O35" s="4"/>
      <c r="P35" s="4"/>
      <c r="Q35" s="4"/>
      <c r="R35" s="4"/>
      <c r="S35" s="4"/>
      <c r="T35" s="4"/>
      <c r="U35" s="4"/>
      <c r="V35" s="4"/>
      <c r="W35" s="4"/>
      <c r="X35" s="4"/>
      <c r="Y35" s="4"/>
      <c r="Z35" s="4"/>
    </row>
    <row r="36" ht="15.75" customHeight="1">
      <c r="A36" s="1"/>
      <c r="B36" s="1"/>
      <c r="C36" s="1"/>
      <c r="D36" s="1"/>
      <c r="E36" s="1"/>
      <c r="F36" s="4"/>
      <c r="G36" s="4"/>
      <c r="H36" s="4"/>
      <c r="I36" s="4"/>
      <c r="J36" s="4"/>
      <c r="K36" s="4"/>
      <c r="L36" s="4"/>
      <c r="M36" s="4"/>
      <c r="N36" s="4"/>
      <c r="O36" s="4"/>
      <c r="P36" s="4"/>
      <c r="Q36" s="4"/>
      <c r="R36" s="4"/>
      <c r="S36" s="4"/>
      <c r="T36" s="4"/>
      <c r="U36" s="4"/>
      <c r="V36" s="4"/>
      <c r="W36" s="4"/>
      <c r="X36" s="4"/>
      <c r="Y36" s="4"/>
      <c r="Z36" s="4"/>
    </row>
    <row r="37" ht="15.75" customHeight="1">
      <c r="A37" s="1"/>
      <c r="B37" s="1"/>
      <c r="C37" s="1"/>
      <c r="D37" s="1"/>
      <c r="E37" s="1"/>
      <c r="F37" s="4"/>
      <c r="G37" s="4"/>
      <c r="H37" s="4"/>
      <c r="I37" s="4"/>
      <c r="J37" s="4"/>
      <c r="K37" s="4"/>
      <c r="L37" s="4"/>
      <c r="M37" s="4"/>
      <c r="N37" s="4"/>
      <c r="O37" s="4"/>
      <c r="P37" s="4"/>
      <c r="Q37" s="4"/>
      <c r="R37" s="4"/>
      <c r="S37" s="4"/>
      <c r="T37" s="4"/>
      <c r="U37" s="4"/>
      <c r="V37" s="4"/>
      <c r="W37" s="4"/>
      <c r="X37" s="4"/>
      <c r="Y37" s="4"/>
      <c r="Z37" s="4"/>
    </row>
    <row r="38" ht="15.75" customHeight="1">
      <c r="A38" s="1"/>
      <c r="B38" s="1"/>
      <c r="C38" s="1"/>
      <c r="D38" s="1"/>
      <c r="E38" s="1"/>
      <c r="F38" s="4"/>
      <c r="G38" s="4"/>
      <c r="H38" s="4"/>
      <c r="I38" s="4"/>
      <c r="J38" s="4"/>
      <c r="K38" s="4"/>
      <c r="L38" s="4"/>
      <c r="M38" s="4"/>
      <c r="N38" s="4"/>
      <c r="O38" s="4"/>
      <c r="P38" s="4"/>
      <c r="Q38" s="4"/>
      <c r="R38" s="4"/>
      <c r="S38" s="4"/>
      <c r="T38" s="4"/>
      <c r="U38" s="4"/>
      <c r="V38" s="4"/>
      <c r="W38" s="4"/>
      <c r="X38" s="4"/>
      <c r="Y38" s="4"/>
      <c r="Z38" s="4"/>
    </row>
    <row r="39" ht="15.75" customHeight="1">
      <c r="A39" s="1"/>
      <c r="B39" s="1"/>
      <c r="C39" s="1"/>
      <c r="D39" s="1"/>
      <c r="E39" s="1"/>
      <c r="F39" s="4"/>
      <c r="G39" s="4"/>
      <c r="H39" s="4"/>
      <c r="I39" s="4"/>
      <c r="J39" s="4"/>
      <c r="K39" s="4"/>
      <c r="L39" s="4"/>
      <c r="M39" s="4"/>
      <c r="N39" s="4"/>
      <c r="O39" s="4"/>
      <c r="P39" s="4"/>
      <c r="Q39" s="4"/>
      <c r="R39" s="4"/>
      <c r="S39" s="4"/>
      <c r="T39" s="4"/>
      <c r="U39" s="4"/>
      <c r="V39" s="4"/>
      <c r="W39" s="4"/>
      <c r="X39" s="4"/>
      <c r="Y39" s="4"/>
      <c r="Z39" s="4"/>
    </row>
    <row r="40" ht="15.75" customHeight="1">
      <c r="A40" s="1"/>
      <c r="B40" s="1"/>
      <c r="C40" s="1"/>
      <c r="D40" s="1"/>
      <c r="E40" s="1"/>
      <c r="F40" s="4"/>
      <c r="G40" s="4"/>
      <c r="H40" s="4"/>
      <c r="I40" s="4"/>
      <c r="J40" s="4"/>
      <c r="K40" s="4"/>
      <c r="L40" s="4"/>
      <c r="M40" s="4"/>
      <c r="N40" s="4"/>
      <c r="O40" s="4"/>
      <c r="P40" s="4"/>
      <c r="Q40" s="4"/>
      <c r="R40" s="4"/>
      <c r="S40" s="4"/>
      <c r="T40" s="4"/>
      <c r="U40" s="4"/>
      <c r="V40" s="4"/>
      <c r="W40" s="4"/>
      <c r="X40" s="4"/>
      <c r="Y40" s="4"/>
      <c r="Z40" s="4"/>
    </row>
    <row r="41" ht="15.75" customHeight="1">
      <c r="A41" s="1"/>
      <c r="B41" s="1"/>
      <c r="C41" s="1"/>
      <c r="D41" s="1"/>
      <c r="E41" s="1"/>
      <c r="F41" s="4"/>
      <c r="G41" s="4"/>
      <c r="H41" s="4"/>
      <c r="I41" s="4"/>
      <c r="J41" s="4"/>
      <c r="K41" s="4"/>
      <c r="L41" s="4"/>
      <c r="M41" s="4"/>
      <c r="N41" s="4"/>
      <c r="O41" s="4"/>
      <c r="P41" s="4"/>
      <c r="Q41" s="4"/>
      <c r="R41" s="4"/>
      <c r="S41" s="4"/>
      <c r="T41" s="4"/>
      <c r="U41" s="4"/>
      <c r="V41" s="4"/>
      <c r="W41" s="4"/>
      <c r="X41" s="4"/>
      <c r="Y41" s="4"/>
      <c r="Z41" s="4"/>
    </row>
    <row r="42" ht="15.75" customHeight="1">
      <c r="A42" s="1"/>
      <c r="B42" s="1"/>
      <c r="C42" s="1"/>
      <c r="D42" s="1"/>
      <c r="E42" s="1"/>
      <c r="F42" s="4"/>
      <c r="G42" s="4"/>
      <c r="H42" s="4"/>
      <c r="I42" s="4"/>
      <c r="J42" s="4"/>
      <c r="K42" s="4"/>
      <c r="L42" s="4"/>
      <c r="M42" s="4"/>
      <c r="N42" s="4"/>
      <c r="O42" s="4"/>
      <c r="P42" s="4"/>
      <c r="Q42" s="4"/>
      <c r="R42" s="4"/>
      <c r="S42" s="4"/>
      <c r="T42" s="4"/>
      <c r="U42" s="4"/>
      <c r="V42" s="4"/>
      <c r="W42" s="4"/>
      <c r="X42" s="4"/>
      <c r="Y42" s="4"/>
      <c r="Z42" s="4"/>
    </row>
    <row r="43" ht="15.75" customHeight="1">
      <c r="A43" s="1"/>
      <c r="B43" s="1"/>
      <c r="C43" s="1"/>
      <c r="D43" s="1"/>
      <c r="E43" s="1"/>
      <c r="F43" s="4"/>
      <c r="G43" s="4"/>
      <c r="H43" s="4"/>
      <c r="I43" s="4"/>
      <c r="J43" s="4"/>
      <c r="K43" s="4"/>
      <c r="L43" s="4"/>
      <c r="M43" s="4"/>
      <c r="N43" s="4"/>
      <c r="O43" s="4"/>
      <c r="P43" s="4"/>
      <c r="Q43" s="4"/>
      <c r="R43" s="4"/>
      <c r="S43" s="4"/>
      <c r="T43" s="4"/>
      <c r="U43" s="4"/>
      <c r="V43" s="4"/>
      <c r="W43" s="4"/>
      <c r="X43" s="4"/>
      <c r="Y43" s="4"/>
      <c r="Z43" s="4"/>
    </row>
    <row r="44" ht="15.75" customHeight="1">
      <c r="A44" s="1"/>
      <c r="B44" s="1"/>
      <c r="C44" s="1"/>
      <c r="D44" s="1"/>
      <c r="E44" s="1"/>
      <c r="F44" s="4"/>
      <c r="G44" s="4"/>
      <c r="H44" s="4"/>
      <c r="I44" s="4"/>
      <c r="J44" s="4"/>
      <c r="K44" s="4"/>
      <c r="L44" s="4"/>
      <c r="M44" s="4"/>
      <c r="N44" s="4"/>
      <c r="O44" s="4"/>
      <c r="P44" s="4"/>
      <c r="Q44" s="4"/>
      <c r="R44" s="4"/>
      <c r="S44" s="4"/>
      <c r="T44" s="4"/>
      <c r="U44" s="4"/>
      <c r="V44" s="4"/>
      <c r="W44" s="4"/>
      <c r="X44" s="4"/>
      <c r="Y44" s="4"/>
      <c r="Z44" s="4"/>
    </row>
    <row r="45" ht="15.75" customHeight="1">
      <c r="A45" s="1"/>
      <c r="B45" s="1"/>
      <c r="C45" s="1"/>
      <c r="D45" s="1"/>
      <c r="E45" s="1"/>
      <c r="F45" s="4"/>
      <c r="G45" s="4"/>
      <c r="H45" s="4"/>
      <c r="I45" s="4"/>
      <c r="J45" s="4"/>
      <c r="K45" s="4"/>
      <c r="L45" s="4"/>
      <c r="M45" s="4"/>
      <c r="N45" s="4"/>
      <c r="O45" s="4"/>
      <c r="P45" s="4"/>
      <c r="Q45" s="4"/>
      <c r="R45" s="4"/>
      <c r="S45" s="4"/>
      <c r="T45" s="4"/>
      <c r="U45" s="4"/>
      <c r="V45" s="4"/>
      <c r="W45" s="4"/>
      <c r="X45" s="4"/>
      <c r="Y45" s="4"/>
      <c r="Z45" s="4"/>
    </row>
    <row r="46" ht="15.75" customHeight="1">
      <c r="A46" s="1"/>
      <c r="B46" s="1"/>
      <c r="C46" s="1"/>
      <c r="D46" s="1"/>
      <c r="E46" s="1"/>
      <c r="F46" s="4"/>
      <c r="G46" s="4"/>
      <c r="H46" s="4"/>
      <c r="I46" s="4"/>
      <c r="J46" s="4"/>
      <c r="K46" s="4"/>
      <c r="L46" s="4"/>
      <c r="M46" s="4"/>
      <c r="N46" s="4"/>
      <c r="O46" s="4"/>
      <c r="P46" s="4"/>
      <c r="Q46" s="4"/>
      <c r="R46" s="4"/>
      <c r="S46" s="4"/>
      <c r="T46" s="4"/>
      <c r="U46" s="4"/>
      <c r="V46" s="4"/>
      <c r="W46" s="4"/>
      <c r="X46" s="4"/>
      <c r="Y46" s="4"/>
      <c r="Z46" s="4"/>
    </row>
    <row r="47" ht="15.75" customHeight="1">
      <c r="A47" s="1"/>
      <c r="B47" s="1"/>
      <c r="C47" s="1"/>
      <c r="D47" s="1"/>
      <c r="E47" s="1"/>
      <c r="F47" s="4"/>
      <c r="G47" s="4"/>
      <c r="H47" s="4"/>
      <c r="I47" s="4"/>
      <c r="J47" s="4"/>
      <c r="K47" s="4"/>
      <c r="L47" s="4"/>
      <c r="M47" s="4"/>
      <c r="N47" s="4"/>
      <c r="O47" s="4"/>
      <c r="P47" s="4"/>
      <c r="Q47" s="4"/>
      <c r="R47" s="4"/>
      <c r="S47" s="4"/>
      <c r="T47" s="4"/>
      <c r="U47" s="4"/>
      <c r="V47" s="4"/>
      <c r="W47" s="4"/>
      <c r="X47" s="4"/>
      <c r="Y47" s="4"/>
      <c r="Z47" s="4"/>
    </row>
    <row r="48" ht="15.75" customHeight="1">
      <c r="A48" s="1"/>
      <c r="B48" s="1"/>
      <c r="C48" s="1"/>
      <c r="D48" s="1"/>
      <c r="E48" s="1"/>
      <c r="F48" s="4"/>
      <c r="G48" s="4"/>
      <c r="H48" s="4"/>
      <c r="I48" s="4"/>
      <c r="J48" s="4"/>
      <c r="K48" s="4"/>
      <c r="L48" s="4"/>
      <c r="M48" s="4"/>
      <c r="N48" s="4"/>
      <c r="O48" s="4"/>
      <c r="P48" s="4"/>
      <c r="Q48" s="4"/>
      <c r="R48" s="4"/>
      <c r="S48" s="4"/>
      <c r="T48" s="4"/>
      <c r="U48" s="4"/>
      <c r="V48" s="4"/>
      <c r="W48" s="4"/>
      <c r="X48" s="4"/>
      <c r="Y48" s="4"/>
      <c r="Z48" s="4"/>
    </row>
    <row r="49" ht="15.75" customHeight="1">
      <c r="A49" s="1"/>
      <c r="B49" s="1"/>
      <c r="C49" s="1"/>
      <c r="D49" s="1"/>
      <c r="E49" s="1"/>
      <c r="F49" s="4"/>
      <c r="G49" s="4"/>
      <c r="H49" s="4"/>
      <c r="I49" s="4"/>
      <c r="J49" s="4"/>
      <c r="K49" s="4"/>
      <c r="L49" s="4"/>
      <c r="M49" s="4"/>
      <c r="N49" s="4"/>
      <c r="O49" s="4"/>
      <c r="P49" s="4"/>
      <c r="Q49" s="4"/>
      <c r="R49" s="4"/>
      <c r="S49" s="4"/>
      <c r="T49" s="4"/>
      <c r="U49" s="4"/>
      <c r="V49" s="4"/>
      <c r="W49" s="4"/>
      <c r="X49" s="4"/>
      <c r="Y49" s="4"/>
      <c r="Z49" s="4"/>
    </row>
    <row r="50" ht="15.75" customHeight="1">
      <c r="A50" s="1"/>
      <c r="B50" s="1"/>
      <c r="C50" s="1"/>
      <c r="D50" s="1"/>
      <c r="E50" s="1"/>
      <c r="F50" s="4"/>
      <c r="G50" s="4"/>
      <c r="H50" s="4"/>
      <c r="I50" s="4"/>
      <c r="J50" s="4"/>
      <c r="K50" s="4"/>
      <c r="L50" s="4"/>
      <c r="M50" s="4"/>
      <c r="N50" s="4"/>
      <c r="O50" s="4"/>
      <c r="P50" s="4"/>
      <c r="Q50" s="4"/>
      <c r="R50" s="4"/>
      <c r="S50" s="4"/>
      <c r="T50" s="4"/>
      <c r="U50" s="4"/>
      <c r="V50" s="4"/>
      <c r="W50" s="4"/>
      <c r="X50" s="4"/>
      <c r="Y50" s="4"/>
      <c r="Z50" s="4"/>
    </row>
    <row r="51" ht="15.75" customHeight="1">
      <c r="A51" s="1"/>
      <c r="B51" s="1"/>
      <c r="C51" s="1"/>
      <c r="D51" s="1"/>
      <c r="E51" s="1"/>
      <c r="F51" s="4"/>
      <c r="G51" s="4"/>
      <c r="H51" s="4"/>
      <c r="I51" s="4"/>
      <c r="J51" s="4"/>
      <c r="K51" s="4"/>
      <c r="L51" s="4"/>
      <c r="M51" s="4"/>
      <c r="N51" s="4"/>
      <c r="O51" s="4"/>
      <c r="P51" s="4"/>
      <c r="Q51" s="4"/>
      <c r="R51" s="4"/>
      <c r="S51" s="4"/>
      <c r="T51" s="4"/>
      <c r="U51" s="4"/>
      <c r="V51" s="4"/>
      <c r="W51" s="4"/>
      <c r="X51" s="4"/>
      <c r="Y51" s="4"/>
      <c r="Z51" s="4"/>
    </row>
    <row r="52" ht="15.75" customHeight="1">
      <c r="A52" s="1"/>
      <c r="B52" s="1"/>
      <c r="C52" s="1"/>
      <c r="D52" s="1"/>
      <c r="E52" s="1"/>
      <c r="F52" s="4"/>
      <c r="G52" s="4"/>
      <c r="H52" s="4"/>
      <c r="I52" s="4"/>
      <c r="J52" s="4"/>
      <c r="K52" s="4"/>
      <c r="L52" s="4"/>
      <c r="M52" s="4"/>
      <c r="N52" s="4"/>
      <c r="O52" s="4"/>
      <c r="P52" s="4"/>
      <c r="Q52" s="4"/>
      <c r="R52" s="4"/>
      <c r="S52" s="4"/>
      <c r="T52" s="4"/>
      <c r="U52" s="4"/>
      <c r="V52" s="4"/>
      <c r="W52" s="4"/>
      <c r="X52" s="4"/>
      <c r="Y52" s="4"/>
      <c r="Z52" s="4"/>
    </row>
    <row r="53" ht="15.75" customHeight="1">
      <c r="A53" s="1"/>
      <c r="B53" s="1"/>
      <c r="C53" s="1"/>
      <c r="D53" s="1"/>
      <c r="E53" s="1"/>
      <c r="F53" s="4"/>
      <c r="G53" s="4"/>
      <c r="H53" s="4"/>
      <c r="I53" s="4"/>
      <c r="J53" s="4"/>
      <c r="K53" s="4"/>
      <c r="L53" s="4"/>
      <c r="M53" s="4"/>
      <c r="N53" s="4"/>
      <c r="O53" s="4"/>
      <c r="P53" s="4"/>
      <c r="Q53" s="4"/>
      <c r="R53" s="4"/>
      <c r="S53" s="4"/>
      <c r="T53" s="4"/>
      <c r="U53" s="4"/>
      <c r="V53" s="4"/>
      <c r="W53" s="4"/>
      <c r="X53" s="4"/>
      <c r="Y53" s="4"/>
      <c r="Z53" s="4"/>
    </row>
    <row r="54" ht="15.75" customHeight="1">
      <c r="A54" s="1"/>
      <c r="B54" s="1"/>
      <c r="C54" s="1"/>
      <c r="D54" s="1"/>
      <c r="E54" s="1"/>
      <c r="F54" s="4"/>
      <c r="G54" s="4"/>
      <c r="H54" s="4"/>
      <c r="I54" s="4"/>
      <c r="J54" s="4"/>
      <c r="K54" s="4"/>
      <c r="L54" s="4"/>
      <c r="M54" s="4"/>
      <c r="N54" s="4"/>
      <c r="O54" s="4"/>
      <c r="P54" s="4"/>
      <c r="Q54" s="4"/>
      <c r="R54" s="4"/>
      <c r="S54" s="4"/>
      <c r="T54" s="4"/>
      <c r="U54" s="4"/>
      <c r="V54" s="4"/>
      <c r="W54" s="4"/>
      <c r="X54" s="4"/>
      <c r="Y54" s="4"/>
      <c r="Z54" s="4"/>
    </row>
    <row r="55" ht="15.75" customHeight="1">
      <c r="A55" s="1"/>
      <c r="B55" s="1"/>
      <c r="C55" s="1"/>
      <c r="D55" s="1"/>
      <c r="E55" s="1"/>
      <c r="F55" s="4"/>
      <c r="G55" s="4"/>
      <c r="H55" s="4"/>
      <c r="I55" s="4"/>
      <c r="J55" s="4"/>
      <c r="K55" s="4"/>
      <c r="L55" s="4"/>
      <c r="M55" s="4"/>
      <c r="N55" s="4"/>
      <c r="O55" s="4"/>
      <c r="P55" s="4"/>
      <c r="Q55" s="4"/>
      <c r="R55" s="4"/>
      <c r="S55" s="4"/>
      <c r="T55" s="4"/>
      <c r="U55" s="4"/>
      <c r="V55" s="4"/>
      <c r="W55" s="4"/>
      <c r="X55" s="4"/>
      <c r="Y55" s="4"/>
      <c r="Z55" s="4"/>
    </row>
    <row r="56" ht="15.75" customHeight="1">
      <c r="A56" s="1"/>
      <c r="B56" s="1"/>
      <c r="C56" s="1"/>
      <c r="D56" s="1"/>
      <c r="E56" s="1"/>
      <c r="F56" s="4"/>
      <c r="G56" s="4"/>
      <c r="H56" s="4"/>
      <c r="I56" s="4"/>
      <c r="J56" s="4"/>
      <c r="K56" s="4"/>
      <c r="L56" s="4"/>
      <c r="M56" s="4"/>
      <c r="N56" s="4"/>
      <c r="O56" s="4"/>
      <c r="P56" s="4"/>
      <c r="Q56" s="4"/>
      <c r="R56" s="4"/>
      <c r="S56" s="4"/>
      <c r="T56" s="4"/>
      <c r="U56" s="4"/>
      <c r="V56" s="4"/>
      <c r="W56" s="4"/>
      <c r="X56" s="4"/>
      <c r="Y56" s="4"/>
      <c r="Z56" s="4"/>
    </row>
    <row r="57" ht="15.75" customHeight="1">
      <c r="A57" s="1"/>
      <c r="B57" s="1"/>
      <c r="C57" s="1"/>
      <c r="D57" s="1"/>
      <c r="E57" s="1"/>
      <c r="F57" s="4"/>
      <c r="G57" s="4"/>
      <c r="H57" s="4"/>
      <c r="I57" s="4"/>
      <c r="J57" s="4"/>
      <c r="K57" s="4"/>
      <c r="L57" s="4"/>
      <c r="M57" s="4"/>
      <c r="N57" s="4"/>
      <c r="O57" s="4"/>
      <c r="P57" s="4"/>
      <c r="Q57" s="4"/>
      <c r="R57" s="4"/>
      <c r="S57" s="4"/>
      <c r="T57" s="4"/>
      <c r="U57" s="4"/>
      <c r="V57" s="4"/>
      <c r="W57" s="4"/>
      <c r="X57" s="4"/>
      <c r="Y57" s="4"/>
      <c r="Z57" s="4"/>
    </row>
    <row r="58" ht="15.75" customHeight="1">
      <c r="A58" s="1"/>
      <c r="B58" s="1"/>
      <c r="C58" s="1"/>
      <c r="D58" s="1"/>
      <c r="E58" s="1"/>
      <c r="F58" s="4"/>
      <c r="G58" s="4"/>
      <c r="H58" s="4"/>
      <c r="I58" s="4"/>
      <c r="J58" s="4"/>
      <c r="K58" s="4"/>
      <c r="L58" s="4"/>
      <c r="M58" s="4"/>
      <c r="N58" s="4"/>
      <c r="O58" s="4"/>
      <c r="P58" s="4"/>
      <c r="Q58" s="4"/>
      <c r="R58" s="4"/>
      <c r="S58" s="4"/>
      <c r="T58" s="4"/>
      <c r="U58" s="4"/>
      <c r="V58" s="4"/>
      <c r="W58" s="4"/>
      <c r="X58" s="4"/>
      <c r="Y58" s="4"/>
      <c r="Z58" s="4"/>
    </row>
    <row r="59" ht="15.75" customHeight="1">
      <c r="A59" s="1"/>
      <c r="B59" s="1"/>
      <c r="C59" s="1"/>
      <c r="D59" s="1"/>
      <c r="E59" s="1"/>
      <c r="F59" s="4"/>
      <c r="G59" s="4"/>
      <c r="H59" s="4"/>
      <c r="I59" s="4"/>
      <c r="J59" s="4"/>
      <c r="K59" s="4"/>
      <c r="L59" s="4"/>
      <c r="M59" s="4"/>
      <c r="N59" s="4"/>
      <c r="O59" s="4"/>
      <c r="P59" s="4"/>
      <c r="Q59" s="4"/>
      <c r="R59" s="4"/>
      <c r="S59" s="4"/>
      <c r="T59" s="4"/>
      <c r="U59" s="4"/>
      <c r="V59" s="4"/>
      <c r="W59" s="4"/>
      <c r="X59" s="4"/>
      <c r="Y59" s="4"/>
      <c r="Z59" s="4"/>
    </row>
    <row r="60" ht="15.75" customHeight="1">
      <c r="A60" s="1"/>
      <c r="B60" s="1"/>
      <c r="C60" s="1"/>
      <c r="D60" s="1"/>
      <c r="E60" s="1"/>
      <c r="F60" s="4"/>
      <c r="G60" s="4"/>
      <c r="H60" s="4"/>
      <c r="I60" s="4"/>
      <c r="J60" s="4"/>
      <c r="K60" s="4"/>
      <c r="L60" s="4"/>
      <c r="M60" s="4"/>
      <c r="N60" s="4"/>
      <c r="O60" s="4"/>
      <c r="P60" s="4"/>
      <c r="Q60" s="4"/>
      <c r="R60" s="4"/>
      <c r="S60" s="4"/>
      <c r="T60" s="4"/>
      <c r="U60" s="4"/>
      <c r="V60" s="4"/>
      <c r="W60" s="4"/>
      <c r="X60" s="4"/>
      <c r="Y60" s="4"/>
      <c r="Z60" s="4"/>
    </row>
    <row r="61" ht="15.75" customHeight="1">
      <c r="A61" s="1"/>
      <c r="B61" s="1"/>
      <c r="C61" s="1"/>
      <c r="D61" s="1"/>
      <c r="E61" s="1"/>
      <c r="F61" s="4"/>
      <c r="G61" s="4"/>
      <c r="H61" s="4"/>
      <c r="I61" s="4"/>
      <c r="J61" s="4"/>
      <c r="K61" s="4"/>
      <c r="L61" s="4"/>
      <c r="M61" s="4"/>
      <c r="N61" s="4"/>
      <c r="O61" s="4"/>
      <c r="P61" s="4"/>
      <c r="Q61" s="4"/>
      <c r="R61" s="4"/>
      <c r="S61" s="4"/>
      <c r="T61" s="4"/>
      <c r="U61" s="4"/>
      <c r="V61" s="4"/>
      <c r="W61" s="4"/>
      <c r="X61" s="4"/>
      <c r="Y61" s="4"/>
      <c r="Z61" s="4"/>
    </row>
    <row r="62" ht="15.75" customHeight="1">
      <c r="A62" s="1"/>
      <c r="B62" s="1"/>
      <c r="C62" s="1"/>
      <c r="D62" s="1"/>
      <c r="E62" s="1"/>
      <c r="F62" s="4"/>
      <c r="G62" s="4"/>
      <c r="H62" s="4"/>
      <c r="I62" s="4"/>
      <c r="J62" s="4"/>
      <c r="K62" s="4"/>
      <c r="L62" s="4"/>
      <c r="M62" s="4"/>
      <c r="N62" s="4"/>
      <c r="O62" s="4"/>
      <c r="P62" s="4"/>
      <c r="Q62" s="4"/>
      <c r="R62" s="4"/>
      <c r="S62" s="4"/>
      <c r="T62" s="4"/>
      <c r="U62" s="4"/>
      <c r="V62" s="4"/>
      <c r="W62" s="4"/>
      <c r="X62" s="4"/>
      <c r="Y62" s="4"/>
      <c r="Z62" s="4"/>
    </row>
    <row r="63" ht="15.75" customHeight="1">
      <c r="A63" s="1"/>
      <c r="B63" s="1"/>
      <c r="C63" s="1"/>
      <c r="D63" s="1"/>
      <c r="E63" s="1"/>
      <c r="F63" s="4"/>
      <c r="G63" s="4"/>
      <c r="H63" s="4"/>
      <c r="I63" s="4"/>
      <c r="J63" s="4"/>
      <c r="K63" s="4"/>
      <c r="L63" s="4"/>
      <c r="M63" s="4"/>
      <c r="N63" s="4"/>
      <c r="O63" s="4"/>
      <c r="P63" s="4"/>
      <c r="Q63" s="4"/>
      <c r="R63" s="4"/>
      <c r="S63" s="4"/>
      <c r="T63" s="4"/>
      <c r="U63" s="4"/>
      <c r="V63" s="4"/>
      <c r="W63" s="4"/>
      <c r="X63" s="4"/>
      <c r="Y63" s="4"/>
      <c r="Z63" s="4"/>
    </row>
    <row r="64" ht="15.75" customHeight="1">
      <c r="A64" s="1"/>
      <c r="B64" s="1"/>
      <c r="C64" s="1"/>
      <c r="D64" s="1"/>
      <c r="E64" s="1"/>
      <c r="F64" s="4"/>
      <c r="G64" s="4"/>
      <c r="H64" s="4"/>
      <c r="I64" s="4"/>
      <c r="J64" s="4"/>
      <c r="K64" s="4"/>
      <c r="L64" s="4"/>
      <c r="M64" s="4"/>
      <c r="N64" s="4"/>
      <c r="O64" s="4"/>
      <c r="P64" s="4"/>
      <c r="Q64" s="4"/>
      <c r="R64" s="4"/>
      <c r="S64" s="4"/>
      <c r="T64" s="4"/>
      <c r="U64" s="4"/>
      <c r="V64" s="4"/>
      <c r="W64" s="4"/>
      <c r="X64" s="4"/>
      <c r="Y64" s="4"/>
      <c r="Z64" s="4"/>
    </row>
    <row r="65" ht="15.75" customHeight="1">
      <c r="A65" s="1"/>
      <c r="B65" s="1"/>
      <c r="C65" s="1"/>
      <c r="D65" s="1"/>
      <c r="E65" s="1"/>
      <c r="F65" s="4"/>
      <c r="G65" s="4"/>
      <c r="H65" s="4"/>
      <c r="I65" s="4"/>
      <c r="J65" s="4"/>
      <c r="K65" s="4"/>
      <c r="L65" s="4"/>
      <c r="M65" s="4"/>
      <c r="N65" s="4"/>
      <c r="O65" s="4"/>
      <c r="P65" s="4"/>
      <c r="Q65" s="4"/>
      <c r="R65" s="4"/>
      <c r="S65" s="4"/>
      <c r="T65" s="4"/>
      <c r="U65" s="4"/>
      <c r="V65" s="4"/>
      <c r="W65" s="4"/>
      <c r="X65" s="4"/>
      <c r="Y65" s="4"/>
      <c r="Z65" s="4"/>
    </row>
    <row r="66" ht="15.75" customHeight="1">
      <c r="A66" s="1"/>
      <c r="B66" s="1"/>
      <c r="C66" s="1"/>
      <c r="D66" s="1"/>
      <c r="E66" s="1"/>
      <c r="F66" s="4"/>
      <c r="G66" s="4"/>
      <c r="H66" s="4"/>
      <c r="I66" s="4"/>
      <c r="J66" s="4"/>
      <c r="K66" s="4"/>
      <c r="L66" s="4"/>
      <c r="M66" s="4"/>
      <c r="N66" s="4"/>
      <c r="O66" s="4"/>
      <c r="P66" s="4"/>
      <c r="Q66" s="4"/>
      <c r="R66" s="4"/>
      <c r="S66" s="4"/>
      <c r="T66" s="4"/>
      <c r="U66" s="4"/>
      <c r="V66" s="4"/>
      <c r="W66" s="4"/>
      <c r="X66" s="4"/>
      <c r="Y66" s="4"/>
      <c r="Z66" s="4"/>
    </row>
    <row r="67" ht="15.75" customHeight="1">
      <c r="A67" s="1"/>
      <c r="B67" s="1"/>
      <c r="C67" s="1"/>
      <c r="D67" s="1"/>
      <c r="E67" s="1"/>
      <c r="F67" s="4"/>
      <c r="G67" s="4"/>
      <c r="H67" s="4"/>
      <c r="I67" s="4"/>
      <c r="J67" s="4"/>
      <c r="K67" s="4"/>
      <c r="L67" s="4"/>
      <c r="M67" s="4"/>
      <c r="N67" s="4"/>
      <c r="O67" s="4"/>
      <c r="P67" s="4"/>
      <c r="Q67" s="4"/>
      <c r="R67" s="4"/>
      <c r="S67" s="4"/>
      <c r="T67" s="4"/>
      <c r="U67" s="4"/>
      <c r="V67" s="4"/>
      <c r="W67" s="4"/>
      <c r="X67" s="4"/>
      <c r="Y67" s="4"/>
      <c r="Z67" s="4"/>
    </row>
    <row r="68" ht="15.75" customHeight="1">
      <c r="A68" s="1"/>
      <c r="B68" s="1"/>
      <c r="C68" s="1"/>
      <c r="D68" s="1"/>
      <c r="E68" s="1"/>
      <c r="F68" s="4"/>
      <c r="G68" s="4"/>
      <c r="H68" s="4"/>
      <c r="I68" s="4"/>
      <c r="J68" s="4"/>
      <c r="K68" s="4"/>
      <c r="L68" s="4"/>
      <c r="M68" s="4"/>
      <c r="N68" s="4"/>
      <c r="O68" s="4"/>
      <c r="P68" s="4"/>
      <c r="Q68" s="4"/>
      <c r="R68" s="4"/>
      <c r="S68" s="4"/>
      <c r="T68" s="4"/>
      <c r="U68" s="4"/>
      <c r="V68" s="4"/>
      <c r="W68" s="4"/>
      <c r="X68" s="4"/>
      <c r="Y68" s="4"/>
      <c r="Z68" s="4"/>
    </row>
    <row r="69" ht="15.75" customHeight="1">
      <c r="A69" s="1"/>
      <c r="B69" s="1"/>
      <c r="C69" s="1"/>
      <c r="D69" s="1"/>
      <c r="E69" s="1"/>
      <c r="F69" s="4"/>
      <c r="G69" s="4"/>
      <c r="H69" s="4"/>
      <c r="I69" s="4"/>
      <c r="J69" s="4"/>
      <c r="K69" s="4"/>
      <c r="L69" s="4"/>
      <c r="M69" s="4"/>
      <c r="N69" s="4"/>
      <c r="O69" s="4"/>
      <c r="P69" s="4"/>
      <c r="Q69" s="4"/>
      <c r="R69" s="4"/>
      <c r="S69" s="4"/>
      <c r="T69" s="4"/>
      <c r="U69" s="4"/>
      <c r="V69" s="4"/>
      <c r="W69" s="4"/>
      <c r="X69" s="4"/>
      <c r="Y69" s="4"/>
      <c r="Z69" s="4"/>
    </row>
    <row r="70" ht="15.75" customHeight="1">
      <c r="A70" s="1"/>
      <c r="B70" s="1"/>
      <c r="C70" s="1"/>
      <c r="D70" s="1"/>
      <c r="E70" s="1"/>
      <c r="F70" s="4"/>
      <c r="G70" s="4"/>
      <c r="H70" s="4"/>
      <c r="I70" s="4"/>
      <c r="J70" s="4"/>
      <c r="K70" s="4"/>
      <c r="L70" s="4"/>
      <c r="M70" s="4"/>
      <c r="N70" s="4"/>
      <c r="O70" s="4"/>
      <c r="P70" s="4"/>
      <c r="Q70" s="4"/>
      <c r="R70" s="4"/>
      <c r="S70" s="4"/>
      <c r="T70" s="4"/>
      <c r="U70" s="4"/>
      <c r="V70" s="4"/>
      <c r="W70" s="4"/>
      <c r="X70" s="4"/>
      <c r="Y70" s="4"/>
      <c r="Z70" s="4"/>
    </row>
    <row r="71" ht="15.75" customHeight="1">
      <c r="A71" s="1"/>
      <c r="B71" s="1"/>
      <c r="C71" s="1"/>
      <c r="D71" s="1"/>
      <c r="E71" s="1"/>
      <c r="F71" s="4"/>
      <c r="G71" s="4"/>
      <c r="H71" s="4"/>
      <c r="I71" s="4"/>
      <c r="J71" s="4"/>
      <c r="K71" s="4"/>
      <c r="L71" s="4"/>
      <c r="M71" s="4"/>
      <c r="N71" s="4"/>
      <c r="O71" s="4"/>
      <c r="P71" s="4"/>
      <c r="Q71" s="4"/>
      <c r="R71" s="4"/>
      <c r="S71" s="4"/>
      <c r="T71" s="4"/>
      <c r="U71" s="4"/>
      <c r="V71" s="4"/>
      <c r="W71" s="4"/>
      <c r="X71" s="4"/>
      <c r="Y71" s="4"/>
      <c r="Z71" s="4"/>
    </row>
    <row r="72" ht="15.75" customHeight="1">
      <c r="A72" s="1"/>
      <c r="B72" s="1"/>
      <c r="C72" s="1"/>
      <c r="D72" s="1"/>
      <c r="E72" s="1"/>
      <c r="F72" s="4"/>
      <c r="G72" s="4"/>
      <c r="H72" s="4"/>
      <c r="I72" s="4"/>
      <c r="J72" s="4"/>
      <c r="K72" s="4"/>
      <c r="L72" s="4"/>
      <c r="M72" s="4"/>
      <c r="N72" s="4"/>
      <c r="O72" s="4"/>
      <c r="P72" s="4"/>
      <c r="Q72" s="4"/>
      <c r="R72" s="4"/>
      <c r="S72" s="4"/>
      <c r="T72" s="4"/>
      <c r="U72" s="4"/>
      <c r="V72" s="4"/>
      <c r="W72" s="4"/>
      <c r="X72" s="4"/>
      <c r="Y72" s="4"/>
      <c r="Z72" s="4"/>
    </row>
    <row r="73" ht="15.75" customHeight="1">
      <c r="A73" s="1"/>
      <c r="B73" s="1"/>
      <c r="C73" s="1"/>
      <c r="D73" s="1"/>
      <c r="E73" s="1"/>
      <c r="F73" s="4"/>
      <c r="G73" s="4"/>
      <c r="H73" s="4"/>
      <c r="I73" s="4"/>
      <c r="J73" s="4"/>
      <c r="K73" s="4"/>
      <c r="L73" s="4"/>
      <c r="M73" s="4"/>
      <c r="N73" s="4"/>
      <c r="O73" s="4"/>
      <c r="P73" s="4"/>
      <c r="Q73" s="4"/>
      <c r="R73" s="4"/>
      <c r="S73" s="4"/>
      <c r="T73" s="4"/>
      <c r="U73" s="4"/>
      <c r="V73" s="4"/>
      <c r="W73" s="4"/>
      <c r="X73" s="4"/>
      <c r="Y73" s="4"/>
      <c r="Z73" s="4"/>
    </row>
    <row r="74" ht="15.75" customHeight="1">
      <c r="A74" s="1"/>
      <c r="B74" s="1"/>
      <c r="C74" s="1"/>
      <c r="D74" s="1"/>
      <c r="E74" s="1"/>
      <c r="F74" s="4"/>
      <c r="G74" s="4"/>
      <c r="H74" s="4"/>
      <c r="I74" s="4"/>
      <c r="J74" s="4"/>
      <c r="K74" s="4"/>
      <c r="L74" s="4"/>
      <c r="M74" s="4"/>
      <c r="N74" s="4"/>
      <c r="O74" s="4"/>
      <c r="P74" s="4"/>
      <c r="Q74" s="4"/>
      <c r="R74" s="4"/>
      <c r="S74" s="4"/>
      <c r="T74" s="4"/>
      <c r="U74" s="4"/>
      <c r="V74" s="4"/>
      <c r="W74" s="4"/>
      <c r="X74" s="4"/>
      <c r="Y74" s="4"/>
      <c r="Z74" s="4"/>
    </row>
    <row r="75" ht="15.75" customHeight="1">
      <c r="A75" s="1"/>
      <c r="B75" s="1"/>
      <c r="C75" s="1"/>
      <c r="D75" s="1"/>
      <c r="E75" s="1"/>
      <c r="F75" s="4"/>
      <c r="G75" s="4"/>
      <c r="H75" s="4"/>
      <c r="I75" s="4"/>
      <c r="J75" s="4"/>
      <c r="K75" s="4"/>
      <c r="L75" s="4"/>
      <c r="M75" s="4"/>
      <c r="N75" s="4"/>
      <c r="O75" s="4"/>
      <c r="P75" s="4"/>
      <c r="Q75" s="4"/>
      <c r="R75" s="4"/>
      <c r="S75" s="4"/>
      <c r="T75" s="4"/>
      <c r="U75" s="4"/>
      <c r="V75" s="4"/>
      <c r="W75" s="4"/>
      <c r="X75" s="4"/>
      <c r="Y75" s="4"/>
      <c r="Z75" s="4"/>
    </row>
    <row r="76" ht="15.75" customHeight="1">
      <c r="A76" s="1"/>
      <c r="B76" s="1"/>
      <c r="C76" s="1"/>
      <c r="D76" s="1"/>
      <c r="E76" s="1"/>
      <c r="F76" s="4"/>
      <c r="G76" s="4"/>
      <c r="H76" s="4"/>
      <c r="I76" s="4"/>
      <c r="J76" s="4"/>
      <c r="K76" s="4"/>
      <c r="L76" s="4"/>
      <c r="M76" s="4"/>
      <c r="N76" s="4"/>
      <c r="O76" s="4"/>
      <c r="P76" s="4"/>
      <c r="Q76" s="4"/>
      <c r="R76" s="4"/>
      <c r="S76" s="4"/>
      <c r="T76" s="4"/>
      <c r="U76" s="4"/>
      <c r="V76" s="4"/>
      <c r="W76" s="4"/>
      <c r="X76" s="4"/>
      <c r="Y76" s="4"/>
      <c r="Z76" s="4"/>
    </row>
    <row r="77" ht="15.75" customHeight="1">
      <c r="A77" s="1"/>
      <c r="B77" s="1"/>
      <c r="C77" s="1"/>
      <c r="D77" s="1"/>
      <c r="E77" s="1"/>
      <c r="F77" s="4"/>
      <c r="G77" s="4"/>
      <c r="H77" s="4"/>
      <c r="I77" s="4"/>
      <c r="J77" s="4"/>
      <c r="K77" s="4"/>
      <c r="L77" s="4"/>
      <c r="M77" s="4"/>
      <c r="N77" s="4"/>
      <c r="O77" s="4"/>
      <c r="P77" s="4"/>
      <c r="Q77" s="4"/>
      <c r="R77" s="4"/>
      <c r="S77" s="4"/>
      <c r="T77" s="4"/>
      <c r="U77" s="4"/>
      <c r="V77" s="4"/>
      <c r="W77" s="4"/>
      <c r="X77" s="4"/>
      <c r="Y77" s="4"/>
      <c r="Z77" s="4"/>
    </row>
    <row r="78" ht="15.75" customHeight="1">
      <c r="A78" s="1"/>
      <c r="B78" s="1"/>
      <c r="C78" s="1"/>
      <c r="D78" s="1"/>
      <c r="E78" s="1"/>
      <c r="F78" s="4"/>
      <c r="G78" s="4"/>
      <c r="H78" s="4"/>
      <c r="I78" s="4"/>
      <c r="J78" s="4"/>
      <c r="K78" s="4"/>
      <c r="L78" s="4"/>
      <c r="M78" s="4"/>
      <c r="N78" s="4"/>
      <c r="O78" s="4"/>
      <c r="P78" s="4"/>
      <c r="Q78" s="4"/>
      <c r="R78" s="4"/>
      <c r="S78" s="4"/>
      <c r="T78" s="4"/>
      <c r="U78" s="4"/>
      <c r="V78" s="4"/>
      <c r="W78" s="4"/>
      <c r="X78" s="4"/>
      <c r="Y78" s="4"/>
      <c r="Z78" s="4"/>
    </row>
    <row r="79" ht="15.75" customHeight="1">
      <c r="A79" s="1"/>
      <c r="B79" s="1"/>
      <c r="C79" s="1"/>
      <c r="D79" s="1"/>
      <c r="E79" s="1"/>
      <c r="F79" s="4"/>
      <c r="G79" s="4"/>
      <c r="H79" s="4"/>
      <c r="I79" s="4"/>
      <c r="J79" s="4"/>
      <c r="K79" s="4"/>
      <c r="L79" s="4"/>
      <c r="M79" s="4"/>
      <c r="N79" s="4"/>
      <c r="O79" s="4"/>
      <c r="P79" s="4"/>
      <c r="Q79" s="4"/>
      <c r="R79" s="4"/>
      <c r="S79" s="4"/>
      <c r="T79" s="4"/>
      <c r="U79" s="4"/>
      <c r="V79" s="4"/>
      <c r="W79" s="4"/>
      <c r="X79" s="4"/>
      <c r="Y79" s="4"/>
      <c r="Z79" s="4"/>
    </row>
    <row r="80" ht="15.75" customHeight="1">
      <c r="A80" s="1"/>
      <c r="B80" s="1"/>
      <c r="C80" s="1"/>
      <c r="D80" s="1"/>
      <c r="E80" s="1"/>
      <c r="F80" s="4"/>
      <c r="G80" s="4"/>
      <c r="H80" s="4"/>
      <c r="I80" s="4"/>
      <c r="J80" s="4"/>
      <c r="K80" s="4"/>
      <c r="L80" s="4"/>
      <c r="M80" s="4"/>
      <c r="N80" s="4"/>
      <c r="O80" s="4"/>
      <c r="P80" s="4"/>
      <c r="Q80" s="4"/>
      <c r="R80" s="4"/>
      <c r="S80" s="4"/>
      <c r="T80" s="4"/>
      <c r="U80" s="4"/>
      <c r="V80" s="4"/>
      <c r="W80" s="4"/>
      <c r="X80" s="4"/>
      <c r="Y80" s="4"/>
      <c r="Z80" s="4"/>
    </row>
    <row r="81" ht="15.75" customHeight="1">
      <c r="A81" s="1"/>
      <c r="B81" s="1"/>
      <c r="C81" s="1"/>
      <c r="D81" s="1"/>
      <c r="E81" s="1"/>
      <c r="F81" s="4"/>
      <c r="G81" s="4"/>
      <c r="H81" s="4"/>
      <c r="I81" s="4"/>
      <c r="J81" s="4"/>
      <c r="K81" s="4"/>
      <c r="L81" s="4"/>
      <c r="M81" s="4"/>
      <c r="N81" s="4"/>
      <c r="O81" s="4"/>
      <c r="P81" s="4"/>
      <c r="Q81" s="4"/>
      <c r="R81" s="4"/>
      <c r="S81" s="4"/>
      <c r="T81" s="4"/>
      <c r="U81" s="4"/>
      <c r="V81" s="4"/>
      <c r="W81" s="4"/>
      <c r="X81" s="4"/>
      <c r="Y81" s="4"/>
      <c r="Z81" s="4"/>
    </row>
    <row r="82" ht="15.75" customHeight="1">
      <c r="A82" s="1"/>
      <c r="B82" s="1"/>
      <c r="C82" s="1"/>
      <c r="D82" s="1"/>
      <c r="E82" s="1"/>
      <c r="F82" s="4"/>
      <c r="G82" s="4"/>
      <c r="H82" s="4"/>
      <c r="I82" s="4"/>
      <c r="J82" s="4"/>
      <c r="K82" s="4"/>
      <c r="L82" s="4"/>
      <c r="M82" s="4"/>
      <c r="N82" s="4"/>
      <c r="O82" s="4"/>
      <c r="P82" s="4"/>
      <c r="Q82" s="4"/>
      <c r="R82" s="4"/>
      <c r="S82" s="4"/>
      <c r="T82" s="4"/>
      <c r="U82" s="4"/>
      <c r="V82" s="4"/>
      <c r="W82" s="4"/>
      <c r="X82" s="4"/>
      <c r="Y82" s="4"/>
      <c r="Z82" s="4"/>
    </row>
    <row r="83" ht="15.75" customHeight="1">
      <c r="A83" s="1"/>
      <c r="B83" s="1"/>
      <c r="C83" s="1"/>
      <c r="D83" s="1"/>
      <c r="E83" s="1"/>
      <c r="F83" s="4"/>
      <c r="G83" s="4"/>
      <c r="H83" s="4"/>
      <c r="I83" s="4"/>
      <c r="J83" s="4"/>
      <c r="K83" s="4"/>
      <c r="L83" s="4"/>
      <c r="M83" s="4"/>
      <c r="N83" s="4"/>
      <c r="O83" s="4"/>
      <c r="P83" s="4"/>
      <c r="Q83" s="4"/>
      <c r="R83" s="4"/>
      <c r="S83" s="4"/>
      <c r="T83" s="4"/>
      <c r="U83" s="4"/>
      <c r="V83" s="4"/>
      <c r="W83" s="4"/>
      <c r="X83" s="4"/>
      <c r="Y83" s="4"/>
      <c r="Z83" s="4"/>
    </row>
    <row r="84" ht="15.75" customHeight="1">
      <c r="A84" s="1"/>
      <c r="B84" s="1"/>
      <c r="C84" s="1"/>
      <c r="D84" s="1"/>
      <c r="E84" s="1"/>
      <c r="F84" s="4"/>
      <c r="G84" s="4"/>
      <c r="H84" s="4"/>
      <c r="I84" s="4"/>
      <c r="J84" s="4"/>
      <c r="K84" s="4"/>
      <c r="L84" s="4"/>
      <c r="M84" s="4"/>
      <c r="N84" s="4"/>
      <c r="O84" s="4"/>
      <c r="P84" s="4"/>
      <c r="Q84" s="4"/>
      <c r="R84" s="4"/>
      <c r="S84" s="4"/>
      <c r="T84" s="4"/>
      <c r="U84" s="4"/>
      <c r="V84" s="4"/>
      <c r="W84" s="4"/>
      <c r="X84" s="4"/>
      <c r="Y84" s="4"/>
      <c r="Z84" s="4"/>
    </row>
    <row r="85" ht="15.75" customHeight="1">
      <c r="A85" s="1"/>
      <c r="B85" s="1"/>
      <c r="C85" s="1"/>
      <c r="D85" s="1"/>
      <c r="E85" s="1"/>
      <c r="F85" s="4"/>
      <c r="G85" s="4"/>
      <c r="H85" s="4"/>
      <c r="I85" s="4"/>
      <c r="J85" s="4"/>
      <c r="K85" s="4"/>
      <c r="L85" s="4"/>
      <c r="M85" s="4"/>
      <c r="N85" s="4"/>
      <c r="O85" s="4"/>
      <c r="P85" s="4"/>
      <c r="Q85" s="4"/>
      <c r="R85" s="4"/>
      <c r="S85" s="4"/>
      <c r="T85" s="4"/>
      <c r="U85" s="4"/>
      <c r="V85" s="4"/>
      <c r="W85" s="4"/>
      <c r="X85" s="4"/>
      <c r="Y85" s="4"/>
      <c r="Z85" s="4"/>
    </row>
    <row r="86" ht="15.75" customHeight="1">
      <c r="A86" s="1"/>
      <c r="B86" s="1"/>
      <c r="C86" s="1"/>
      <c r="D86" s="1"/>
      <c r="E86" s="1"/>
      <c r="F86" s="4"/>
      <c r="G86" s="4"/>
      <c r="H86" s="4"/>
      <c r="I86" s="4"/>
      <c r="J86" s="4"/>
      <c r="K86" s="4"/>
      <c r="L86" s="4"/>
      <c r="M86" s="4"/>
      <c r="N86" s="4"/>
      <c r="O86" s="4"/>
      <c r="P86" s="4"/>
      <c r="Q86" s="4"/>
      <c r="R86" s="4"/>
      <c r="S86" s="4"/>
      <c r="T86" s="4"/>
      <c r="U86" s="4"/>
      <c r="V86" s="4"/>
      <c r="W86" s="4"/>
      <c r="X86" s="4"/>
      <c r="Y86" s="4"/>
      <c r="Z86" s="4"/>
    </row>
    <row r="87" ht="15.75" customHeight="1">
      <c r="A87" s="1"/>
      <c r="B87" s="1"/>
      <c r="C87" s="1"/>
      <c r="D87" s="1"/>
      <c r="E87" s="1"/>
      <c r="F87" s="4"/>
      <c r="G87" s="4"/>
      <c r="H87" s="4"/>
      <c r="I87" s="4"/>
      <c r="J87" s="4"/>
      <c r="K87" s="4"/>
      <c r="L87" s="4"/>
      <c r="M87" s="4"/>
      <c r="N87" s="4"/>
      <c r="O87" s="4"/>
      <c r="P87" s="4"/>
      <c r="Q87" s="4"/>
      <c r="R87" s="4"/>
      <c r="S87" s="4"/>
      <c r="T87" s="4"/>
      <c r="U87" s="4"/>
      <c r="V87" s="4"/>
      <c r="W87" s="4"/>
      <c r="X87" s="4"/>
      <c r="Y87" s="4"/>
      <c r="Z87" s="4"/>
    </row>
    <row r="88" ht="15.75" customHeight="1">
      <c r="A88" s="1"/>
      <c r="B88" s="1"/>
      <c r="C88" s="1"/>
      <c r="D88" s="1"/>
      <c r="E88" s="1"/>
      <c r="F88" s="4"/>
      <c r="G88" s="4"/>
      <c r="H88" s="4"/>
      <c r="I88" s="4"/>
      <c r="J88" s="4"/>
      <c r="K88" s="4"/>
      <c r="L88" s="4"/>
      <c r="M88" s="4"/>
      <c r="N88" s="4"/>
      <c r="O88" s="4"/>
      <c r="P88" s="4"/>
      <c r="Q88" s="4"/>
      <c r="R88" s="4"/>
      <c r="S88" s="4"/>
      <c r="T88" s="4"/>
      <c r="U88" s="4"/>
      <c r="V88" s="4"/>
      <c r="W88" s="4"/>
      <c r="X88" s="4"/>
      <c r="Y88" s="4"/>
      <c r="Z88" s="4"/>
    </row>
    <row r="89" ht="15.75" customHeight="1">
      <c r="A89" s="1"/>
      <c r="B89" s="1"/>
      <c r="C89" s="1"/>
      <c r="D89" s="1"/>
      <c r="E89" s="1"/>
      <c r="F89" s="4"/>
      <c r="G89" s="4"/>
      <c r="H89" s="4"/>
      <c r="I89" s="4"/>
      <c r="J89" s="4"/>
      <c r="K89" s="4"/>
      <c r="L89" s="4"/>
      <c r="M89" s="4"/>
      <c r="N89" s="4"/>
      <c r="O89" s="4"/>
      <c r="P89" s="4"/>
      <c r="Q89" s="4"/>
      <c r="R89" s="4"/>
      <c r="S89" s="4"/>
      <c r="T89" s="4"/>
      <c r="U89" s="4"/>
      <c r="V89" s="4"/>
      <c r="W89" s="4"/>
      <c r="X89" s="4"/>
      <c r="Y89" s="4"/>
      <c r="Z89" s="4"/>
    </row>
    <row r="90" ht="15.75" customHeight="1">
      <c r="A90" s="1"/>
      <c r="B90" s="1"/>
      <c r="C90" s="1"/>
      <c r="D90" s="1"/>
      <c r="E90" s="1"/>
      <c r="F90" s="4"/>
      <c r="G90" s="4"/>
      <c r="H90" s="4"/>
      <c r="I90" s="4"/>
      <c r="J90" s="4"/>
      <c r="K90" s="4"/>
      <c r="L90" s="4"/>
      <c r="M90" s="4"/>
      <c r="N90" s="4"/>
      <c r="O90" s="4"/>
      <c r="P90" s="4"/>
      <c r="Q90" s="4"/>
      <c r="R90" s="4"/>
      <c r="S90" s="4"/>
      <c r="T90" s="4"/>
      <c r="U90" s="4"/>
      <c r="V90" s="4"/>
      <c r="W90" s="4"/>
      <c r="X90" s="4"/>
      <c r="Y90" s="4"/>
      <c r="Z90" s="4"/>
    </row>
    <row r="91" ht="15.75" customHeight="1">
      <c r="A91" s="1"/>
      <c r="B91" s="1"/>
      <c r="C91" s="1"/>
      <c r="D91" s="1"/>
      <c r="E91" s="1"/>
      <c r="F91" s="4"/>
      <c r="G91" s="4"/>
      <c r="H91" s="4"/>
      <c r="I91" s="4"/>
      <c r="J91" s="4"/>
      <c r="K91" s="4"/>
      <c r="L91" s="4"/>
      <c r="M91" s="4"/>
      <c r="N91" s="4"/>
      <c r="O91" s="4"/>
      <c r="P91" s="4"/>
      <c r="Q91" s="4"/>
      <c r="R91" s="4"/>
      <c r="S91" s="4"/>
      <c r="T91" s="4"/>
      <c r="U91" s="4"/>
      <c r="V91" s="4"/>
      <c r="W91" s="4"/>
      <c r="X91" s="4"/>
      <c r="Y91" s="4"/>
      <c r="Z91" s="4"/>
    </row>
    <row r="92" ht="15.75" customHeight="1">
      <c r="A92" s="1"/>
      <c r="B92" s="1"/>
      <c r="C92" s="1"/>
      <c r="D92" s="1"/>
      <c r="E92" s="1"/>
      <c r="F92" s="4"/>
      <c r="G92" s="4"/>
      <c r="H92" s="4"/>
      <c r="I92" s="4"/>
      <c r="J92" s="4"/>
      <c r="K92" s="4"/>
      <c r="L92" s="4"/>
      <c r="M92" s="4"/>
      <c r="N92" s="4"/>
      <c r="O92" s="4"/>
      <c r="P92" s="4"/>
      <c r="Q92" s="4"/>
      <c r="R92" s="4"/>
      <c r="S92" s="4"/>
      <c r="T92" s="4"/>
      <c r="U92" s="4"/>
      <c r="V92" s="4"/>
      <c r="W92" s="4"/>
      <c r="X92" s="4"/>
      <c r="Y92" s="4"/>
      <c r="Z92" s="4"/>
    </row>
    <row r="93" ht="15.75" customHeight="1">
      <c r="A93" s="1"/>
      <c r="B93" s="1"/>
      <c r="C93" s="1"/>
      <c r="D93" s="1"/>
      <c r="E93" s="1"/>
      <c r="F93" s="4"/>
      <c r="G93" s="4"/>
      <c r="H93" s="4"/>
      <c r="I93" s="4"/>
      <c r="J93" s="4"/>
      <c r="K93" s="4"/>
      <c r="L93" s="4"/>
      <c r="M93" s="4"/>
      <c r="N93" s="4"/>
      <c r="O93" s="4"/>
      <c r="P93" s="4"/>
      <c r="Q93" s="4"/>
      <c r="R93" s="4"/>
      <c r="S93" s="4"/>
      <c r="T93" s="4"/>
      <c r="U93" s="4"/>
      <c r="V93" s="4"/>
      <c r="W93" s="4"/>
      <c r="X93" s="4"/>
      <c r="Y93" s="4"/>
      <c r="Z93" s="4"/>
    </row>
    <row r="94" ht="15.75" customHeight="1">
      <c r="A94" s="1"/>
      <c r="B94" s="1"/>
      <c r="C94" s="1"/>
      <c r="D94" s="1"/>
      <c r="E94" s="1"/>
      <c r="F94" s="4"/>
      <c r="G94" s="4"/>
      <c r="H94" s="4"/>
      <c r="I94" s="4"/>
      <c r="J94" s="4"/>
      <c r="K94" s="4"/>
      <c r="L94" s="4"/>
      <c r="M94" s="4"/>
      <c r="N94" s="4"/>
      <c r="O94" s="4"/>
      <c r="P94" s="4"/>
      <c r="Q94" s="4"/>
      <c r="R94" s="4"/>
      <c r="S94" s="4"/>
      <c r="T94" s="4"/>
      <c r="U94" s="4"/>
      <c r="V94" s="4"/>
      <c r="W94" s="4"/>
      <c r="X94" s="4"/>
      <c r="Y94" s="4"/>
      <c r="Z94" s="4"/>
    </row>
    <row r="95" ht="15.75" customHeight="1">
      <c r="A95" s="1"/>
      <c r="B95" s="1"/>
      <c r="C95" s="1"/>
      <c r="D95" s="1"/>
      <c r="E95" s="1"/>
      <c r="F95" s="4"/>
      <c r="G95" s="4"/>
      <c r="H95" s="4"/>
      <c r="I95" s="4"/>
      <c r="J95" s="4"/>
      <c r="K95" s="4"/>
      <c r="L95" s="4"/>
      <c r="M95" s="4"/>
      <c r="N95" s="4"/>
      <c r="O95" s="4"/>
      <c r="P95" s="4"/>
      <c r="Q95" s="4"/>
      <c r="R95" s="4"/>
      <c r="S95" s="4"/>
      <c r="T95" s="4"/>
      <c r="U95" s="4"/>
      <c r="V95" s="4"/>
      <c r="W95" s="4"/>
      <c r="X95" s="4"/>
      <c r="Y95" s="4"/>
      <c r="Z95" s="4"/>
    </row>
    <row r="96" ht="15.75" customHeight="1">
      <c r="A96" s="1"/>
      <c r="B96" s="1"/>
      <c r="C96" s="1"/>
      <c r="D96" s="1"/>
      <c r="E96" s="1"/>
      <c r="F96" s="4"/>
      <c r="G96" s="4"/>
      <c r="H96" s="4"/>
      <c r="I96" s="4"/>
      <c r="J96" s="4"/>
      <c r="K96" s="4"/>
      <c r="L96" s="4"/>
      <c r="M96" s="4"/>
      <c r="N96" s="4"/>
      <c r="O96" s="4"/>
      <c r="P96" s="4"/>
      <c r="Q96" s="4"/>
      <c r="R96" s="4"/>
      <c r="S96" s="4"/>
      <c r="T96" s="4"/>
      <c r="U96" s="4"/>
      <c r="V96" s="4"/>
      <c r="W96" s="4"/>
      <c r="X96" s="4"/>
      <c r="Y96" s="4"/>
      <c r="Z96" s="4"/>
    </row>
    <row r="97" ht="15.75" customHeight="1">
      <c r="A97" s="1"/>
      <c r="B97" s="1"/>
      <c r="C97" s="1"/>
      <c r="D97" s="1"/>
      <c r="E97" s="1"/>
      <c r="F97" s="4"/>
      <c r="G97" s="4"/>
      <c r="H97" s="4"/>
      <c r="I97" s="4"/>
      <c r="J97" s="4"/>
      <c r="K97" s="4"/>
      <c r="L97" s="4"/>
      <c r="M97" s="4"/>
      <c r="N97" s="4"/>
      <c r="O97" s="4"/>
      <c r="P97" s="4"/>
      <c r="Q97" s="4"/>
      <c r="R97" s="4"/>
      <c r="S97" s="4"/>
      <c r="T97" s="4"/>
      <c r="U97" s="4"/>
      <c r="V97" s="4"/>
      <c r="W97" s="4"/>
      <c r="X97" s="4"/>
      <c r="Y97" s="4"/>
      <c r="Z97" s="4"/>
    </row>
    <row r="98" ht="15.75" customHeight="1">
      <c r="A98" s="1"/>
      <c r="B98" s="1"/>
      <c r="C98" s="1"/>
      <c r="D98" s="1"/>
      <c r="E98" s="1"/>
      <c r="F98" s="4"/>
      <c r="G98" s="4"/>
      <c r="H98" s="4"/>
      <c r="I98" s="4"/>
      <c r="J98" s="4"/>
      <c r="K98" s="4"/>
      <c r="L98" s="4"/>
      <c r="M98" s="4"/>
      <c r="N98" s="4"/>
      <c r="O98" s="4"/>
      <c r="P98" s="4"/>
      <c r="Q98" s="4"/>
      <c r="R98" s="4"/>
      <c r="S98" s="4"/>
      <c r="T98" s="4"/>
      <c r="U98" s="4"/>
      <c r="V98" s="4"/>
      <c r="W98" s="4"/>
      <c r="X98" s="4"/>
      <c r="Y98" s="4"/>
      <c r="Z98" s="4"/>
    </row>
    <row r="99" ht="15.75" customHeight="1">
      <c r="A99" s="1"/>
      <c r="B99" s="1"/>
      <c r="C99" s="1"/>
      <c r="D99" s="1"/>
      <c r="E99" s="1"/>
      <c r="F99" s="4"/>
      <c r="G99" s="4"/>
      <c r="H99" s="4"/>
      <c r="I99" s="4"/>
      <c r="J99" s="4"/>
      <c r="K99" s="4"/>
      <c r="L99" s="4"/>
      <c r="M99" s="4"/>
      <c r="N99" s="4"/>
      <c r="O99" s="4"/>
      <c r="P99" s="4"/>
      <c r="Q99" s="4"/>
      <c r="R99" s="4"/>
      <c r="S99" s="4"/>
      <c r="T99" s="4"/>
      <c r="U99" s="4"/>
      <c r="V99" s="4"/>
      <c r="W99" s="4"/>
      <c r="X99" s="4"/>
      <c r="Y99" s="4"/>
      <c r="Z99" s="4"/>
    </row>
    <row r="100" ht="15.75" customHeight="1">
      <c r="A100" s="1"/>
      <c r="B100" s="1"/>
      <c r="C100" s="1"/>
      <c r="D100" s="1"/>
      <c r="E100" s="1"/>
      <c r="F100" s="4"/>
      <c r="G100" s="4"/>
      <c r="H100" s="4"/>
      <c r="I100" s="4"/>
      <c r="J100" s="4"/>
      <c r="K100" s="4"/>
      <c r="L100" s="4"/>
      <c r="M100" s="4"/>
      <c r="N100" s="4"/>
      <c r="O100" s="4"/>
      <c r="P100" s="4"/>
      <c r="Q100" s="4"/>
      <c r="R100" s="4"/>
      <c r="S100" s="4"/>
      <c r="T100" s="4"/>
      <c r="U100" s="4"/>
      <c r="V100" s="4"/>
      <c r="W100" s="4"/>
      <c r="X100" s="4"/>
      <c r="Y100" s="4"/>
      <c r="Z100" s="4"/>
    </row>
    <row r="101" ht="15.75" customHeight="1">
      <c r="A101" s="1"/>
      <c r="B101" s="1"/>
      <c r="C101" s="1"/>
      <c r="D101" s="1"/>
      <c r="E101" s="1"/>
      <c r="F101" s="4"/>
      <c r="G101" s="4"/>
      <c r="H101" s="4"/>
      <c r="I101" s="4"/>
      <c r="J101" s="4"/>
      <c r="K101" s="4"/>
      <c r="L101" s="4"/>
      <c r="M101" s="4"/>
      <c r="N101" s="4"/>
      <c r="O101" s="4"/>
      <c r="P101" s="4"/>
      <c r="Q101" s="4"/>
      <c r="R101" s="4"/>
      <c r="S101" s="4"/>
      <c r="T101" s="4"/>
      <c r="U101" s="4"/>
      <c r="V101" s="4"/>
      <c r="W101" s="4"/>
      <c r="X101" s="4"/>
      <c r="Y101" s="4"/>
      <c r="Z101" s="4"/>
    </row>
    <row r="102" ht="15.75" customHeight="1">
      <c r="A102" s="1"/>
      <c r="B102" s="1"/>
      <c r="C102" s="1"/>
      <c r="D102" s="1"/>
      <c r="E102" s="1"/>
      <c r="F102" s="4"/>
      <c r="G102" s="4"/>
      <c r="H102" s="4"/>
      <c r="I102" s="4"/>
      <c r="J102" s="4"/>
      <c r="K102" s="4"/>
      <c r="L102" s="4"/>
      <c r="M102" s="4"/>
      <c r="N102" s="4"/>
      <c r="O102" s="4"/>
      <c r="P102" s="4"/>
      <c r="Q102" s="4"/>
      <c r="R102" s="4"/>
      <c r="S102" s="4"/>
      <c r="T102" s="4"/>
      <c r="U102" s="4"/>
      <c r="V102" s="4"/>
      <c r="W102" s="4"/>
      <c r="X102" s="4"/>
      <c r="Y102" s="4"/>
      <c r="Z102" s="4"/>
    </row>
    <row r="103" ht="15.75" customHeight="1">
      <c r="A103" s="1"/>
      <c r="B103" s="1"/>
      <c r="C103" s="1"/>
      <c r="D103" s="1"/>
      <c r="E103" s="1"/>
      <c r="F103" s="4"/>
      <c r="G103" s="4"/>
      <c r="H103" s="4"/>
      <c r="I103" s="4"/>
      <c r="J103" s="4"/>
      <c r="K103" s="4"/>
      <c r="L103" s="4"/>
      <c r="M103" s="4"/>
      <c r="N103" s="4"/>
      <c r="O103" s="4"/>
      <c r="P103" s="4"/>
      <c r="Q103" s="4"/>
      <c r="R103" s="4"/>
      <c r="S103" s="4"/>
      <c r="T103" s="4"/>
      <c r="U103" s="4"/>
      <c r="V103" s="4"/>
      <c r="W103" s="4"/>
      <c r="X103" s="4"/>
      <c r="Y103" s="4"/>
      <c r="Z103" s="4"/>
    </row>
    <row r="104" ht="15.75" customHeight="1">
      <c r="A104" s="1"/>
      <c r="B104" s="1"/>
      <c r="C104" s="1"/>
      <c r="D104" s="1"/>
      <c r="E104" s="1"/>
      <c r="F104" s="4"/>
      <c r="G104" s="4"/>
      <c r="H104" s="4"/>
      <c r="I104" s="4"/>
      <c r="J104" s="4"/>
      <c r="K104" s="4"/>
      <c r="L104" s="4"/>
      <c r="M104" s="4"/>
      <c r="N104" s="4"/>
      <c r="O104" s="4"/>
      <c r="P104" s="4"/>
      <c r="Q104" s="4"/>
      <c r="R104" s="4"/>
      <c r="S104" s="4"/>
      <c r="T104" s="4"/>
      <c r="U104" s="4"/>
      <c r="V104" s="4"/>
      <c r="W104" s="4"/>
      <c r="X104" s="4"/>
      <c r="Y104" s="4"/>
      <c r="Z104" s="4"/>
    </row>
    <row r="105" ht="15.75" customHeight="1">
      <c r="A105" s="1"/>
      <c r="B105" s="1"/>
      <c r="C105" s="1"/>
      <c r="D105" s="1"/>
      <c r="E105" s="1"/>
      <c r="F105" s="4"/>
      <c r="G105" s="4"/>
      <c r="H105" s="4"/>
      <c r="I105" s="4"/>
      <c r="J105" s="4"/>
      <c r="K105" s="4"/>
      <c r="L105" s="4"/>
      <c r="M105" s="4"/>
      <c r="N105" s="4"/>
      <c r="O105" s="4"/>
      <c r="P105" s="4"/>
      <c r="Q105" s="4"/>
      <c r="R105" s="4"/>
      <c r="S105" s="4"/>
      <c r="T105" s="4"/>
      <c r="U105" s="4"/>
      <c r="V105" s="4"/>
      <c r="W105" s="4"/>
      <c r="X105" s="4"/>
      <c r="Y105" s="4"/>
      <c r="Z105" s="4"/>
    </row>
    <row r="106" ht="15.75" customHeight="1">
      <c r="A106" s="1"/>
      <c r="B106" s="1"/>
      <c r="C106" s="1"/>
      <c r="D106" s="1"/>
      <c r="E106" s="1"/>
      <c r="F106" s="4"/>
      <c r="G106" s="4"/>
      <c r="H106" s="4"/>
      <c r="I106" s="4"/>
      <c r="J106" s="4"/>
      <c r="K106" s="4"/>
      <c r="L106" s="4"/>
      <c r="M106" s="4"/>
      <c r="N106" s="4"/>
      <c r="O106" s="4"/>
      <c r="P106" s="4"/>
      <c r="Q106" s="4"/>
      <c r="R106" s="4"/>
      <c r="S106" s="4"/>
      <c r="T106" s="4"/>
      <c r="U106" s="4"/>
      <c r="V106" s="4"/>
      <c r="W106" s="4"/>
      <c r="X106" s="4"/>
      <c r="Y106" s="4"/>
      <c r="Z106" s="4"/>
    </row>
    <row r="107" ht="15.75" customHeight="1">
      <c r="A107" s="1"/>
      <c r="B107" s="1"/>
      <c r="C107" s="1"/>
      <c r="D107" s="1"/>
      <c r="E107" s="1"/>
      <c r="F107" s="4"/>
      <c r="G107" s="4"/>
      <c r="H107" s="4"/>
      <c r="I107" s="4"/>
      <c r="J107" s="4"/>
      <c r="K107" s="4"/>
      <c r="L107" s="4"/>
      <c r="M107" s="4"/>
      <c r="N107" s="4"/>
      <c r="O107" s="4"/>
      <c r="P107" s="4"/>
      <c r="Q107" s="4"/>
      <c r="R107" s="4"/>
      <c r="S107" s="4"/>
      <c r="T107" s="4"/>
      <c r="U107" s="4"/>
      <c r="V107" s="4"/>
      <c r="W107" s="4"/>
      <c r="X107" s="4"/>
      <c r="Y107" s="4"/>
      <c r="Z107" s="4"/>
    </row>
    <row r="108" ht="15.75" customHeight="1">
      <c r="A108" s="1"/>
      <c r="B108" s="1"/>
      <c r="C108" s="1"/>
      <c r="D108" s="1"/>
      <c r="E108" s="1"/>
      <c r="F108" s="4"/>
      <c r="G108" s="4"/>
      <c r="H108" s="4"/>
      <c r="I108" s="4"/>
      <c r="J108" s="4"/>
      <c r="K108" s="4"/>
      <c r="L108" s="4"/>
      <c r="M108" s="4"/>
      <c r="N108" s="4"/>
      <c r="O108" s="4"/>
      <c r="P108" s="4"/>
      <c r="Q108" s="4"/>
      <c r="R108" s="4"/>
      <c r="S108" s="4"/>
      <c r="T108" s="4"/>
      <c r="U108" s="4"/>
      <c r="V108" s="4"/>
      <c r="W108" s="4"/>
      <c r="X108" s="4"/>
      <c r="Y108" s="4"/>
      <c r="Z108" s="4"/>
    </row>
    <row r="109" ht="15.75" customHeight="1">
      <c r="A109" s="1"/>
      <c r="B109" s="1"/>
      <c r="C109" s="1"/>
      <c r="D109" s="1"/>
      <c r="E109" s="1"/>
      <c r="F109" s="4"/>
      <c r="G109" s="4"/>
      <c r="H109" s="4"/>
      <c r="I109" s="4"/>
      <c r="J109" s="4"/>
      <c r="K109" s="4"/>
      <c r="L109" s="4"/>
      <c r="M109" s="4"/>
      <c r="N109" s="4"/>
      <c r="O109" s="4"/>
      <c r="P109" s="4"/>
      <c r="Q109" s="4"/>
      <c r="R109" s="4"/>
      <c r="S109" s="4"/>
      <c r="T109" s="4"/>
      <c r="U109" s="4"/>
      <c r="V109" s="4"/>
      <c r="W109" s="4"/>
      <c r="X109" s="4"/>
      <c r="Y109" s="4"/>
      <c r="Z109" s="4"/>
    </row>
    <row r="110" ht="15.75" customHeight="1">
      <c r="A110" s="1"/>
      <c r="B110" s="1"/>
      <c r="C110" s="1"/>
      <c r="D110" s="1"/>
      <c r="E110" s="1"/>
      <c r="F110" s="4"/>
      <c r="G110" s="4"/>
      <c r="H110" s="4"/>
      <c r="I110" s="4"/>
      <c r="J110" s="4"/>
      <c r="K110" s="4"/>
      <c r="L110" s="4"/>
      <c r="M110" s="4"/>
      <c r="N110" s="4"/>
      <c r="O110" s="4"/>
      <c r="P110" s="4"/>
      <c r="Q110" s="4"/>
      <c r="R110" s="4"/>
      <c r="S110" s="4"/>
      <c r="T110" s="4"/>
      <c r="U110" s="4"/>
      <c r="V110" s="4"/>
      <c r="W110" s="4"/>
      <c r="X110" s="4"/>
      <c r="Y110" s="4"/>
      <c r="Z110" s="4"/>
    </row>
    <row r="111" ht="15.75" customHeight="1">
      <c r="A111" s="1"/>
      <c r="B111" s="1"/>
      <c r="C111" s="1"/>
      <c r="D111" s="1"/>
      <c r="E111" s="1"/>
      <c r="F111" s="4"/>
      <c r="G111" s="4"/>
      <c r="H111" s="4"/>
      <c r="I111" s="4"/>
      <c r="J111" s="4"/>
      <c r="K111" s="4"/>
      <c r="L111" s="4"/>
      <c r="M111" s="4"/>
      <c r="N111" s="4"/>
      <c r="O111" s="4"/>
      <c r="P111" s="4"/>
      <c r="Q111" s="4"/>
      <c r="R111" s="4"/>
      <c r="S111" s="4"/>
      <c r="T111" s="4"/>
      <c r="U111" s="4"/>
      <c r="V111" s="4"/>
      <c r="W111" s="4"/>
      <c r="X111" s="4"/>
      <c r="Y111" s="4"/>
      <c r="Z111" s="4"/>
    </row>
    <row r="112" ht="15.75" customHeight="1">
      <c r="A112" s="1"/>
      <c r="B112" s="1"/>
      <c r="C112" s="1"/>
      <c r="D112" s="1"/>
      <c r="E112" s="1"/>
      <c r="F112" s="4"/>
      <c r="G112" s="4"/>
      <c r="H112" s="4"/>
      <c r="I112" s="4"/>
      <c r="J112" s="4"/>
      <c r="K112" s="4"/>
      <c r="L112" s="4"/>
      <c r="M112" s="4"/>
      <c r="N112" s="4"/>
      <c r="O112" s="4"/>
      <c r="P112" s="4"/>
      <c r="Q112" s="4"/>
      <c r="R112" s="4"/>
      <c r="S112" s="4"/>
      <c r="T112" s="4"/>
      <c r="U112" s="4"/>
      <c r="V112" s="4"/>
      <c r="W112" s="4"/>
      <c r="X112" s="4"/>
      <c r="Y112" s="4"/>
      <c r="Z112" s="4"/>
    </row>
    <row r="113" ht="15.75" customHeight="1">
      <c r="A113" s="1"/>
      <c r="B113" s="1"/>
      <c r="C113" s="1"/>
      <c r="D113" s="1"/>
      <c r="E113" s="1"/>
      <c r="F113" s="4"/>
      <c r="G113" s="4"/>
      <c r="H113" s="4"/>
      <c r="I113" s="4"/>
      <c r="J113" s="4"/>
      <c r="K113" s="4"/>
      <c r="L113" s="4"/>
      <c r="M113" s="4"/>
      <c r="N113" s="4"/>
      <c r="O113" s="4"/>
      <c r="P113" s="4"/>
      <c r="Q113" s="4"/>
      <c r="R113" s="4"/>
      <c r="S113" s="4"/>
      <c r="T113" s="4"/>
      <c r="U113" s="4"/>
      <c r="V113" s="4"/>
      <c r="W113" s="4"/>
      <c r="X113" s="4"/>
      <c r="Y113" s="4"/>
      <c r="Z113" s="4"/>
    </row>
    <row r="114" ht="15.75" customHeight="1">
      <c r="A114" s="1"/>
      <c r="B114" s="1"/>
      <c r="C114" s="1"/>
      <c r="D114" s="1"/>
      <c r="E114" s="1"/>
      <c r="F114" s="4"/>
      <c r="G114" s="4"/>
      <c r="H114" s="4"/>
      <c r="I114" s="4"/>
      <c r="J114" s="4"/>
      <c r="K114" s="4"/>
      <c r="L114" s="4"/>
      <c r="M114" s="4"/>
      <c r="N114" s="4"/>
      <c r="O114" s="4"/>
      <c r="P114" s="4"/>
      <c r="Q114" s="4"/>
      <c r="R114" s="4"/>
      <c r="S114" s="4"/>
      <c r="T114" s="4"/>
      <c r="U114" s="4"/>
      <c r="V114" s="4"/>
      <c r="W114" s="4"/>
      <c r="X114" s="4"/>
      <c r="Y114" s="4"/>
      <c r="Z114" s="4"/>
    </row>
    <row r="115" ht="15.75" customHeight="1">
      <c r="A115" s="1"/>
      <c r="B115" s="1"/>
      <c r="C115" s="1"/>
      <c r="D115" s="1"/>
      <c r="E115" s="1"/>
      <c r="F115" s="4"/>
      <c r="G115" s="4"/>
      <c r="H115" s="4"/>
      <c r="I115" s="4"/>
      <c r="J115" s="4"/>
      <c r="K115" s="4"/>
      <c r="L115" s="4"/>
      <c r="M115" s="4"/>
      <c r="N115" s="4"/>
      <c r="O115" s="4"/>
      <c r="P115" s="4"/>
      <c r="Q115" s="4"/>
      <c r="R115" s="4"/>
      <c r="S115" s="4"/>
      <c r="T115" s="4"/>
      <c r="U115" s="4"/>
      <c r="V115" s="4"/>
      <c r="W115" s="4"/>
      <c r="X115" s="4"/>
      <c r="Y115" s="4"/>
      <c r="Z115" s="4"/>
    </row>
    <row r="116" ht="15.75" customHeight="1">
      <c r="A116" s="1"/>
      <c r="B116" s="1"/>
      <c r="C116" s="1"/>
      <c r="D116" s="1"/>
      <c r="E116" s="1"/>
      <c r="F116" s="4"/>
      <c r="G116" s="4"/>
      <c r="H116" s="4"/>
      <c r="I116" s="4"/>
      <c r="J116" s="4"/>
      <c r="K116" s="4"/>
      <c r="L116" s="4"/>
      <c r="M116" s="4"/>
      <c r="N116" s="4"/>
      <c r="O116" s="4"/>
      <c r="P116" s="4"/>
      <c r="Q116" s="4"/>
      <c r="R116" s="4"/>
      <c r="S116" s="4"/>
      <c r="T116" s="4"/>
      <c r="U116" s="4"/>
      <c r="V116" s="4"/>
      <c r="W116" s="4"/>
      <c r="X116" s="4"/>
      <c r="Y116" s="4"/>
      <c r="Z116" s="4"/>
    </row>
    <row r="117" ht="15.75" customHeight="1">
      <c r="A117" s="1"/>
      <c r="B117" s="1"/>
      <c r="C117" s="1"/>
      <c r="D117" s="1"/>
      <c r="E117" s="1"/>
      <c r="F117" s="4"/>
      <c r="G117" s="4"/>
      <c r="H117" s="4"/>
      <c r="I117" s="4"/>
      <c r="J117" s="4"/>
      <c r="K117" s="4"/>
      <c r="L117" s="4"/>
      <c r="M117" s="4"/>
      <c r="N117" s="4"/>
      <c r="O117" s="4"/>
      <c r="P117" s="4"/>
      <c r="Q117" s="4"/>
      <c r="R117" s="4"/>
      <c r="S117" s="4"/>
      <c r="T117" s="4"/>
      <c r="U117" s="4"/>
      <c r="V117" s="4"/>
      <c r="W117" s="4"/>
      <c r="X117" s="4"/>
      <c r="Y117" s="4"/>
      <c r="Z117" s="4"/>
    </row>
    <row r="118" ht="15.75" customHeight="1">
      <c r="A118" s="1"/>
      <c r="B118" s="1"/>
      <c r="C118" s="1"/>
      <c r="D118" s="1"/>
      <c r="E118" s="1"/>
      <c r="F118" s="4"/>
      <c r="G118" s="4"/>
      <c r="H118" s="4"/>
      <c r="I118" s="4"/>
      <c r="J118" s="4"/>
      <c r="K118" s="4"/>
      <c r="L118" s="4"/>
      <c r="M118" s="4"/>
      <c r="N118" s="4"/>
      <c r="O118" s="4"/>
      <c r="P118" s="4"/>
      <c r="Q118" s="4"/>
      <c r="R118" s="4"/>
      <c r="S118" s="4"/>
      <c r="T118" s="4"/>
      <c r="U118" s="4"/>
      <c r="V118" s="4"/>
      <c r="W118" s="4"/>
      <c r="X118" s="4"/>
      <c r="Y118" s="4"/>
      <c r="Z118" s="4"/>
    </row>
    <row r="119" ht="15.75" customHeight="1">
      <c r="A119" s="1"/>
      <c r="B119" s="1"/>
      <c r="C119" s="1"/>
      <c r="D119" s="1"/>
      <c r="E119" s="1"/>
      <c r="F119" s="4"/>
      <c r="G119" s="4"/>
      <c r="H119" s="4"/>
      <c r="I119" s="4"/>
      <c r="J119" s="4"/>
      <c r="K119" s="4"/>
      <c r="L119" s="4"/>
      <c r="M119" s="4"/>
      <c r="N119" s="4"/>
      <c r="O119" s="4"/>
      <c r="P119" s="4"/>
      <c r="Q119" s="4"/>
      <c r="R119" s="4"/>
      <c r="S119" s="4"/>
      <c r="T119" s="4"/>
      <c r="U119" s="4"/>
      <c r="V119" s="4"/>
      <c r="W119" s="4"/>
      <c r="X119" s="4"/>
      <c r="Y119" s="4"/>
      <c r="Z119" s="4"/>
    </row>
    <row r="120" ht="15.75" customHeight="1">
      <c r="A120" s="1"/>
      <c r="B120" s="1"/>
      <c r="C120" s="1"/>
      <c r="D120" s="1"/>
      <c r="E120" s="1"/>
      <c r="F120" s="4"/>
      <c r="G120" s="4"/>
      <c r="H120" s="4"/>
      <c r="I120" s="4"/>
      <c r="J120" s="4"/>
      <c r="K120" s="4"/>
      <c r="L120" s="4"/>
      <c r="M120" s="4"/>
      <c r="N120" s="4"/>
      <c r="O120" s="4"/>
      <c r="P120" s="4"/>
      <c r="Q120" s="4"/>
      <c r="R120" s="4"/>
      <c r="S120" s="4"/>
      <c r="T120" s="4"/>
      <c r="U120" s="4"/>
      <c r="V120" s="4"/>
      <c r="W120" s="4"/>
      <c r="X120" s="4"/>
      <c r="Y120" s="4"/>
      <c r="Z120" s="4"/>
    </row>
    <row r="121" ht="15.75" customHeight="1">
      <c r="A121" s="1"/>
      <c r="B121" s="1"/>
      <c r="C121" s="1"/>
      <c r="D121" s="1"/>
      <c r="E121" s="1"/>
      <c r="F121" s="4"/>
      <c r="G121" s="4"/>
      <c r="H121" s="4"/>
      <c r="I121" s="4"/>
      <c r="J121" s="4"/>
      <c r="K121" s="4"/>
      <c r="L121" s="4"/>
      <c r="M121" s="4"/>
      <c r="N121" s="4"/>
      <c r="O121" s="4"/>
      <c r="P121" s="4"/>
      <c r="Q121" s="4"/>
      <c r="R121" s="4"/>
      <c r="S121" s="4"/>
      <c r="T121" s="4"/>
      <c r="U121" s="4"/>
      <c r="V121" s="4"/>
      <c r="W121" s="4"/>
      <c r="X121" s="4"/>
      <c r="Y121" s="4"/>
      <c r="Z121" s="4"/>
    </row>
    <row r="122" ht="15.75" customHeight="1">
      <c r="A122" s="1"/>
      <c r="B122" s="1"/>
      <c r="C122" s="1"/>
      <c r="D122" s="1"/>
      <c r="E122" s="1"/>
      <c r="F122" s="4"/>
      <c r="G122" s="4"/>
      <c r="H122" s="4"/>
      <c r="I122" s="4"/>
      <c r="J122" s="4"/>
      <c r="K122" s="4"/>
      <c r="L122" s="4"/>
      <c r="M122" s="4"/>
      <c r="N122" s="4"/>
      <c r="O122" s="4"/>
      <c r="P122" s="4"/>
      <c r="Q122" s="4"/>
      <c r="R122" s="4"/>
      <c r="S122" s="4"/>
      <c r="T122" s="4"/>
      <c r="U122" s="4"/>
      <c r="V122" s="4"/>
      <c r="W122" s="4"/>
      <c r="X122" s="4"/>
      <c r="Y122" s="4"/>
      <c r="Z122" s="4"/>
    </row>
    <row r="123" ht="15.75" customHeight="1">
      <c r="A123" s="1"/>
      <c r="B123" s="1"/>
      <c r="C123" s="1"/>
      <c r="D123" s="1"/>
      <c r="E123" s="1"/>
      <c r="F123" s="4"/>
      <c r="G123" s="4"/>
      <c r="H123" s="4"/>
      <c r="I123" s="4"/>
      <c r="J123" s="4"/>
      <c r="K123" s="4"/>
      <c r="L123" s="4"/>
      <c r="M123" s="4"/>
      <c r="N123" s="4"/>
      <c r="O123" s="4"/>
      <c r="P123" s="4"/>
      <c r="Q123" s="4"/>
      <c r="R123" s="4"/>
      <c r="S123" s="4"/>
      <c r="T123" s="4"/>
      <c r="U123" s="4"/>
      <c r="V123" s="4"/>
      <c r="W123" s="4"/>
      <c r="X123" s="4"/>
      <c r="Y123" s="4"/>
      <c r="Z123" s="4"/>
    </row>
    <row r="124" ht="15.75" customHeight="1">
      <c r="A124" s="1"/>
      <c r="B124" s="1"/>
      <c r="C124" s="1"/>
      <c r="D124" s="1"/>
      <c r="E124" s="1"/>
      <c r="F124" s="4"/>
      <c r="G124" s="4"/>
      <c r="H124" s="4"/>
      <c r="I124" s="4"/>
      <c r="J124" s="4"/>
      <c r="K124" s="4"/>
      <c r="L124" s="4"/>
      <c r="M124" s="4"/>
      <c r="N124" s="4"/>
      <c r="O124" s="4"/>
      <c r="P124" s="4"/>
      <c r="Q124" s="4"/>
      <c r="R124" s="4"/>
      <c r="S124" s="4"/>
      <c r="T124" s="4"/>
      <c r="U124" s="4"/>
      <c r="V124" s="4"/>
      <c r="W124" s="4"/>
      <c r="X124" s="4"/>
      <c r="Y124" s="4"/>
      <c r="Z124" s="4"/>
    </row>
    <row r="125" ht="15.75" customHeight="1">
      <c r="A125" s="1"/>
      <c r="B125" s="1"/>
      <c r="C125" s="1"/>
      <c r="D125" s="1"/>
      <c r="E125" s="1"/>
      <c r="F125" s="4"/>
      <c r="G125" s="4"/>
      <c r="H125" s="4"/>
      <c r="I125" s="4"/>
      <c r="J125" s="4"/>
      <c r="K125" s="4"/>
      <c r="L125" s="4"/>
      <c r="M125" s="4"/>
      <c r="N125" s="4"/>
      <c r="O125" s="4"/>
      <c r="P125" s="4"/>
      <c r="Q125" s="4"/>
      <c r="R125" s="4"/>
      <c r="S125" s="4"/>
      <c r="T125" s="4"/>
      <c r="U125" s="4"/>
      <c r="V125" s="4"/>
      <c r="W125" s="4"/>
      <c r="X125" s="4"/>
      <c r="Y125" s="4"/>
      <c r="Z125" s="4"/>
    </row>
    <row r="126" ht="15.75" customHeight="1">
      <c r="A126" s="1"/>
      <c r="B126" s="1"/>
      <c r="C126" s="1"/>
      <c r="D126" s="1"/>
      <c r="E126" s="1"/>
      <c r="F126" s="4"/>
      <c r="G126" s="4"/>
      <c r="H126" s="4"/>
      <c r="I126" s="4"/>
      <c r="J126" s="4"/>
      <c r="K126" s="4"/>
      <c r="L126" s="4"/>
      <c r="M126" s="4"/>
      <c r="N126" s="4"/>
      <c r="O126" s="4"/>
      <c r="P126" s="4"/>
      <c r="Q126" s="4"/>
      <c r="R126" s="4"/>
      <c r="S126" s="4"/>
      <c r="T126" s="4"/>
      <c r="U126" s="4"/>
      <c r="V126" s="4"/>
      <c r="W126" s="4"/>
      <c r="X126" s="4"/>
      <c r="Y126" s="4"/>
      <c r="Z126" s="4"/>
    </row>
    <row r="127" ht="15.75" customHeight="1">
      <c r="A127" s="1"/>
      <c r="B127" s="1"/>
      <c r="C127" s="1"/>
      <c r="D127" s="1"/>
      <c r="E127" s="1"/>
      <c r="F127" s="4"/>
      <c r="G127" s="4"/>
      <c r="H127" s="4"/>
      <c r="I127" s="4"/>
      <c r="J127" s="4"/>
      <c r="K127" s="4"/>
      <c r="L127" s="4"/>
      <c r="M127" s="4"/>
      <c r="N127" s="4"/>
      <c r="O127" s="4"/>
      <c r="P127" s="4"/>
      <c r="Q127" s="4"/>
      <c r="R127" s="4"/>
      <c r="S127" s="4"/>
      <c r="T127" s="4"/>
      <c r="U127" s="4"/>
      <c r="V127" s="4"/>
      <c r="W127" s="4"/>
      <c r="X127" s="4"/>
      <c r="Y127" s="4"/>
      <c r="Z127" s="4"/>
    </row>
    <row r="128" ht="15.75" customHeight="1">
      <c r="A128" s="1"/>
      <c r="B128" s="1"/>
      <c r="C128" s="1"/>
      <c r="D128" s="1"/>
      <c r="E128" s="1"/>
      <c r="F128" s="4"/>
      <c r="G128" s="4"/>
      <c r="H128" s="4"/>
      <c r="I128" s="4"/>
      <c r="J128" s="4"/>
      <c r="K128" s="4"/>
      <c r="L128" s="4"/>
      <c r="M128" s="4"/>
      <c r="N128" s="4"/>
      <c r="O128" s="4"/>
      <c r="P128" s="4"/>
      <c r="Q128" s="4"/>
      <c r="R128" s="4"/>
      <c r="S128" s="4"/>
      <c r="T128" s="4"/>
      <c r="U128" s="4"/>
      <c r="V128" s="4"/>
      <c r="W128" s="4"/>
      <c r="X128" s="4"/>
      <c r="Y128" s="4"/>
      <c r="Z128" s="4"/>
    </row>
    <row r="129" ht="15.75" customHeight="1">
      <c r="A129" s="1"/>
      <c r="B129" s="1"/>
      <c r="C129" s="1"/>
      <c r="D129" s="1"/>
      <c r="E129" s="1"/>
      <c r="F129" s="4"/>
      <c r="G129" s="4"/>
      <c r="H129" s="4"/>
      <c r="I129" s="4"/>
      <c r="J129" s="4"/>
      <c r="K129" s="4"/>
      <c r="L129" s="4"/>
      <c r="M129" s="4"/>
      <c r="N129" s="4"/>
      <c r="O129" s="4"/>
      <c r="P129" s="4"/>
      <c r="Q129" s="4"/>
      <c r="R129" s="4"/>
      <c r="S129" s="4"/>
      <c r="T129" s="4"/>
      <c r="U129" s="4"/>
      <c r="V129" s="4"/>
      <c r="W129" s="4"/>
      <c r="X129" s="4"/>
      <c r="Y129" s="4"/>
      <c r="Z129" s="4"/>
    </row>
    <row r="130" ht="15.75" customHeight="1">
      <c r="A130" s="1"/>
      <c r="B130" s="1"/>
      <c r="C130" s="1"/>
      <c r="D130" s="1"/>
      <c r="E130" s="1"/>
      <c r="F130" s="4"/>
      <c r="G130" s="4"/>
      <c r="H130" s="4"/>
      <c r="I130" s="4"/>
      <c r="J130" s="4"/>
      <c r="K130" s="4"/>
      <c r="L130" s="4"/>
      <c r="M130" s="4"/>
      <c r="N130" s="4"/>
      <c r="O130" s="4"/>
      <c r="P130" s="4"/>
      <c r="Q130" s="4"/>
      <c r="R130" s="4"/>
      <c r="S130" s="4"/>
      <c r="T130" s="4"/>
      <c r="U130" s="4"/>
      <c r="V130" s="4"/>
      <c r="W130" s="4"/>
      <c r="X130" s="4"/>
      <c r="Y130" s="4"/>
      <c r="Z130" s="4"/>
    </row>
    <row r="131" ht="15.75" customHeight="1">
      <c r="A131" s="1"/>
      <c r="B131" s="1"/>
      <c r="C131" s="1"/>
      <c r="D131" s="1"/>
      <c r="E131" s="1"/>
      <c r="F131" s="4"/>
      <c r="G131" s="4"/>
      <c r="H131" s="4"/>
      <c r="I131" s="4"/>
      <c r="J131" s="4"/>
      <c r="K131" s="4"/>
      <c r="L131" s="4"/>
      <c r="M131" s="4"/>
      <c r="N131" s="4"/>
      <c r="O131" s="4"/>
      <c r="P131" s="4"/>
      <c r="Q131" s="4"/>
      <c r="R131" s="4"/>
      <c r="S131" s="4"/>
      <c r="T131" s="4"/>
      <c r="U131" s="4"/>
      <c r="V131" s="4"/>
      <c r="W131" s="4"/>
      <c r="X131" s="4"/>
      <c r="Y131" s="4"/>
      <c r="Z131" s="4"/>
    </row>
    <row r="132" ht="15.75" customHeight="1">
      <c r="A132" s="1"/>
      <c r="B132" s="1"/>
      <c r="C132" s="1"/>
      <c r="D132" s="1"/>
      <c r="E132" s="1"/>
      <c r="F132" s="4"/>
      <c r="G132" s="4"/>
      <c r="H132" s="4"/>
      <c r="I132" s="4"/>
      <c r="J132" s="4"/>
      <c r="K132" s="4"/>
      <c r="L132" s="4"/>
      <c r="M132" s="4"/>
      <c r="N132" s="4"/>
      <c r="O132" s="4"/>
      <c r="P132" s="4"/>
      <c r="Q132" s="4"/>
      <c r="R132" s="4"/>
      <c r="S132" s="4"/>
      <c r="T132" s="4"/>
      <c r="U132" s="4"/>
      <c r="V132" s="4"/>
      <c r="W132" s="4"/>
      <c r="X132" s="4"/>
      <c r="Y132" s="4"/>
      <c r="Z132" s="4"/>
    </row>
    <row r="133" ht="15.75" customHeight="1">
      <c r="A133" s="1"/>
      <c r="B133" s="1"/>
      <c r="C133" s="1"/>
      <c r="D133" s="1"/>
      <c r="E133" s="1"/>
      <c r="F133" s="4"/>
      <c r="G133" s="4"/>
      <c r="H133" s="4"/>
      <c r="I133" s="4"/>
      <c r="J133" s="4"/>
      <c r="K133" s="4"/>
      <c r="L133" s="4"/>
      <c r="M133" s="4"/>
      <c r="N133" s="4"/>
      <c r="O133" s="4"/>
      <c r="P133" s="4"/>
      <c r="Q133" s="4"/>
      <c r="R133" s="4"/>
      <c r="S133" s="4"/>
      <c r="T133" s="4"/>
      <c r="U133" s="4"/>
      <c r="V133" s="4"/>
      <c r="W133" s="4"/>
      <c r="X133" s="4"/>
      <c r="Y133" s="4"/>
      <c r="Z133" s="4"/>
    </row>
    <row r="134" ht="15.75" customHeight="1">
      <c r="A134" s="1"/>
      <c r="B134" s="1"/>
      <c r="C134" s="1"/>
      <c r="D134" s="1"/>
      <c r="E134" s="1"/>
      <c r="F134" s="4"/>
      <c r="G134" s="4"/>
      <c r="H134" s="4"/>
      <c r="I134" s="4"/>
      <c r="J134" s="4"/>
      <c r="K134" s="4"/>
      <c r="L134" s="4"/>
      <c r="M134" s="4"/>
      <c r="N134" s="4"/>
      <c r="O134" s="4"/>
      <c r="P134" s="4"/>
      <c r="Q134" s="4"/>
      <c r="R134" s="4"/>
      <c r="S134" s="4"/>
      <c r="T134" s="4"/>
      <c r="U134" s="4"/>
      <c r="V134" s="4"/>
      <c r="W134" s="4"/>
      <c r="X134" s="4"/>
      <c r="Y134" s="4"/>
      <c r="Z134" s="4"/>
    </row>
    <row r="135" ht="15.75" customHeight="1">
      <c r="A135" s="1"/>
      <c r="B135" s="1"/>
      <c r="C135" s="1"/>
      <c r="D135" s="1"/>
      <c r="E135" s="1"/>
      <c r="F135" s="4"/>
      <c r="G135" s="4"/>
      <c r="H135" s="4"/>
      <c r="I135" s="4"/>
      <c r="J135" s="4"/>
      <c r="K135" s="4"/>
      <c r="L135" s="4"/>
      <c r="M135" s="4"/>
      <c r="N135" s="4"/>
      <c r="O135" s="4"/>
      <c r="P135" s="4"/>
      <c r="Q135" s="4"/>
      <c r="R135" s="4"/>
      <c r="S135" s="4"/>
      <c r="T135" s="4"/>
      <c r="U135" s="4"/>
      <c r="V135" s="4"/>
      <c r="W135" s="4"/>
      <c r="X135" s="4"/>
      <c r="Y135" s="4"/>
      <c r="Z135" s="4"/>
    </row>
    <row r="136" ht="15.75" customHeight="1">
      <c r="A136" s="1"/>
      <c r="B136" s="1"/>
      <c r="C136" s="1"/>
      <c r="D136" s="1"/>
      <c r="E136" s="1"/>
      <c r="F136" s="4"/>
      <c r="G136" s="4"/>
      <c r="H136" s="4"/>
      <c r="I136" s="4"/>
      <c r="J136" s="4"/>
      <c r="K136" s="4"/>
      <c r="L136" s="4"/>
      <c r="M136" s="4"/>
      <c r="N136" s="4"/>
      <c r="O136" s="4"/>
      <c r="P136" s="4"/>
      <c r="Q136" s="4"/>
      <c r="R136" s="4"/>
      <c r="S136" s="4"/>
      <c r="T136" s="4"/>
      <c r="U136" s="4"/>
      <c r="V136" s="4"/>
      <c r="W136" s="4"/>
      <c r="X136" s="4"/>
      <c r="Y136" s="4"/>
      <c r="Z136" s="4"/>
    </row>
    <row r="137" ht="15.75" customHeight="1">
      <c r="A137" s="1"/>
      <c r="B137" s="1"/>
      <c r="C137" s="1"/>
      <c r="D137" s="1"/>
      <c r="E137" s="1"/>
      <c r="F137" s="4"/>
      <c r="G137" s="4"/>
      <c r="H137" s="4"/>
      <c r="I137" s="4"/>
      <c r="J137" s="4"/>
      <c r="K137" s="4"/>
      <c r="L137" s="4"/>
      <c r="M137" s="4"/>
      <c r="N137" s="4"/>
      <c r="O137" s="4"/>
      <c r="P137" s="4"/>
      <c r="Q137" s="4"/>
      <c r="R137" s="4"/>
      <c r="S137" s="4"/>
      <c r="T137" s="4"/>
      <c r="U137" s="4"/>
      <c r="V137" s="4"/>
      <c r="W137" s="4"/>
      <c r="X137" s="4"/>
      <c r="Y137" s="4"/>
      <c r="Z137" s="4"/>
    </row>
    <row r="138" ht="15.75" customHeight="1">
      <c r="A138" s="1"/>
      <c r="B138" s="1"/>
      <c r="C138" s="1"/>
      <c r="D138" s="1"/>
      <c r="E138" s="1"/>
      <c r="F138" s="4"/>
      <c r="G138" s="4"/>
      <c r="H138" s="4"/>
      <c r="I138" s="4"/>
      <c r="J138" s="4"/>
      <c r="K138" s="4"/>
      <c r="L138" s="4"/>
      <c r="M138" s="4"/>
      <c r="N138" s="4"/>
      <c r="O138" s="4"/>
      <c r="P138" s="4"/>
      <c r="Q138" s="4"/>
      <c r="R138" s="4"/>
      <c r="S138" s="4"/>
      <c r="T138" s="4"/>
      <c r="U138" s="4"/>
      <c r="V138" s="4"/>
      <c r="W138" s="4"/>
      <c r="X138" s="4"/>
      <c r="Y138" s="4"/>
      <c r="Z138" s="4"/>
    </row>
    <row r="139" ht="15.75" customHeight="1">
      <c r="A139" s="1"/>
      <c r="B139" s="1"/>
      <c r="C139" s="1"/>
      <c r="D139" s="1"/>
      <c r="E139" s="1"/>
      <c r="F139" s="4"/>
      <c r="G139" s="4"/>
      <c r="H139" s="4"/>
      <c r="I139" s="4"/>
      <c r="J139" s="4"/>
      <c r="K139" s="4"/>
      <c r="L139" s="4"/>
      <c r="M139" s="4"/>
      <c r="N139" s="4"/>
      <c r="O139" s="4"/>
      <c r="P139" s="4"/>
      <c r="Q139" s="4"/>
      <c r="R139" s="4"/>
      <c r="S139" s="4"/>
      <c r="T139" s="4"/>
      <c r="U139" s="4"/>
      <c r="V139" s="4"/>
      <c r="W139" s="4"/>
      <c r="X139" s="4"/>
      <c r="Y139" s="4"/>
      <c r="Z139" s="4"/>
    </row>
    <row r="140" ht="15.75" customHeight="1">
      <c r="A140" s="1"/>
      <c r="B140" s="1"/>
      <c r="C140" s="1"/>
      <c r="D140" s="1"/>
      <c r="E140" s="1"/>
      <c r="F140" s="4"/>
      <c r="G140" s="4"/>
      <c r="H140" s="4"/>
      <c r="I140" s="4"/>
      <c r="J140" s="4"/>
      <c r="K140" s="4"/>
      <c r="L140" s="4"/>
      <c r="M140" s="4"/>
      <c r="N140" s="4"/>
      <c r="O140" s="4"/>
      <c r="P140" s="4"/>
      <c r="Q140" s="4"/>
      <c r="R140" s="4"/>
      <c r="S140" s="4"/>
      <c r="T140" s="4"/>
      <c r="U140" s="4"/>
      <c r="V140" s="4"/>
      <c r="W140" s="4"/>
      <c r="X140" s="4"/>
      <c r="Y140" s="4"/>
      <c r="Z140" s="4"/>
    </row>
    <row r="141" ht="15.75" customHeight="1">
      <c r="A141" s="1"/>
      <c r="B141" s="1"/>
      <c r="C141" s="1"/>
      <c r="D141" s="1"/>
      <c r="E141" s="1"/>
      <c r="F141" s="4"/>
      <c r="G141" s="4"/>
      <c r="H141" s="4"/>
      <c r="I141" s="4"/>
      <c r="J141" s="4"/>
      <c r="K141" s="4"/>
      <c r="L141" s="4"/>
      <c r="M141" s="4"/>
      <c r="N141" s="4"/>
      <c r="O141" s="4"/>
      <c r="P141" s="4"/>
      <c r="Q141" s="4"/>
      <c r="R141" s="4"/>
      <c r="S141" s="4"/>
      <c r="T141" s="4"/>
      <c r="U141" s="4"/>
      <c r="V141" s="4"/>
      <c r="W141" s="4"/>
      <c r="X141" s="4"/>
      <c r="Y141" s="4"/>
      <c r="Z141" s="4"/>
    </row>
    <row r="142" ht="15.75" customHeight="1">
      <c r="A142" s="1"/>
      <c r="B142" s="1"/>
      <c r="C142" s="1"/>
      <c r="D142" s="1"/>
      <c r="E142" s="1"/>
      <c r="F142" s="4"/>
      <c r="G142" s="4"/>
      <c r="H142" s="4"/>
      <c r="I142" s="4"/>
      <c r="J142" s="4"/>
      <c r="K142" s="4"/>
      <c r="L142" s="4"/>
      <c r="M142" s="4"/>
      <c r="N142" s="4"/>
      <c r="O142" s="4"/>
      <c r="P142" s="4"/>
      <c r="Q142" s="4"/>
      <c r="R142" s="4"/>
      <c r="S142" s="4"/>
      <c r="T142" s="4"/>
      <c r="U142" s="4"/>
      <c r="V142" s="4"/>
      <c r="W142" s="4"/>
      <c r="X142" s="4"/>
      <c r="Y142" s="4"/>
      <c r="Z142" s="4"/>
    </row>
    <row r="143" ht="15.75" customHeight="1">
      <c r="A143" s="1"/>
      <c r="B143" s="1"/>
      <c r="C143" s="1"/>
      <c r="D143" s="1"/>
      <c r="E143" s="1"/>
      <c r="F143" s="4"/>
      <c r="G143" s="4"/>
      <c r="H143" s="4"/>
      <c r="I143" s="4"/>
      <c r="J143" s="4"/>
      <c r="K143" s="4"/>
      <c r="L143" s="4"/>
      <c r="M143" s="4"/>
      <c r="N143" s="4"/>
      <c r="O143" s="4"/>
      <c r="P143" s="4"/>
      <c r="Q143" s="4"/>
      <c r="R143" s="4"/>
      <c r="S143" s="4"/>
      <c r="T143" s="4"/>
      <c r="U143" s="4"/>
      <c r="V143" s="4"/>
      <c r="W143" s="4"/>
      <c r="X143" s="4"/>
      <c r="Y143" s="4"/>
      <c r="Z143" s="4"/>
    </row>
    <row r="144" ht="15.75" customHeight="1">
      <c r="A144" s="1"/>
      <c r="B144" s="1"/>
      <c r="C144" s="1"/>
      <c r="D144" s="1"/>
      <c r="E144" s="1"/>
      <c r="F144" s="4"/>
      <c r="G144" s="4"/>
      <c r="H144" s="4"/>
      <c r="I144" s="4"/>
      <c r="J144" s="4"/>
      <c r="K144" s="4"/>
      <c r="L144" s="4"/>
      <c r="M144" s="4"/>
      <c r="N144" s="4"/>
      <c r="O144" s="4"/>
      <c r="P144" s="4"/>
      <c r="Q144" s="4"/>
      <c r="R144" s="4"/>
      <c r="S144" s="4"/>
      <c r="T144" s="4"/>
      <c r="U144" s="4"/>
      <c r="V144" s="4"/>
      <c r="W144" s="4"/>
      <c r="X144" s="4"/>
      <c r="Y144" s="4"/>
      <c r="Z144" s="4"/>
    </row>
    <row r="145" ht="15.75" customHeight="1">
      <c r="A145" s="1"/>
      <c r="B145" s="1"/>
      <c r="C145" s="1"/>
      <c r="D145" s="1"/>
      <c r="E145" s="1"/>
      <c r="F145" s="4"/>
      <c r="G145" s="4"/>
      <c r="H145" s="4"/>
      <c r="I145" s="4"/>
      <c r="J145" s="4"/>
      <c r="K145" s="4"/>
      <c r="L145" s="4"/>
      <c r="M145" s="4"/>
      <c r="N145" s="4"/>
      <c r="O145" s="4"/>
      <c r="P145" s="4"/>
      <c r="Q145" s="4"/>
      <c r="R145" s="4"/>
      <c r="S145" s="4"/>
      <c r="T145" s="4"/>
      <c r="U145" s="4"/>
      <c r="V145" s="4"/>
      <c r="W145" s="4"/>
      <c r="X145" s="4"/>
      <c r="Y145" s="4"/>
      <c r="Z145" s="4"/>
    </row>
    <row r="146" ht="15.75" customHeight="1">
      <c r="A146" s="1"/>
      <c r="B146" s="1"/>
      <c r="C146" s="1"/>
      <c r="D146" s="1"/>
      <c r="E146" s="1"/>
      <c r="F146" s="4"/>
      <c r="G146" s="4"/>
      <c r="H146" s="4"/>
      <c r="I146" s="4"/>
      <c r="J146" s="4"/>
      <c r="K146" s="4"/>
      <c r="L146" s="4"/>
      <c r="M146" s="4"/>
      <c r="N146" s="4"/>
      <c r="O146" s="4"/>
      <c r="P146" s="4"/>
      <c r="Q146" s="4"/>
      <c r="R146" s="4"/>
      <c r="S146" s="4"/>
      <c r="T146" s="4"/>
      <c r="U146" s="4"/>
      <c r="V146" s="4"/>
      <c r="W146" s="4"/>
      <c r="X146" s="4"/>
      <c r="Y146" s="4"/>
      <c r="Z146" s="4"/>
    </row>
    <row r="147" ht="15.75" customHeight="1">
      <c r="A147" s="1"/>
      <c r="B147" s="1"/>
      <c r="C147" s="1"/>
      <c r="D147" s="1"/>
      <c r="E147" s="1"/>
      <c r="F147" s="4"/>
      <c r="G147" s="4"/>
      <c r="H147" s="4"/>
      <c r="I147" s="4"/>
      <c r="J147" s="4"/>
      <c r="K147" s="4"/>
      <c r="L147" s="4"/>
      <c r="M147" s="4"/>
      <c r="N147" s="4"/>
      <c r="O147" s="4"/>
      <c r="P147" s="4"/>
      <c r="Q147" s="4"/>
      <c r="R147" s="4"/>
      <c r="S147" s="4"/>
      <c r="T147" s="4"/>
      <c r="U147" s="4"/>
      <c r="V147" s="4"/>
      <c r="W147" s="4"/>
      <c r="X147" s="4"/>
      <c r="Y147" s="4"/>
      <c r="Z147" s="4"/>
    </row>
    <row r="148" ht="15.75" customHeight="1">
      <c r="A148" s="1"/>
      <c r="B148" s="1"/>
      <c r="C148" s="1"/>
      <c r="D148" s="1"/>
      <c r="E148" s="1"/>
      <c r="F148" s="4"/>
      <c r="G148" s="4"/>
      <c r="H148" s="4"/>
      <c r="I148" s="4"/>
      <c r="J148" s="4"/>
      <c r="K148" s="4"/>
      <c r="L148" s="4"/>
      <c r="M148" s="4"/>
      <c r="N148" s="4"/>
      <c r="O148" s="4"/>
      <c r="P148" s="4"/>
      <c r="Q148" s="4"/>
      <c r="R148" s="4"/>
      <c r="S148" s="4"/>
      <c r="T148" s="4"/>
      <c r="U148" s="4"/>
      <c r="V148" s="4"/>
      <c r="W148" s="4"/>
      <c r="X148" s="4"/>
      <c r="Y148" s="4"/>
      <c r="Z148" s="4"/>
    </row>
    <row r="149" ht="15.75" customHeight="1">
      <c r="A149" s="1"/>
      <c r="B149" s="1"/>
      <c r="C149" s="1"/>
      <c r="D149" s="1"/>
      <c r="E149" s="1"/>
      <c r="F149" s="4"/>
      <c r="G149" s="4"/>
      <c r="H149" s="4"/>
      <c r="I149" s="4"/>
      <c r="J149" s="4"/>
      <c r="K149" s="4"/>
      <c r="L149" s="4"/>
      <c r="M149" s="4"/>
      <c r="N149" s="4"/>
      <c r="O149" s="4"/>
      <c r="P149" s="4"/>
      <c r="Q149" s="4"/>
      <c r="R149" s="4"/>
      <c r="S149" s="4"/>
      <c r="T149" s="4"/>
      <c r="U149" s="4"/>
      <c r="V149" s="4"/>
      <c r="W149" s="4"/>
      <c r="X149" s="4"/>
      <c r="Y149" s="4"/>
      <c r="Z149" s="4"/>
    </row>
    <row r="150" ht="15.75" customHeight="1">
      <c r="A150" s="1"/>
      <c r="B150" s="1"/>
      <c r="C150" s="1"/>
      <c r="D150" s="1"/>
      <c r="E150" s="1"/>
      <c r="F150" s="4"/>
      <c r="G150" s="4"/>
      <c r="H150" s="4"/>
      <c r="I150" s="4"/>
      <c r="J150" s="4"/>
      <c r="K150" s="4"/>
      <c r="L150" s="4"/>
      <c r="M150" s="4"/>
      <c r="N150" s="4"/>
      <c r="O150" s="4"/>
      <c r="P150" s="4"/>
      <c r="Q150" s="4"/>
      <c r="R150" s="4"/>
      <c r="S150" s="4"/>
      <c r="T150" s="4"/>
      <c r="U150" s="4"/>
      <c r="V150" s="4"/>
      <c r="W150" s="4"/>
      <c r="X150" s="4"/>
      <c r="Y150" s="4"/>
      <c r="Z150" s="4"/>
    </row>
    <row r="151" ht="15.75" customHeight="1">
      <c r="A151" s="1"/>
      <c r="B151" s="1"/>
      <c r="C151" s="1"/>
      <c r="D151" s="1"/>
      <c r="E151" s="1"/>
      <c r="F151" s="4"/>
      <c r="G151" s="4"/>
      <c r="H151" s="4"/>
      <c r="I151" s="4"/>
      <c r="J151" s="4"/>
      <c r="K151" s="4"/>
      <c r="L151" s="4"/>
      <c r="M151" s="4"/>
      <c r="N151" s="4"/>
      <c r="O151" s="4"/>
      <c r="P151" s="4"/>
      <c r="Q151" s="4"/>
      <c r="R151" s="4"/>
      <c r="S151" s="4"/>
      <c r="T151" s="4"/>
      <c r="U151" s="4"/>
      <c r="V151" s="4"/>
      <c r="W151" s="4"/>
      <c r="X151" s="4"/>
      <c r="Y151" s="4"/>
      <c r="Z151" s="4"/>
    </row>
    <row r="152" ht="15.75" customHeight="1">
      <c r="A152" s="1"/>
      <c r="B152" s="1"/>
      <c r="C152" s="1"/>
      <c r="D152" s="1"/>
      <c r="E152" s="1"/>
      <c r="F152" s="4"/>
      <c r="G152" s="4"/>
      <c r="H152" s="4"/>
      <c r="I152" s="4"/>
      <c r="J152" s="4"/>
      <c r="K152" s="4"/>
      <c r="L152" s="4"/>
      <c r="M152" s="4"/>
      <c r="N152" s="4"/>
      <c r="O152" s="4"/>
      <c r="P152" s="4"/>
      <c r="Q152" s="4"/>
      <c r="R152" s="4"/>
      <c r="S152" s="4"/>
      <c r="T152" s="4"/>
      <c r="U152" s="4"/>
      <c r="V152" s="4"/>
      <c r="W152" s="4"/>
      <c r="X152" s="4"/>
      <c r="Y152" s="4"/>
      <c r="Z152" s="4"/>
    </row>
    <row r="153" ht="15.75" customHeight="1">
      <c r="A153" s="1"/>
      <c r="B153" s="1"/>
      <c r="C153" s="1"/>
      <c r="D153" s="1"/>
      <c r="E153" s="1"/>
      <c r="F153" s="4"/>
      <c r="G153" s="4"/>
      <c r="H153" s="4"/>
      <c r="I153" s="4"/>
      <c r="J153" s="4"/>
      <c r="K153" s="4"/>
      <c r="L153" s="4"/>
      <c r="M153" s="4"/>
      <c r="N153" s="4"/>
      <c r="O153" s="4"/>
      <c r="P153" s="4"/>
      <c r="Q153" s="4"/>
      <c r="R153" s="4"/>
      <c r="S153" s="4"/>
      <c r="T153" s="4"/>
      <c r="U153" s="4"/>
      <c r="V153" s="4"/>
      <c r="W153" s="4"/>
      <c r="X153" s="4"/>
      <c r="Y153" s="4"/>
      <c r="Z153" s="4"/>
    </row>
    <row r="154" ht="15.75" customHeight="1">
      <c r="A154" s="1"/>
      <c r="B154" s="1"/>
      <c r="C154" s="1"/>
      <c r="D154" s="1"/>
      <c r="E154" s="1"/>
      <c r="F154" s="4"/>
      <c r="G154" s="4"/>
      <c r="H154" s="4"/>
      <c r="I154" s="4"/>
      <c r="J154" s="4"/>
      <c r="K154" s="4"/>
      <c r="L154" s="4"/>
      <c r="M154" s="4"/>
      <c r="N154" s="4"/>
      <c r="O154" s="4"/>
      <c r="P154" s="4"/>
      <c r="Q154" s="4"/>
      <c r="R154" s="4"/>
      <c r="S154" s="4"/>
      <c r="T154" s="4"/>
      <c r="U154" s="4"/>
      <c r="V154" s="4"/>
      <c r="W154" s="4"/>
      <c r="X154" s="4"/>
      <c r="Y154" s="4"/>
      <c r="Z154" s="4"/>
    </row>
    <row r="155" ht="15.75" customHeight="1">
      <c r="A155" s="1"/>
      <c r="B155" s="1"/>
      <c r="C155" s="1"/>
      <c r="D155" s="1"/>
      <c r="E155" s="1"/>
      <c r="F155" s="4"/>
      <c r="G155" s="4"/>
      <c r="H155" s="4"/>
      <c r="I155" s="4"/>
      <c r="J155" s="4"/>
      <c r="K155" s="4"/>
      <c r="L155" s="4"/>
      <c r="M155" s="4"/>
      <c r="N155" s="4"/>
      <c r="O155" s="4"/>
      <c r="P155" s="4"/>
      <c r="Q155" s="4"/>
      <c r="R155" s="4"/>
      <c r="S155" s="4"/>
      <c r="T155" s="4"/>
      <c r="U155" s="4"/>
      <c r="V155" s="4"/>
      <c r="W155" s="4"/>
      <c r="X155" s="4"/>
      <c r="Y155" s="4"/>
      <c r="Z155" s="4"/>
    </row>
    <row r="156" ht="15.75" customHeight="1">
      <c r="A156" s="1"/>
      <c r="B156" s="1"/>
      <c r="C156" s="1"/>
      <c r="D156" s="1"/>
      <c r="E156" s="1"/>
      <c r="F156" s="4"/>
      <c r="G156" s="4"/>
      <c r="H156" s="4"/>
      <c r="I156" s="4"/>
      <c r="J156" s="4"/>
      <c r="K156" s="4"/>
      <c r="L156" s="4"/>
      <c r="M156" s="4"/>
      <c r="N156" s="4"/>
      <c r="O156" s="4"/>
      <c r="P156" s="4"/>
      <c r="Q156" s="4"/>
      <c r="R156" s="4"/>
      <c r="S156" s="4"/>
      <c r="T156" s="4"/>
      <c r="U156" s="4"/>
      <c r="V156" s="4"/>
      <c r="W156" s="4"/>
      <c r="X156" s="4"/>
      <c r="Y156" s="4"/>
      <c r="Z156" s="4"/>
    </row>
    <row r="157" ht="15.75" customHeight="1">
      <c r="A157" s="1"/>
      <c r="B157" s="1"/>
      <c r="C157" s="1"/>
      <c r="D157" s="1"/>
      <c r="E157" s="1"/>
      <c r="F157" s="4"/>
      <c r="G157" s="4"/>
      <c r="H157" s="4"/>
      <c r="I157" s="4"/>
      <c r="J157" s="4"/>
      <c r="K157" s="4"/>
      <c r="L157" s="4"/>
      <c r="M157" s="4"/>
      <c r="N157" s="4"/>
      <c r="O157" s="4"/>
      <c r="P157" s="4"/>
      <c r="Q157" s="4"/>
      <c r="R157" s="4"/>
      <c r="S157" s="4"/>
      <c r="T157" s="4"/>
      <c r="U157" s="4"/>
      <c r="V157" s="4"/>
      <c r="W157" s="4"/>
      <c r="X157" s="4"/>
      <c r="Y157" s="4"/>
      <c r="Z157" s="4"/>
    </row>
    <row r="158" ht="15.75" customHeight="1">
      <c r="A158" s="1"/>
      <c r="B158" s="1"/>
      <c r="C158" s="1"/>
      <c r="D158" s="1"/>
      <c r="E158" s="1"/>
      <c r="F158" s="4"/>
      <c r="G158" s="4"/>
      <c r="H158" s="4"/>
      <c r="I158" s="4"/>
      <c r="J158" s="4"/>
      <c r="K158" s="4"/>
      <c r="L158" s="4"/>
      <c r="M158" s="4"/>
      <c r="N158" s="4"/>
      <c r="O158" s="4"/>
      <c r="P158" s="4"/>
      <c r="Q158" s="4"/>
      <c r="R158" s="4"/>
      <c r="S158" s="4"/>
      <c r="T158" s="4"/>
      <c r="U158" s="4"/>
      <c r="V158" s="4"/>
      <c r="W158" s="4"/>
      <c r="X158" s="4"/>
      <c r="Y158" s="4"/>
      <c r="Z158" s="4"/>
    </row>
    <row r="159" ht="15.75" customHeight="1">
      <c r="A159" s="1"/>
      <c r="B159" s="1"/>
      <c r="C159" s="1"/>
      <c r="D159" s="1"/>
      <c r="E159" s="1"/>
      <c r="F159" s="4"/>
      <c r="G159" s="4"/>
      <c r="H159" s="4"/>
      <c r="I159" s="4"/>
      <c r="J159" s="4"/>
      <c r="K159" s="4"/>
      <c r="L159" s="4"/>
      <c r="M159" s="4"/>
      <c r="N159" s="4"/>
      <c r="O159" s="4"/>
      <c r="P159" s="4"/>
      <c r="Q159" s="4"/>
      <c r="R159" s="4"/>
      <c r="S159" s="4"/>
      <c r="T159" s="4"/>
      <c r="U159" s="4"/>
      <c r="V159" s="4"/>
      <c r="W159" s="4"/>
      <c r="X159" s="4"/>
      <c r="Y159" s="4"/>
      <c r="Z159" s="4"/>
    </row>
    <row r="160" ht="15.75" customHeight="1">
      <c r="A160" s="1"/>
      <c r="B160" s="1"/>
      <c r="C160" s="1"/>
      <c r="D160" s="1"/>
      <c r="E160" s="1"/>
      <c r="F160" s="4"/>
      <c r="G160" s="4"/>
      <c r="H160" s="4"/>
      <c r="I160" s="4"/>
      <c r="J160" s="4"/>
      <c r="K160" s="4"/>
      <c r="L160" s="4"/>
      <c r="M160" s="4"/>
      <c r="N160" s="4"/>
      <c r="O160" s="4"/>
      <c r="P160" s="4"/>
      <c r="Q160" s="4"/>
      <c r="R160" s="4"/>
      <c r="S160" s="4"/>
      <c r="T160" s="4"/>
      <c r="U160" s="4"/>
      <c r="V160" s="4"/>
      <c r="W160" s="4"/>
      <c r="X160" s="4"/>
      <c r="Y160" s="4"/>
      <c r="Z160" s="4"/>
    </row>
    <row r="161" ht="15.75" customHeight="1">
      <c r="A161" s="1"/>
      <c r="B161" s="1"/>
      <c r="C161" s="1"/>
      <c r="D161" s="1"/>
      <c r="E161" s="1"/>
      <c r="F161" s="4"/>
      <c r="G161" s="4"/>
      <c r="H161" s="4"/>
      <c r="I161" s="4"/>
      <c r="J161" s="4"/>
      <c r="K161" s="4"/>
      <c r="L161" s="4"/>
      <c r="M161" s="4"/>
      <c r="N161" s="4"/>
      <c r="O161" s="4"/>
      <c r="P161" s="4"/>
      <c r="Q161" s="4"/>
      <c r="R161" s="4"/>
      <c r="S161" s="4"/>
      <c r="T161" s="4"/>
      <c r="U161" s="4"/>
      <c r="V161" s="4"/>
      <c r="W161" s="4"/>
      <c r="X161" s="4"/>
      <c r="Y161" s="4"/>
      <c r="Z161" s="4"/>
    </row>
    <row r="162" ht="15.75" customHeight="1">
      <c r="A162" s="1"/>
      <c r="B162" s="1"/>
      <c r="C162" s="1"/>
      <c r="D162" s="1"/>
      <c r="E162" s="1"/>
      <c r="F162" s="4"/>
      <c r="G162" s="4"/>
      <c r="H162" s="4"/>
      <c r="I162" s="4"/>
      <c r="J162" s="4"/>
      <c r="K162" s="4"/>
      <c r="L162" s="4"/>
      <c r="M162" s="4"/>
      <c r="N162" s="4"/>
      <c r="O162" s="4"/>
      <c r="P162" s="4"/>
      <c r="Q162" s="4"/>
      <c r="R162" s="4"/>
      <c r="S162" s="4"/>
      <c r="T162" s="4"/>
      <c r="U162" s="4"/>
      <c r="V162" s="4"/>
      <c r="W162" s="4"/>
      <c r="X162" s="4"/>
      <c r="Y162" s="4"/>
      <c r="Z162" s="4"/>
    </row>
    <row r="163" ht="15.75" customHeight="1">
      <c r="A163" s="1"/>
      <c r="B163" s="1"/>
      <c r="C163" s="1"/>
      <c r="D163" s="1"/>
      <c r="E163" s="1"/>
      <c r="F163" s="4"/>
      <c r="G163" s="4"/>
      <c r="H163" s="4"/>
      <c r="I163" s="4"/>
      <c r="J163" s="4"/>
      <c r="K163" s="4"/>
      <c r="L163" s="4"/>
      <c r="M163" s="4"/>
      <c r="N163" s="4"/>
      <c r="O163" s="4"/>
      <c r="P163" s="4"/>
      <c r="Q163" s="4"/>
      <c r="R163" s="4"/>
      <c r="S163" s="4"/>
      <c r="T163" s="4"/>
      <c r="U163" s="4"/>
      <c r="V163" s="4"/>
      <c r="W163" s="4"/>
      <c r="X163" s="4"/>
      <c r="Y163" s="4"/>
      <c r="Z163" s="4"/>
    </row>
    <row r="164" ht="15.75" customHeight="1">
      <c r="A164" s="1"/>
      <c r="B164" s="1"/>
      <c r="C164" s="1"/>
      <c r="D164" s="1"/>
      <c r="E164" s="1"/>
      <c r="F164" s="4"/>
      <c r="G164" s="4"/>
      <c r="H164" s="4"/>
      <c r="I164" s="4"/>
      <c r="J164" s="4"/>
      <c r="K164" s="4"/>
      <c r="L164" s="4"/>
      <c r="M164" s="4"/>
      <c r="N164" s="4"/>
      <c r="O164" s="4"/>
      <c r="P164" s="4"/>
      <c r="Q164" s="4"/>
      <c r="R164" s="4"/>
      <c r="S164" s="4"/>
      <c r="T164" s="4"/>
      <c r="U164" s="4"/>
      <c r="V164" s="4"/>
      <c r="W164" s="4"/>
      <c r="X164" s="4"/>
      <c r="Y164" s="4"/>
      <c r="Z164" s="4"/>
    </row>
    <row r="165" ht="15.75" customHeight="1">
      <c r="A165" s="1"/>
      <c r="B165" s="1"/>
      <c r="C165" s="1"/>
      <c r="D165" s="1"/>
      <c r="E165" s="1"/>
      <c r="F165" s="4"/>
      <c r="G165" s="4"/>
      <c r="H165" s="4"/>
      <c r="I165" s="4"/>
      <c r="J165" s="4"/>
      <c r="K165" s="4"/>
      <c r="L165" s="4"/>
      <c r="M165" s="4"/>
      <c r="N165" s="4"/>
      <c r="O165" s="4"/>
      <c r="P165" s="4"/>
      <c r="Q165" s="4"/>
      <c r="R165" s="4"/>
      <c r="S165" s="4"/>
      <c r="T165" s="4"/>
      <c r="U165" s="4"/>
      <c r="V165" s="4"/>
      <c r="W165" s="4"/>
      <c r="X165" s="4"/>
      <c r="Y165" s="4"/>
      <c r="Z165" s="4"/>
    </row>
    <row r="166" ht="15.75" customHeight="1">
      <c r="A166" s="1"/>
      <c r="B166" s="1"/>
      <c r="C166" s="1"/>
      <c r="D166" s="1"/>
      <c r="E166" s="1"/>
      <c r="F166" s="4"/>
      <c r="G166" s="4"/>
      <c r="H166" s="4"/>
      <c r="I166" s="4"/>
      <c r="J166" s="4"/>
      <c r="K166" s="4"/>
      <c r="L166" s="4"/>
      <c r="M166" s="4"/>
      <c r="N166" s="4"/>
      <c r="O166" s="4"/>
      <c r="P166" s="4"/>
      <c r="Q166" s="4"/>
      <c r="R166" s="4"/>
      <c r="S166" s="4"/>
      <c r="T166" s="4"/>
      <c r="U166" s="4"/>
      <c r="V166" s="4"/>
      <c r="W166" s="4"/>
      <c r="X166" s="4"/>
      <c r="Y166" s="4"/>
      <c r="Z166" s="4"/>
    </row>
    <row r="167" ht="15.75" customHeight="1">
      <c r="A167" s="1"/>
      <c r="B167" s="1"/>
      <c r="C167" s="1"/>
      <c r="D167" s="1"/>
      <c r="E167" s="1"/>
      <c r="F167" s="4"/>
      <c r="G167" s="4"/>
      <c r="H167" s="4"/>
      <c r="I167" s="4"/>
      <c r="J167" s="4"/>
      <c r="K167" s="4"/>
      <c r="L167" s="4"/>
      <c r="M167" s="4"/>
      <c r="N167" s="4"/>
      <c r="O167" s="4"/>
      <c r="P167" s="4"/>
      <c r="Q167" s="4"/>
      <c r="R167" s="4"/>
      <c r="S167" s="4"/>
      <c r="T167" s="4"/>
      <c r="U167" s="4"/>
      <c r="V167" s="4"/>
      <c r="W167" s="4"/>
      <c r="X167" s="4"/>
      <c r="Y167" s="4"/>
      <c r="Z167" s="4"/>
    </row>
    <row r="168" ht="15.75" customHeight="1">
      <c r="A168" s="1"/>
      <c r="B168" s="1"/>
      <c r="C168" s="1"/>
      <c r="D168" s="1"/>
      <c r="E168" s="1"/>
      <c r="F168" s="4"/>
      <c r="G168" s="4"/>
      <c r="H168" s="4"/>
      <c r="I168" s="4"/>
      <c r="J168" s="4"/>
      <c r="K168" s="4"/>
      <c r="L168" s="4"/>
      <c r="M168" s="4"/>
      <c r="N168" s="4"/>
      <c r="O168" s="4"/>
      <c r="P168" s="4"/>
      <c r="Q168" s="4"/>
      <c r="R168" s="4"/>
      <c r="S168" s="4"/>
      <c r="T168" s="4"/>
      <c r="U168" s="4"/>
      <c r="V168" s="4"/>
      <c r="W168" s="4"/>
      <c r="X168" s="4"/>
      <c r="Y168" s="4"/>
      <c r="Z168" s="4"/>
    </row>
    <row r="169" ht="15.75" customHeight="1">
      <c r="A169" s="1"/>
      <c r="B169" s="1"/>
      <c r="C169" s="1"/>
      <c r="D169" s="1"/>
      <c r="E169" s="1"/>
      <c r="F169" s="4"/>
      <c r="G169" s="4"/>
      <c r="H169" s="4"/>
      <c r="I169" s="4"/>
      <c r="J169" s="4"/>
      <c r="K169" s="4"/>
      <c r="L169" s="4"/>
      <c r="M169" s="4"/>
      <c r="N169" s="4"/>
      <c r="O169" s="4"/>
      <c r="P169" s="4"/>
      <c r="Q169" s="4"/>
      <c r="R169" s="4"/>
      <c r="S169" s="4"/>
      <c r="T169" s="4"/>
      <c r="U169" s="4"/>
      <c r="V169" s="4"/>
      <c r="W169" s="4"/>
      <c r="X169" s="4"/>
      <c r="Y169" s="4"/>
      <c r="Z169" s="4"/>
    </row>
    <row r="170" ht="15.75" customHeight="1">
      <c r="A170" s="1"/>
      <c r="B170" s="1"/>
      <c r="C170" s="1"/>
      <c r="D170" s="1"/>
      <c r="E170" s="1"/>
      <c r="F170" s="4"/>
      <c r="G170" s="4"/>
      <c r="H170" s="4"/>
      <c r="I170" s="4"/>
      <c r="J170" s="4"/>
      <c r="K170" s="4"/>
      <c r="L170" s="4"/>
      <c r="M170" s="4"/>
      <c r="N170" s="4"/>
      <c r="O170" s="4"/>
      <c r="P170" s="4"/>
      <c r="Q170" s="4"/>
      <c r="R170" s="4"/>
      <c r="S170" s="4"/>
      <c r="T170" s="4"/>
      <c r="U170" s="4"/>
      <c r="V170" s="4"/>
      <c r="W170" s="4"/>
      <c r="X170" s="4"/>
      <c r="Y170" s="4"/>
      <c r="Z170" s="4"/>
    </row>
    <row r="171" ht="15.75" customHeight="1">
      <c r="A171" s="1"/>
      <c r="B171" s="1"/>
      <c r="C171" s="1"/>
      <c r="D171" s="1"/>
      <c r="E171" s="1"/>
      <c r="F171" s="4"/>
      <c r="G171" s="4"/>
      <c r="H171" s="4"/>
      <c r="I171" s="4"/>
      <c r="J171" s="4"/>
      <c r="K171" s="4"/>
      <c r="L171" s="4"/>
      <c r="M171" s="4"/>
      <c r="N171" s="4"/>
      <c r="O171" s="4"/>
      <c r="P171" s="4"/>
      <c r="Q171" s="4"/>
      <c r="R171" s="4"/>
      <c r="S171" s="4"/>
      <c r="T171" s="4"/>
      <c r="U171" s="4"/>
      <c r="V171" s="4"/>
      <c r="W171" s="4"/>
      <c r="X171" s="4"/>
      <c r="Y171" s="4"/>
      <c r="Z171" s="4"/>
    </row>
    <row r="172" ht="15.75" customHeight="1">
      <c r="A172" s="1"/>
      <c r="B172" s="1"/>
      <c r="C172" s="1"/>
      <c r="D172" s="1"/>
      <c r="E172" s="1"/>
      <c r="F172" s="4"/>
      <c r="G172" s="4"/>
      <c r="H172" s="4"/>
      <c r="I172" s="4"/>
      <c r="J172" s="4"/>
      <c r="K172" s="4"/>
      <c r="L172" s="4"/>
      <c r="M172" s="4"/>
      <c r="N172" s="4"/>
      <c r="O172" s="4"/>
      <c r="P172" s="4"/>
      <c r="Q172" s="4"/>
      <c r="R172" s="4"/>
      <c r="S172" s="4"/>
      <c r="T172" s="4"/>
      <c r="U172" s="4"/>
      <c r="V172" s="4"/>
      <c r="W172" s="4"/>
      <c r="X172" s="4"/>
      <c r="Y172" s="4"/>
      <c r="Z172" s="4"/>
    </row>
    <row r="173" ht="15.75" customHeight="1">
      <c r="A173" s="1"/>
      <c r="B173" s="1"/>
      <c r="C173" s="1"/>
      <c r="D173" s="1"/>
      <c r="E173" s="1"/>
      <c r="F173" s="4"/>
      <c r="G173" s="4"/>
      <c r="H173" s="4"/>
      <c r="I173" s="4"/>
      <c r="J173" s="4"/>
      <c r="K173" s="4"/>
      <c r="L173" s="4"/>
      <c r="M173" s="4"/>
      <c r="N173" s="4"/>
      <c r="O173" s="4"/>
      <c r="P173" s="4"/>
      <c r="Q173" s="4"/>
      <c r="R173" s="4"/>
      <c r="S173" s="4"/>
      <c r="T173" s="4"/>
      <c r="U173" s="4"/>
      <c r="V173" s="4"/>
      <c r="W173" s="4"/>
      <c r="X173" s="4"/>
      <c r="Y173" s="4"/>
      <c r="Z173" s="4"/>
    </row>
    <row r="174" ht="15.75" customHeight="1">
      <c r="A174" s="1"/>
      <c r="B174" s="1"/>
      <c r="C174" s="1"/>
      <c r="D174" s="1"/>
      <c r="E174" s="1"/>
      <c r="F174" s="4"/>
      <c r="G174" s="4"/>
      <c r="H174" s="4"/>
      <c r="I174" s="4"/>
      <c r="J174" s="4"/>
      <c r="K174" s="4"/>
      <c r="L174" s="4"/>
      <c r="M174" s="4"/>
      <c r="N174" s="4"/>
      <c r="O174" s="4"/>
      <c r="P174" s="4"/>
      <c r="Q174" s="4"/>
      <c r="R174" s="4"/>
      <c r="S174" s="4"/>
      <c r="T174" s="4"/>
      <c r="U174" s="4"/>
      <c r="V174" s="4"/>
      <c r="W174" s="4"/>
      <c r="X174" s="4"/>
      <c r="Y174" s="4"/>
      <c r="Z174" s="4"/>
    </row>
    <row r="175" ht="15.75" customHeight="1">
      <c r="A175" s="1"/>
      <c r="B175" s="1"/>
      <c r="C175" s="1"/>
      <c r="D175" s="1"/>
      <c r="E175" s="1"/>
      <c r="F175" s="4"/>
      <c r="G175" s="4"/>
      <c r="H175" s="4"/>
      <c r="I175" s="4"/>
      <c r="J175" s="4"/>
      <c r="K175" s="4"/>
      <c r="L175" s="4"/>
      <c r="M175" s="4"/>
      <c r="N175" s="4"/>
      <c r="O175" s="4"/>
      <c r="P175" s="4"/>
      <c r="Q175" s="4"/>
      <c r="R175" s="4"/>
      <c r="S175" s="4"/>
      <c r="T175" s="4"/>
      <c r="U175" s="4"/>
      <c r="V175" s="4"/>
      <c r="W175" s="4"/>
      <c r="X175" s="4"/>
      <c r="Y175" s="4"/>
      <c r="Z175" s="4"/>
    </row>
    <row r="176" ht="15.75" customHeight="1">
      <c r="A176" s="1"/>
      <c r="B176" s="1"/>
      <c r="C176" s="1"/>
      <c r="D176" s="1"/>
      <c r="E176" s="1"/>
      <c r="F176" s="4"/>
      <c r="G176" s="4"/>
      <c r="H176" s="4"/>
      <c r="I176" s="4"/>
      <c r="J176" s="4"/>
      <c r="K176" s="4"/>
      <c r="L176" s="4"/>
      <c r="M176" s="4"/>
      <c r="N176" s="4"/>
      <c r="O176" s="4"/>
      <c r="P176" s="4"/>
      <c r="Q176" s="4"/>
      <c r="R176" s="4"/>
      <c r="S176" s="4"/>
      <c r="T176" s="4"/>
      <c r="U176" s="4"/>
      <c r="V176" s="4"/>
      <c r="W176" s="4"/>
      <c r="X176" s="4"/>
      <c r="Y176" s="4"/>
      <c r="Z176" s="4"/>
    </row>
    <row r="177" ht="15.75" customHeight="1">
      <c r="A177" s="1"/>
      <c r="B177" s="1"/>
      <c r="C177" s="1"/>
      <c r="D177" s="1"/>
      <c r="E177" s="1"/>
      <c r="F177" s="4"/>
      <c r="G177" s="4"/>
      <c r="H177" s="4"/>
      <c r="I177" s="4"/>
      <c r="J177" s="4"/>
      <c r="K177" s="4"/>
      <c r="L177" s="4"/>
      <c r="M177" s="4"/>
      <c r="N177" s="4"/>
      <c r="O177" s="4"/>
      <c r="P177" s="4"/>
      <c r="Q177" s="4"/>
      <c r="R177" s="4"/>
      <c r="S177" s="4"/>
      <c r="T177" s="4"/>
      <c r="U177" s="4"/>
      <c r="V177" s="4"/>
      <c r="W177" s="4"/>
      <c r="X177" s="4"/>
      <c r="Y177" s="4"/>
      <c r="Z177" s="4"/>
    </row>
    <row r="178" ht="15.75" customHeight="1">
      <c r="A178" s="1"/>
      <c r="B178" s="1"/>
      <c r="C178" s="1"/>
      <c r="D178" s="1"/>
      <c r="E178" s="1"/>
      <c r="F178" s="4"/>
      <c r="G178" s="4"/>
      <c r="H178" s="4"/>
      <c r="I178" s="4"/>
      <c r="J178" s="4"/>
      <c r="K178" s="4"/>
      <c r="L178" s="4"/>
      <c r="M178" s="4"/>
      <c r="N178" s="4"/>
      <c r="O178" s="4"/>
      <c r="P178" s="4"/>
      <c r="Q178" s="4"/>
      <c r="R178" s="4"/>
      <c r="S178" s="4"/>
      <c r="T178" s="4"/>
      <c r="U178" s="4"/>
      <c r="V178" s="4"/>
      <c r="W178" s="4"/>
      <c r="X178" s="4"/>
      <c r="Y178" s="4"/>
      <c r="Z178" s="4"/>
    </row>
    <row r="179" ht="15.75" customHeight="1">
      <c r="A179" s="1"/>
      <c r="B179" s="1"/>
      <c r="C179" s="1"/>
      <c r="D179" s="1"/>
      <c r="E179" s="1"/>
      <c r="F179" s="4"/>
      <c r="G179" s="4"/>
      <c r="H179" s="4"/>
      <c r="I179" s="4"/>
      <c r="J179" s="4"/>
      <c r="K179" s="4"/>
      <c r="L179" s="4"/>
      <c r="M179" s="4"/>
      <c r="N179" s="4"/>
      <c r="O179" s="4"/>
      <c r="P179" s="4"/>
      <c r="Q179" s="4"/>
      <c r="R179" s="4"/>
      <c r="S179" s="4"/>
      <c r="T179" s="4"/>
      <c r="U179" s="4"/>
      <c r="V179" s="4"/>
      <c r="W179" s="4"/>
      <c r="X179" s="4"/>
      <c r="Y179" s="4"/>
      <c r="Z179" s="4"/>
    </row>
    <row r="180" ht="15.75" customHeight="1">
      <c r="A180" s="1"/>
      <c r="B180" s="1"/>
      <c r="C180" s="1"/>
      <c r="D180" s="1"/>
      <c r="E180" s="1"/>
      <c r="F180" s="4"/>
      <c r="G180" s="4"/>
      <c r="H180" s="4"/>
      <c r="I180" s="4"/>
      <c r="J180" s="4"/>
      <c r="K180" s="4"/>
      <c r="L180" s="4"/>
      <c r="M180" s="4"/>
      <c r="N180" s="4"/>
      <c r="O180" s="4"/>
      <c r="P180" s="4"/>
      <c r="Q180" s="4"/>
      <c r="R180" s="4"/>
      <c r="S180" s="4"/>
      <c r="T180" s="4"/>
      <c r="U180" s="4"/>
      <c r="V180" s="4"/>
      <c r="W180" s="4"/>
      <c r="X180" s="4"/>
      <c r="Y180" s="4"/>
      <c r="Z180" s="4"/>
    </row>
    <row r="181" ht="15.75" customHeight="1">
      <c r="A181" s="1"/>
      <c r="B181" s="1"/>
      <c r="C181" s="1"/>
      <c r="D181" s="1"/>
      <c r="E181" s="1"/>
      <c r="F181" s="4"/>
      <c r="G181" s="4"/>
      <c r="H181" s="4"/>
      <c r="I181" s="4"/>
      <c r="J181" s="4"/>
      <c r="K181" s="4"/>
      <c r="L181" s="4"/>
      <c r="M181" s="4"/>
      <c r="N181" s="4"/>
      <c r="O181" s="4"/>
      <c r="P181" s="4"/>
      <c r="Q181" s="4"/>
      <c r="R181" s="4"/>
      <c r="S181" s="4"/>
      <c r="T181" s="4"/>
      <c r="U181" s="4"/>
      <c r="V181" s="4"/>
      <c r="W181" s="4"/>
      <c r="X181" s="4"/>
      <c r="Y181" s="4"/>
      <c r="Z181" s="4"/>
    </row>
    <row r="182" ht="15.75" customHeight="1">
      <c r="A182" s="1"/>
      <c r="B182" s="1"/>
      <c r="C182" s="1"/>
      <c r="D182" s="1"/>
      <c r="E182" s="1"/>
      <c r="F182" s="4"/>
      <c r="G182" s="4"/>
      <c r="H182" s="4"/>
      <c r="I182" s="4"/>
      <c r="J182" s="4"/>
      <c r="K182" s="4"/>
      <c r="L182" s="4"/>
      <c r="M182" s="4"/>
      <c r="N182" s="4"/>
      <c r="O182" s="4"/>
      <c r="P182" s="4"/>
      <c r="Q182" s="4"/>
      <c r="R182" s="4"/>
      <c r="S182" s="4"/>
      <c r="T182" s="4"/>
      <c r="U182" s="4"/>
      <c r="V182" s="4"/>
      <c r="W182" s="4"/>
      <c r="X182" s="4"/>
      <c r="Y182" s="4"/>
      <c r="Z182" s="4"/>
    </row>
    <row r="183" ht="15.75" customHeight="1">
      <c r="A183" s="1"/>
      <c r="B183" s="1"/>
      <c r="C183" s="1"/>
      <c r="D183" s="1"/>
      <c r="E183" s="1"/>
      <c r="F183" s="4"/>
      <c r="G183" s="4"/>
      <c r="H183" s="4"/>
      <c r="I183" s="4"/>
      <c r="J183" s="4"/>
      <c r="K183" s="4"/>
      <c r="L183" s="4"/>
      <c r="M183" s="4"/>
      <c r="N183" s="4"/>
      <c r="O183" s="4"/>
      <c r="P183" s="4"/>
      <c r="Q183" s="4"/>
      <c r="R183" s="4"/>
      <c r="S183" s="4"/>
      <c r="T183" s="4"/>
      <c r="U183" s="4"/>
      <c r="V183" s="4"/>
      <c r="W183" s="4"/>
      <c r="X183" s="4"/>
      <c r="Y183" s="4"/>
      <c r="Z183" s="4"/>
    </row>
    <row r="184" ht="15.75" customHeight="1">
      <c r="A184" s="1"/>
      <c r="B184" s="1"/>
      <c r="C184" s="1"/>
      <c r="D184" s="1"/>
      <c r="E184" s="1"/>
      <c r="F184" s="4"/>
      <c r="G184" s="4"/>
      <c r="H184" s="4"/>
      <c r="I184" s="4"/>
      <c r="J184" s="4"/>
      <c r="K184" s="4"/>
      <c r="L184" s="4"/>
      <c r="M184" s="4"/>
      <c r="N184" s="4"/>
      <c r="O184" s="4"/>
      <c r="P184" s="4"/>
      <c r="Q184" s="4"/>
      <c r="R184" s="4"/>
      <c r="S184" s="4"/>
      <c r="T184" s="4"/>
      <c r="U184" s="4"/>
      <c r="V184" s="4"/>
      <c r="W184" s="4"/>
      <c r="X184" s="4"/>
      <c r="Y184" s="4"/>
      <c r="Z184" s="4"/>
    </row>
    <row r="185" ht="15.75" customHeight="1">
      <c r="A185" s="1"/>
      <c r="B185" s="1"/>
      <c r="C185" s="1"/>
      <c r="D185" s="1"/>
      <c r="E185" s="1"/>
      <c r="F185" s="4"/>
      <c r="G185" s="4"/>
      <c r="H185" s="4"/>
      <c r="I185" s="4"/>
      <c r="J185" s="4"/>
      <c r="K185" s="4"/>
      <c r="L185" s="4"/>
      <c r="M185" s="4"/>
      <c r="N185" s="4"/>
      <c r="O185" s="4"/>
      <c r="P185" s="4"/>
      <c r="Q185" s="4"/>
      <c r="R185" s="4"/>
      <c r="S185" s="4"/>
      <c r="T185" s="4"/>
      <c r="U185" s="4"/>
      <c r="V185" s="4"/>
      <c r="W185" s="4"/>
      <c r="X185" s="4"/>
      <c r="Y185" s="4"/>
      <c r="Z185" s="4"/>
    </row>
    <row r="186" ht="15.75" customHeight="1">
      <c r="A186" s="1"/>
      <c r="B186" s="1"/>
      <c r="C186" s="1"/>
      <c r="D186" s="1"/>
      <c r="E186" s="1"/>
      <c r="F186" s="4"/>
      <c r="G186" s="4"/>
      <c r="H186" s="4"/>
      <c r="I186" s="4"/>
      <c r="J186" s="4"/>
      <c r="K186" s="4"/>
      <c r="L186" s="4"/>
      <c r="M186" s="4"/>
      <c r="N186" s="4"/>
      <c r="O186" s="4"/>
      <c r="P186" s="4"/>
      <c r="Q186" s="4"/>
      <c r="R186" s="4"/>
      <c r="S186" s="4"/>
      <c r="T186" s="4"/>
      <c r="U186" s="4"/>
      <c r="V186" s="4"/>
      <c r="W186" s="4"/>
      <c r="X186" s="4"/>
      <c r="Y186" s="4"/>
      <c r="Z186" s="4"/>
    </row>
    <row r="187" ht="15.75" customHeight="1">
      <c r="A187" s="1"/>
      <c r="B187" s="1"/>
      <c r="C187" s="1"/>
      <c r="D187" s="1"/>
      <c r="E187" s="1"/>
      <c r="F187" s="4"/>
      <c r="G187" s="4"/>
      <c r="H187" s="4"/>
      <c r="I187" s="4"/>
      <c r="J187" s="4"/>
      <c r="K187" s="4"/>
      <c r="L187" s="4"/>
      <c r="M187" s="4"/>
      <c r="N187" s="4"/>
      <c r="O187" s="4"/>
      <c r="P187" s="4"/>
      <c r="Q187" s="4"/>
      <c r="R187" s="4"/>
      <c r="S187" s="4"/>
      <c r="T187" s="4"/>
      <c r="U187" s="4"/>
      <c r="V187" s="4"/>
      <c r="W187" s="4"/>
      <c r="X187" s="4"/>
      <c r="Y187" s="4"/>
      <c r="Z187" s="4"/>
    </row>
    <row r="188" ht="15.75" customHeight="1">
      <c r="A188" s="1"/>
      <c r="B188" s="1"/>
      <c r="C188" s="1"/>
      <c r="D188" s="1"/>
      <c r="E188" s="1"/>
      <c r="F188" s="4"/>
      <c r="G188" s="4"/>
      <c r="H188" s="4"/>
      <c r="I188" s="4"/>
      <c r="J188" s="4"/>
      <c r="K188" s="4"/>
      <c r="L188" s="4"/>
      <c r="M188" s="4"/>
      <c r="N188" s="4"/>
      <c r="O188" s="4"/>
      <c r="P188" s="4"/>
      <c r="Q188" s="4"/>
      <c r="R188" s="4"/>
      <c r="S188" s="4"/>
      <c r="T188" s="4"/>
      <c r="U188" s="4"/>
      <c r="V188" s="4"/>
      <c r="W188" s="4"/>
      <c r="X188" s="4"/>
      <c r="Y188" s="4"/>
      <c r="Z188" s="4"/>
    </row>
    <row r="189" ht="15.75" customHeight="1">
      <c r="A189" s="1"/>
      <c r="B189" s="1"/>
      <c r="C189" s="1"/>
      <c r="D189" s="1"/>
      <c r="E189" s="1"/>
      <c r="F189" s="4"/>
      <c r="G189" s="4"/>
      <c r="H189" s="4"/>
      <c r="I189" s="4"/>
      <c r="J189" s="4"/>
      <c r="K189" s="4"/>
      <c r="L189" s="4"/>
      <c r="M189" s="4"/>
      <c r="N189" s="4"/>
      <c r="O189" s="4"/>
      <c r="P189" s="4"/>
      <c r="Q189" s="4"/>
      <c r="R189" s="4"/>
      <c r="S189" s="4"/>
      <c r="T189" s="4"/>
      <c r="U189" s="4"/>
      <c r="V189" s="4"/>
      <c r="W189" s="4"/>
      <c r="X189" s="4"/>
      <c r="Y189" s="4"/>
      <c r="Z189" s="4"/>
    </row>
    <row r="190" ht="15.75" customHeight="1">
      <c r="A190" s="1"/>
      <c r="B190" s="1"/>
      <c r="C190" s="1"/>
      <c r="D190" s="1"/>
      <c r="E190" s="1"/>
      <c r="F190" s="4"/>
      <c r="G190" s="4"/>
      <c r="H190" s="4"/>
      <c r="I190" s="4"/>
      <c r="J190" s="4"/>
      <c r="K190" s="4"/>
      <c r="L190" s="4"/>
      <c r="M190" s="4"/>
      <c r="N190" s="4"/>
      <c r="O190" s="4"/>
      <c r="P190" s="4"/>
      <c r="Q190" s="4"/>
      <c r="R190" s="4"/>
      <c r="S190" s="4"/>
      <c r="T190" s="4"/>
      <c r="U190" s="4"/>
      <c r="V190" s="4"/>
      <c r="W190" s="4"/>
      <c r="X190" s="4"/>
      <c r="Y190" s="4"/>
      <c r="Z190" s="4"/>
    </row>
    <row r="191" ht="15.75" customHeight="1">
      <c r="A191" s="1"/>
      <c r="B191" s="1"/>
      <c r="C191" s="1"/>
      <c r="D191" s="1"/>
      <c r="E191" s="1"/>
      <c r="F191" s="4"/>
      <c r="G191" s="4"/>
      <c r="H191" s="4"/>
      <c r="I191" s="4"/>
      <c r="J191" s="4"/>
      <c r="K191" s="4"/>
      <c r="L191" s="4"/>
      <c r="M191" s="4"/>
      <c r="N191" s="4"/>
      <c r="O191" s="4"/>
      <c r="P191" s="4"/>
      <c r="Q191" s="4"/>
      <c r="R191" s="4"/>
      <c r="S191" s="4"/>
      <c r="T191" s="4"/>
      <c r="U191" s="4"/>
      <c r="V191" s="4"/>
      <c r="W191" s="4"/>
      <c r="X191" s="4"/>
      <c r="Y191" s="4"/>
      <c r="Z191" s="4"/>
    </row>
    <row r="192" ht="15.75" customHeight="1">
      <c r="A192" s="1"/>
      <c r="B192" s="1"/>
      <c r="C192" s="1"/>
      <c r="D192" s="1"/>
      <c r="E192" s="1"/>
      <c r="F192" s="4"/>
      <c r="G192" s="4"/>
      <c r="H192" s="4"/>
      <c r="I192" s="4"/>
      <c r="J192" s="4"/>
      <c r="K192" s="4"/>
      <c r="L192" s="4"/>
      <c r="M192" s="4"/>
      <c r="N192" s="4"/>
      <c r="O192" s="4"/>
      <c r="P192" s="4"/>
      <c r="Q192" s="4"/>
      <c r="R192" s="4"/>
      <c r="S192" s="4"/>
      <c r="T192" s="4"/>
      <c r="U192" s="4"/>
      <c r="V192" s="4"/>
      <c r="W192" s="4"/>
      <c r="X192" s="4"/>
      <c r="Y192" s="4"/>
      <c r="Z192" s="4"/>
    </row>
    <row r="193" ht="15.75" customHeight="1">
      <c r="A193" s="1"/>
      <c r="B193" s="1"/>
      <c r="C193" s="1"/>
      <c r="D193" s="1"/>
      <c r="E193" s="1"/>
      <c r="F193" s="4"/>
      <c r="G193" s="4"/>
      <c r="H193" s="4"/>
      <c r="I193" s="4"/>
      <c r="J193" s="4"/>
      <c r="K193" s="4"/>
      <c r="L193" s="4"/>
      <c r="M193" s="4"/>
      <c r="N193" s="4"/>
      <c r="O193" s="4"/>
      <c r="P193" s="4"/>
      <c r="Q193" s="4"/>
      <c r="R193" s="4"/>
      <c r="S193" s="4"/>
      <c r="T193" s="4"/>
      <c r="U193" s="4"/>
      <c r="V193" s="4"/>
      <c r="W193" s="4"/>
      <c r="X193" s="4"/>
      <c r="Y193" s="4"/>
      <c r="Z193" s="4"/>
    </row>
    <row r="194" ht="15.75" customHeight="1">
      <c r="A194" s="1"/>
      <c r="B194" s="1"/>
      <c r="C194" s="1"/>
      <c r="D194" s="1"/>
      <c r="E194" s="1"/>
      <c r="F194" s="4"/>
      <c r="G194" s="4"/>
      <c r="H194" s="4"/>
      <c r="I194" s="4"/>
      <c r="J194" s="4"/>
      <c r="K194" s="4"/>
      <c r="L194" s="4"/>
      <c r="M194" s="4"/>
      <c r="N194" s="4"/>
      <c r="O194" s="4"/>
      <c r="P194" s="4"/>
      <c r="Q194" s="4"/>
      <c r="R194" s="4"/>
      <c r="S194" s="4"/>
      <c r="T194" s="4"/>
      <c r="U194" s="4"/>
      <c r="V194" s="4"/>
      <c r="W194" s="4"/>
      <c r="X194" s="4"/>
      <c r="Y194" s="4"/>
      <c r="Z194" s="4"/>
    </row>
    <row r="195" ht="15.75" customHeight="1">
      <c r="A195" s="1"/>
      <c r="B195" s="1"/>
      <c r="C195" s="1"/>
      <c r="D195" s="1"/>
      <c r="E195" s="1"/>
      <c r="F195" s="4"/>
      <c r="G195" s="4"/>
      <c r="H195" s="4"/>
      <c r="I195" s="4"/>
      <c r="J195" s="4"/>
      <c r="K195" s="4"/>
      <c r="L195" s="4"/>
      <c r="M195" s="4"/>
      <c r="N195" s="4"/>
      <c r="O195" s="4"/>
      <c r="P195" s="4"/>
      <c r="Q195" s="4"/>
      <c r="R195" s="4"/>
      <c r="S195" s="4"/>
      <c r="T195" s="4"/>
      <c r="U195" s="4"/>
      <c r="V195" s="4"/>
      <c r="W195" s="4"/>
      <c r="X195" s="4"/>
      <c r="Y195" s="4"/>
      <c r="Z195" s="4"/>
    </row>
    <row r="196" ht="15.75" customHeight="1">
      <c r="A196" s="1"/>
      <c r="B196" s="1"/>
      <c r="C196" s="1"/>
      <c r="D196" s="1"/>
      <c r="E196" s="1"/>
      <c r="F196" s="4"/>
      <c r="G196" s="4"/>
      <c r="H196" s="4"/>
      <c r="I196" s="4"/>
      <c r="J196" s="4"/>
      <c r="K196" s="4"/>
      <c r="L196" s="4"/>
      <c r="M196" s="4"/>
      <c r="N196" s="4"/>
      <c r="O196" s="4"/>
      <c r="P196" s="4"/>
      <c r="Q196" s="4"/>
      <c r="R196" s="4"/>
      <c r="S196" s="4"/>
      <c r="T196" s="4"/>
      <c r="U196" s="4"/>
      <c r="V196" s="4"/>
      <c r="W196" s="4"/>
      <c r="X196" s="4"/>
      <c r="Y196" s="4"/>
      <c r="Z196" s="4"/>
    </row>
    <row r="197" ht="15.75" customHeight="1">
      <c r="A197" s="1"/>
      <c r="B197" s="1"/>
      <c r="C197" s="1"/>
      <c r="D197" s="1"/>
      <c r="E197" s="1"/>
      <c r="F197" s="4"/>
      <c r="G197" s="4"/>
      <c r="H197" s="4"/>
      <c r="I197" s="4"/>
      <c r="J197" s="4"/>
      <c r="K197" s="4"/>
      <c r="L197" s="4"/>
      <c r="M197" s="4"/>
      <c r="N197" s="4"/>
      <c r="O197" s="4"/>
      <c r="P197" s="4"/>
      <c r="Q197" s="4"/>
      <c r="R197" s="4"/>
      <c r="S197" s="4"/>
      <c r="T197" s="4"/>
      <c r="U197" s="4"/>
      <c r="V197" s="4"/>
      <c r="W197" s="4"/>
      <c r="X197" s="4"/>
      <c r="Y197" s="4"/>
      <c r="Z197" s="4"/>
    </row>
    <row r="198" ht="15.75" customHeight="1">
      <c r="A198" s="1"/>
      <c r="B198" s="1"/>
      <c r="C198" s="1"/>
      <c r="D198" s="1"/>
      <c r="E198" s="1"/>
      <c r="F198" s="4"/>
      <c r="G198" s="4"/>
      <c r="H198" s="4"/>
      <c r="I198" s="4"/>
      <c r="J198" s="4"/>
      <c r="K198" s="4"/>
      <c r="L198" s="4"/>
      <c r="M198" s="4"/>
      <c r="N198" s="4"/>
      <c r="O198" s="4"/>
      <c r="P198" s="4"/>
      <c r="Q198" s="4"/>
      <c r="R198" s="4"/>
      <c r="S198" s="4"/>
      <c r="T198" s="4"/>
      <c r="U198" s="4"/>
      <c r="V198" s="4"/>
      <c r="W198" s="4"/>
      <c r="X198" s="4"/>
      <c r="Y198" s="4"/>
      <c r="Z198" s="4"/>
    </row>
    <row r="199" ht="15.75" customHeight="1">
      <c r="A199" s="1"/>
      <c r="B199" s="1"/>
      <c r="C199" s="1"/>
      <c r="D199" s="1"/>
      <c r="E199" s="1"/>
      <c r="F199" s="4"/>
      <c r="G199" s="4"/>
      <c r="H199" s="4"/>
      <c r="I199" s="4"/>
      <c r="J199" s="4"/>
      <c r="K199" s="4"/>
      <c r="L199" s="4"/>
      <c r="M199" s="4"/>
      <c r="N199" s="4"/>
      <c r="O199" s="4"/>
      <c r="P199" s="4"/>
      <c r="Q199" s="4"/>
      <c r="R199" s="4"/>
      <c r="S199" s="4"/>
      <c r="T199" s="4"/>
      <c r="U199" s="4"/>
      <c r="V199" s="4"/>
      <c r="W199" s="4"/>
      <c r="X199" s="4"/>
      <c r="Y199" s="4"/>
      <c r="Z199" s="4"/>
    </row>
    <row r="200" ht="15.75" customHeight="1">
      <c r="A200" s="1"/>
      <c r="B200" s="1"/>
      <c r="C200" s="1"/>
      <c r="D200" s="1"/>
      <c r="E200" s="1"/>
      <c r="F200" s="4"/>
      <c r="G200" s="4"/>
      <c r="H200" s="4"/>
      <c r="I200" s="4"/>
      <c r="J200" s="4"/>
      <c r="K200" s="4"/>
      <c r="L200" s="4"/>
      <c r="M200" s="4"/>
      <c r="N200" s="4"/>
      <c r="O200" s="4"/>
      <c r="P200" s="4"/>
      <c r="Q200" s="4"/>
      <c r="R200" s="4"/>
      <c r="S200" s="4"/>
      <c r="T200" s="4"/>
      <c r="U200" s="4"/>
      <c r="V200" s="4"/>
      <c r="W200" s="4"/>
      <c r="X200" s="4"/>
      <c r="Y200" s="4"/>
      <c r="Z200" s="4"/>
    </row>
    <row r="201" ht="15.75" customHeight="1">
      <c r="A201" s="1"/>
      <c r="B201" s="1"/>
      <c r="C201" s="1"/>
      <c r="D201" s="1"/>
      <c r="E201" s="1"/>
      <c r="F201" s="4"/>
      <c r="G201" s="4"/>
      <c r="H201" s="4"/>
      <c r="I201" s="4"/>
      <c r="J201" s="4"/>
      <c r="K201" s="4"/>
      <c r="L201" s="4"/>
      <c r="M201" s="4"/>
      <c r="N201" s="4"/>
      <c r="O201" s="4"/>
      <c r="P201" s="4"/>
      <c r="Q201" s="4"/>
      <c r="R201" s="4"/>
      <c r="S201" s="4"/>
      <c r="T201" s="4"/>
      <c r="U201" s="4"/>
      <c r="V201" s="4"/>
      <c r="W201" s="4"/>
      <c r="X201" s="4"/>
      <c r="Y201" s="4"/>
      <c r="Z201" s="4"/>
    </row>
    <row r="202" ht="15.75" customHeight="1">
      <c r="A202" s="1"/>
      <c r="B202" s="1"/>
      <c r="C202" s="1"/>
      <c r="D202" s="1"/>
      <c r="E202" s="1"/>
      <c r="F202" s="4"/>
      <c r="G202" s="4"/>
      <c r="H202" s="4"/>
      <c r="I202" s="4"/>
      <c r="J202" s="4"/>
      <c r="K202" s="4"/>
      <c r="L202" s="4"/>
      <c r="M202" s="4"/>
      <c r="N202" s="4"/>
      <c r="O202" s="4"/>
      <c r="P202" s="4"/>
      <c r="Q202" s="4"/>
      <c r="R202" s="4"/>
      <c r="S202" s="4"/>
      <c r="T202" s="4"/>
      <c r="U202" s="4"/>
      <c r="V202" s="4"/>
      <c r="W202" s="4"/>
      <c r="X202" s="4"/>
      <c r="Y202" s="4"/>
      <c r="Z202" s="4"/>
    </row>
    <row r="203" ht="15.75" customHeight="1">
      <c r="A203" s="1"/>
      <c r="B203" s="1"/>
      <c r="C203" s="1"/>
      <c r="D203" s="1"/>
      <c r="E203" s="1"/>
      <c r="F203" s="4"/>
      <c r="G203" s="4"/>
      <c r="H203" s="4"/>
      <c r="I203" s="4"/>
      <c r="J203" s="4"/>
      <c r="K203" s="4"/>
      <c r="L203" s="4"/>
      <c r="M203" s="4"/>
      <c r="N203" s="4"/>
      <c r="O203" s="4"/>
      <c r="P203" s="4"/>
      <c r="Q203" s="4"/>
      <c r="R203" s="4"/>
      <c r="S203" s="4"/>
      <c r="T203" s="4"/>
      <c r="U203" s="4"/>
      <c r="V203" s="4"/>
      <c r="W203" s="4"/>
      <c r="X203" s="4"/>
      <c r="Y203" s="4"/>
      <c r="Z203" s="4"/>
    </row>
    <row r="204" ht="15.75" customHeight="1">
      <c r="A204" s="1"/>
      <c r="B204" s="1"/>
      <c r="C204" s="1"/>
      <c r="D204" s="1"/>
      <c r="E204" s="1"/>
      <c r="F204" s="4"/>
      <c r="G204" s="4"/>
      <c r="H204" s="4"/>
      <c r="I204" s="4"/>
      <c r="J204" s="4"/>
      <c r="K204" s="4"/>
      <c r="L204" s="4"/>
      <c r="M204" s="4"/>
      <c r="N204" s="4"/>
      <c r="O204" s="4"/>
      <c r="P204" s="4"/>
      <c r="Q204" s="4"/>
      <c r="R204" s="4"/>
      <c r="S204" s="4"/>
      <c r="T204" s="4"/>
      <c r="U204" s="4"/>
      <c r="V204" s="4"/>
      <c r="W204" s="4"/>
      <c r="X204" s="4"/>
      <c r="Y204" s="4"/>
      <c r="Z204" s="4"/>
    </row>
    <row r="205" ht="15.75" customHeight="1">
      <c r="A205" s="1"/>
      <c r="B205" s="1"/>
      <c r="C205" s="1"/>
      <c r="D205" s="1"/>
      <c r="E205" s="1"/>
      <c r="F205" s="4"/>
      <c r="G205" s="4"/>
      <c r="H205" s="4"/>
      <c r="I205" s="4"/>
      <c r="J205" s="4"/>
      <c r="K205" s="4"/>
      <c r="L205" s="4"/>
      <c r="M205" s="4"/>
      <c r="N205" s="4"/>
      <c r="O205" s="4"/>
      <c r="P205" s="4"/>
      <c r="Q205" s="4"/>
      <c r="R205" s="4"/>
      <c r="S205" s="4"/>
      <c r="T205" s="4"/>
      <c r="U205" s="4"/>
      <c r="V205" s="4"/>
      <c r="W205" s="4"/>
      <c r="X205" s="4"/>
      <c r="Y205" s="4"/>
      <c r="Z205" s="4"/>
    </row>
    <row r="206" ht="15.75" customHeight="1">
      <c r="A206" s="1"/>
      <c r="B206" s="1"/>
      <c r="C206" s="1"/>
      <c r="D206" s="1"/>
      <c r="E206" s="1"/>
      <c r="F206" s="4"/>
      <c r="G206" s="4"/>
      <c r="H206" s="4"/>
      <c r="I206" s="4"/>
      <c r="J206" s="4"/>
      <c r="K206" s="4"/>
      <c r="L206" s="4"/>
      <c r="M206" s="4"/>
      <c r="N206" s="4"/>
      <c r="O206" s="4"/>
      <c r="P206" s="4"/>
      <c r="Q206" s="4"/>
      <c r="R206" s="4"/>
      <c r="S206" s="4"/>
      <c r="T206" s="4"/>
      <c r="U206" s="4"/>
      <c r="V206" s="4"/>
      <c r="W206" s="4"/>
      <c r="X206" s="4"/>
      <c r="Y206" s="4"/>
      <c r="Z206" s="4"/>
    </row>
    <row r="207" ht="15.75" customHeight="1">
      <c r="A207" s="1"/>
      <c r="B207" s="1"/>
      <c r="C207" s="1"/>
      <c r="D207" s="1"/>
      <c r="E207" s="1"/>
      <c r="F207" s="4"/>
      <c r="G207" s="4"/>
      <c r="H207" s="4"/>
      <c r="I207" s="4"/>
      <c r="J207" s="4"/>
      <c r="K207" s="4"/>
      <c r="L207" s="4"/>
      <c r="M207" s="4"/>
      <c r="N207" s="4"/>
      <c r="O207" s="4"/>
      <c r="P207" s="4"/>
      <c r="Q207" s="4"/>
      <c r="R207" s="4"/>
      <c r="S207" s="4"/>
      <c r="T207" s="4"/>
      <c r="U207" s="4"/>
      <c r="V207" s="4"/>
      <c r="W207" s="4"/>
      <c r="X207" s="4"/>
      <c r="Y207" s="4"/>
      <c r="Z207" s="4"/>
    </row>
    <row r="208" ht="15.75" customHeight="1">
      <c r="A208" s="1"/>
      <c r="B208" s="1"/>
      <c r="C208" s="1"/>
      <c r="D208" s="1"/>
      <c r="E208" s="1"/>
      <c r="F208" s="4"/>
      <c r="G208" s="4"/>
      <c r="H208" s="4"/>
      <c r="I208" s="4"/>
      <c r="J208" s="4"/>
      <c r="K208" s="4"/>
      <c r="L208" s="4"/>
      <c r="M208" s="4"/>
      <c r="N208" s="4"/>
      <c r="O208" s="4"/>
      <c r="P208" s="4"/>
      <c r="Q208" s="4"/>
      <c r="R208" s="4"/>
      <c r="S208" s="4"/>
      <c r="T208" s="4"/>
      <c r="U208" s="4"/>
      <c r="V208" s="4"/>
      <c r="W208" s="4"/>
      <c r="X208" s="4"/>
      <c r="Y208" s="4"/>
      <c r="Z208" s="4"/>
    </row>
    <row r="209" ht="15.75" customHeight="1">
      <c r="A209" s="1"/>
      <c r="B209" s="1"/>
      <c r="C209" s="1"/>
      <c r="D209" s="1"/>
      <c r="E209" s="1"/>
      <c r="F209" s="4"/>
      <c r="G209" s="4"/>
      <c r="H209" s="4"/>
      <c r="I209" s="4"/>
      <c r="J209" s="4"/>
      <c r="K209" s="4"/>
      <c r="L209" s="4"/>
      <c r="M209" s="4"/>
      <c r="N209" s="4"/>
      <c r="O209" s="4"/>
      <c r="P209" s="4"/>
      <c r="Q209" s="4"/>
      <c r="R209" s="4"/>
      <c r="S209" s="4"/>
      <c r="T209" s="4"/>
      <c r="U209" s="4"/>
      <c r="V209" s="4"/>
      <c r="W209" s="4"/>
      <c r="X209" s="4"/>
      <c r="Y209" s="4"/>
      <c r="Z209" s="4"/>
    </row>
    <row r="210" ht="15.75" customHeight="1">
      <c r="A210" s="1"/>
      <c r="B210" s="1"/>
      <c r="C210" s="1"/>
      <c r="D210" s="1"/>
      <c r="E210" s="1"/>
      <c r="F210" s="4"/>
      <c r="G210" s="4"/>
      <c r="H210" s="4"/>
      <c r="I210" s="4"/>
      <c r="J210" s="4"/>
      <c r="K210" s="4"/>
      <c r="L210" s="4"/>
      <c r="M210" s="4"/>
      <c r="N210" s="4"/>
      <c r="O210" s="4"/>
      <c r="P210" s="4"/>
      <c r="Q210" s="4"/>
      <c r="R210" s="4"/>
      <c r="S210" s="4"/>
      <c r="T210" s="4"/>
      <c r="U210" s="4"/>
      <c r="V210" s="4"/>
      <c r="W210" s="4"/>
      <c r="X210" s="4"/>
      <c r="Y210" s="4"/>
      <c r="Z210" s="4"/>
    </row>
    <row r="211" ht="15.75" customHeight="1">
      <c r="A211" s="1"/>
      <c r="B211" s="1"/>
      <c r="C211" s="1"/>
      <c r="D211" s="1"/>
      <c r="E211" s="1"/>
      <c r="F211" s="4"/>
      <c r="G211" s="4"/>
      <c r="H211" s="4"/>
      <c r="I211" s="4"/>
      <c r="J211" s="4"/>
      <c r="K211" s="4"/>
      <c r="L211" s="4"/>
      <c r="M211" s="4"/>
      <c r="N211" s="4"/>
      <c r="O211" s="4"/>
      <c r="P211" s="4"/>
      <c r="Q211" s="4"/>
      <c r="R211" s="4"/>
      <c r="S211" s="4"/>
      <c r="T211" s="4"/>
      <c r="U211" s="4"/>
      <c r="V211" s="4"/>
      <c r="W211" s="4"/>
      <c r="X211" s="4"/>
      <c r="Y211" s="4"/>
      <c r="Z211" s="4"/>
    </row>
    <row r="212" ht="15.75" customHeight="1">
      <c r="A212" s="1"/>
      <c r="B212" s="1"/>
      <c r="C212" s="1"/>
      <c r="D212" s="1"/>
      <c r="E212" s="1"/>
      <c r="F212" s="4"/>
      <c r="G212" s="4"/>
      <c r="H212" s="4"/>
      <c r="I212" s="4"/>
      <c r="J212" s="4"/>
      <c r="K212" s="4"/>
      <c r="L212" s="4"/>
      <c r="M212" s="4"/>
      <c r="N212" s="4"/>
      <c r="O212" s="4"/>
      <c r="P212" s="4"/>
      <c r="Q212" s="4"/>
      <c r="R212" s="4"/>
      <c r="S212" s="4"/>
      <c r="T212" s="4"/>
      <c r="U212" s="4"/>
      <c r="V212" s="4"/>
      <c r="W212" s="4"/>
      <c r="X212" s="4"/>
      <c r="Y212" s="4"/>
      <c r="Z212" s="4"/>
    </row>
    <row r="213" ht="15.75" customHeight="1">
      <c r="A213" s="1"/>
      <c r="B213" s="1"/>
      <c r="C213" s="1"/>
      <c r="D213" s="1"/>
      <c r="E213" s="1"/>
      <c r="F213" s="4"/>
      <c r="G213" s="4"/>
      <c r="H213" s="4"/>
      <c r="I213" s="4"/>
      <c r="J213" s="4"/>
      <c r="K213" s="4"/>
      <c r="L213" s="4"/>
      <c r="M213" s="4"/>
      <c r="N213" s="4"/>
      <c r="O213" s="4"/>
      <c r="P213" s="4"/>
      <c r="Q213" s="4"/>
      <c r="R213" s="4"/>
      <c r="S213" s="4"/>
      <c r="T213" s="4"/>
      <c r="U213" s="4"/>
      <c r="V213" s="4"/>
      <c r="W213" s="4"/>
      <c r="X213" s="4"/>
      <c r="Y213" s="4"/>
      <c r="Z213" s="4"/>
    </row>
    <row r="214" ht="15.75" customHeight="1">
      <c r="A214" s="1"/>
      <c r="B214" s="1"/>
      <c r="C214" s="1"/>
      <c r="D214" s="1"/>
      <c r="E214" s="1"/>
      <c r="F214" s="4"/>
      <c r="G214" s="4"/>
      <c r="H214" s="4"/>
      <c r="I214" s="4"/>
      <c r="J214" s="4"/>
      <c r="K214" s="4"/>
      <c r="L214" s="4"/>
      <c r="M214" s="4"/>
      <c r="N214" s="4"/>
      <c r="O214" s="4"/>
      <c r="P214" s="4"/>
      <c r="Q214" s="4"/>
      <c r="R214" s="4"/>
      <c r="S214" s="4"/>
      <c r="T214" s="4"/>
      <c r="U214" s="4"/>
      <c r="V214" s="4"/>
      <c r="W214" s="4"/>
      <c r="X214" s="4"/>
      <c r="Y214" s="4"/>
      <c r="Z214" s="4"/>
    </row>
    <row r="215" ht="15.75" customHeight="1">
      <c r="A215" s="1"/>
      <c r="B215" s="1"/>
      <c r="C215" s="1"/>
      <c r="D215" s="1"/>
      <c r="E215" s="1"/>
      <c r="F215" s="4"/>
      <c r="G215" s="4"/>
      <c r="H215" s="4"/>
      <c r="I215" s="4"/>
      <c r="J215" s="4"/>
      <c r="K215" s="4"/>
      <c r="L215" s="4"/>
      <c r="M215" s="4"/>
      <c r="N215" s="4"/>
      <c r="O215" s="4"/>
      <c r="P215" s="4"/>
      <c r="Q215" s="4"/>
      <c r="R215" s="4"/>
      <c r="S215" s="4"/>
      <c r="T215" s="4"/>
      <c r="U215" s="4"/>
      <c r="V215" s="4"/>
      <c r="W215" s="4"/>
      <c r="X215" s="4"/>
      <c r="Y215" s="4"/>
      <c r="Z215" s="4"/>
    </row>
    <row r="216" ht="15.75" customHeight="1">
      <c r="A216" s="1"/>
      <c r="B216" s="1"/>
      <c r="C216" s="1"/>
      <c r="D216" s="1"/>
      <c r="E216" s="1"/>
      <c r="F216" s="4"/>
      <c r="G216" s="4"/>
      <c r="H216" s="4"/>
      <c r="I216" s="4"/>
      <c r="J216" s="4"/>
      <c r="K216" s="4"/>
      <c r="L216" s="4"/>
      <c r="M216" s="4"/>
      <c r="N216" s="4"/>
      <c r="O216" s="4"/>
      <c r="P216" s="4"/>
      <c r="Q216" s="4"/>
      <c r="R216" s="4"/>
      <c r="S216" s="4"/>
      <c r="T216" s="4"/>
      <c r="U216" s="4"/>
      <c r="V216" s="4"/>
      <c r="W216" s="4"/>
      <c r="X216" s="4"/>
      <c r="Y216" s="4"/>
      <c r="Z216" s="4"/>
    </row>
    <row r="217" ht="15.75" customHeight="1">
      <c r="A217" s="1"/>
      <c r="B217" s="1"/>
      <c r="C217" s="1"/>
      <c r="D217" s="1"/>
      <c r="E217" s="1"/>
      <c r="F217" s="4"/>
      <c r="G217" s="4"/>
      <c r="H217" s="4"/>
      <c r="I217" s="4"/>
      <c r="J217" s="4"/>
      <c r="K217" s="4"/>
      <c r="L217" s="4"/>
      <c r="M217" s="4"/>
      <c r="N217" s="4"/>
      <c r="O217" s="4"/>
      <c r="P217" s="4"/>
      <c r="Q217" s="4"/>
      <c r="R217" s="4"/>
      <c r="S217" s="4"/>
      <c r="T217" s="4"/>
      <c r="U217" s="4"/>
      <c r="V217" s="4"/>
      <c r="W217" s="4"/>
      <c r="X217" s="4"/>
      <c r="Y217" s="4"/>
      <c r="Z217" s="4"/>
    </row>
    <row r="218" ht="15.75" customHeight="1">
      <c r="A218" s="1"/>
      <c r="B218" s="1"/>
      <c r="C218" s="1"/>
      <c r="D218" s="1"/>
      <c r="E218" s="1"/>
      <c r="F218" s="4"/>
      <c r="G218" s="4"/>
      <c r="H218" s="4"/>
      <c r="I218" s="4"/>
      <c r="J218" s="4"/>
      <c r="K218" s="4"/>
      <c r="L218" s="4"/>
      <c r="M218" s="4"/>
      <c r="N218" s="4"/>
      <c r="O218" s="4"/>
      <c r="P218" s="4"/>
      <c r="Q218" s="4"/>
      <c r="R218" s="4"/>
      <c r="S218" s="4"/>
      <c r="T218" s="4"/>
      <c r="U218" s="4"/>
      <c r="V218" s="4"/>
      <c r="W218" s="4"/>
      <c r="X218" s="4"/>
      <c r="Y218" s="4"/>
      <c r="Z218" s="4"/>
    </row>
    <row r="219" ht="15.75" customHeight="1">
      <c r="A219" s="1"/>
      <c r="B219" s="1"/>
      <c r="C219" s="1"/>
      <c r="D219" s="1"/>
      <c r="E219" s="1"/>
      <c r="F219" s="4"/>
      <c r="G219" s="4"/>
      <c r="H219" s="4"/>
      <c r="I219" s="4"/>
      <c r="J219" s="4"/>
      <c r="K219" s="4"/>
      <c r="L219" s="4"/>
      <c r="M219" s="4"/>
      <c r="N219" s="4"/>
      <c r="O219" s="4"/>
      <c r="P219" s="4"/>
      <c r="Q219" s="4"/>
      <c r="R219" s="4"/>
      <c r="S219" s="4"/>
      <c r="T219" s="4"/>
      <c r="U219" s="4"/>
      <c r="V219" s="4"/>
      <c r="W219" s="4"/>
      <c r="X219" s="4"/>
      <c r="Y219" s="4"/>
      <c r="Z219" s="4"/>
    </row>
    <row r="220" ht="15.75" customHeight="1">
      <c r="A220" s="1"/>
      <c r="B220" s="1"/>
      <c r="C220" s="1"/>
      <c r="D220" s="1"/>
      <c r="E220" s="1"/>
      <c r="F220" s="4"/>
      <c r="G220" s="4"/>
      <c r="H220" s="4"/>
      <c r="I220" s="4"/>
      <c r="J220" s="4"/>
      <c r="K220" s="4"/>
      <c r="L220" s="4"/>
      <c r="M220" s="4"/>
      <c r="N220" s="4"/>
      <c r="O220" s="4"/>
      <c r="P220" s="4"/>
      <c r="Q220" s="4"/>
      <c r="R220" s="4"/>
      <c r="S220" s="4"/>
      <c r="T220" s="4"/>
      <c r="U220" s="4"/>
      <c r="V220" s="4"/>
      <c r="W220" s="4"/>
      <c r="X220" s="4"/>
      <c r="Y220" s="4"/>
      <c r="Z220" s="4"/>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E1"/>
    <mergeCell ref="A2:E2"/>
    <mergeCell ref="A10:E10"/>
    <mergeCell ref="A12:F12"/>
  </mergeCells>
  <printOptions/>
  <pageMargins bottom="0.75" footer="0.0" header="0.0" left="0.7" right="0.7" top="0.75"/>
  <pageSetup orientation="landscape"/>
  <drawing r:id="rId1"/>
</worksheet>
</file>
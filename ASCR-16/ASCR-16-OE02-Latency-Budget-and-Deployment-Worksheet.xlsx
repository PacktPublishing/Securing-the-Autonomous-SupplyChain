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2a32adc6347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7" r:id="R9b471d9a98644729"/>
    <x:sheet xmlns:r="http://schemas.openxmlformats.org/officeDocument/2006/relationships" name="Instructions" sheetId="1" r:id="R3152273290d9462c"/>
    <x:sheet xmlns:r="http://schemas.openxmlformats.org/officeDocument/2006/relationships" name="Latency Budget Calculator" sheetId="8" r:id="Rba2de819b1d04724"/>
    <x:sheet xmlns:r="http://schemas.openxmlformats.org/officeDocument/2006/relationships" name="ASCR-16 Spec Reference" sheetId="3" r:id="R742e41a38f464b1b"/>
    <x:sheet xmlns:r="http://schemas.openxmlformats.org/officeDocument/2006/relationships" name="Checklist Instructions" sheetId="4" r:id="Rc4e06d08fa30406a"/>
    <x:sheet xmlns:r="http://schemas.openxmlformats.org/officeDocument/2006/relationships" name="Deployment Checklist" sheetId="5" r:id="Rb810ff2bd6b44e11"/>
    <x:sheet xmlns:r="http://schemas.openxmlformats.org/officeDocument/2006/relationships" name="Context Feed Registry" sheetId="6" r:id="Rc2121d5c33d949f2"/>
    <x:sheet xmlns:r="http://schemas.openxmlformats.org/officeDocument/2006/relationships" name="Deployment Parameters" sheetId="9" r:id="R73cd38b041e34949"/>
  </x:sheets>
</x:workbook>
</file>

<file path=xl/sharedStrings.xml><?xml version="1.0" encoding="utf-8"?>
<x:sst xmlns:x="http://schemas.openxmlformats.org/spreadsheetml/2006/main">
  <x:si>
    <x:t xml:space="preserve">Purpose</x:t>
  </x:si>
  <x:si>
    <x:t xml:space="preserve">Step 1 — Collect measurements</x:t>
  </x:si>
  <x:si>
    <x:t xml:space="preserve">Step 2 — Enter upstream values (blue cells, Section ②)</x:t>
  </x:si>
  <x:si>
    <x:t xml:space="preserve">Step 4 — Check the Budget Summary (Section ④)</x:t>
  </x:si>
  <x:si>
    <x:t xml:space="preserve">Step 5 — Check ASCR-12 Flags (Section ⑥)</x:t>
  </x:si>
  <x:si>
    <x:t xml:space="preserve">Color coding</x:t>
  </x:si>
  <x:si>
    <x:t xml:space="preserve">BLUE TEXT = user input cells. Enter your values here.
BLACK TEXT = formula cells. Do not edit.
GREEN background = within spec.
AMBER background = near limit or tight.
RED background = over spec or over budget.</x:t>
  </x:si>
  <x:si>
    <x:t xml:space="preserve">ASCR-16 Section 5 reference</x:t>
  </x:si>
  <x:si>
    <x:t xml:space="preserve">How to fill this in</x:t>
  </x:si>
  <x:si>
    <x:t xml:space="preserve">Completion status key</x:t>
  </x:si>
  <x:si>
    <x:t xml:space="preserve">Not Verified = not yet checked.
Verified = checked and signed off by the responsible role.
N/A = not applicable to this deployment — a reason must be documented in the Notes column and reviewed by the Security/IR Lead.</x:t>
  </x:si>
  <x:si>
    <x:t xml:space="preserve">Item numbering note</x:t>
  </x:si>
  <x:si>
    <x:t xml:space="preserve">Deployment authorization</x:t>
  </x:si>
  <x:si>
    <x:t xml:space="preserve">Part 1: Architecture and Conduit Documentation</x:t>
  </x:si>
  <x:si>
    <x:t xml:space="preserve">#</x:t>
  </x:si>
  <x:si>
    <x:t xml:space="preserve">Item</x:t>
  </x:si>
  <x:si>
    <x:t xml:space="preserve">Responsible</x:t>
  </x:si>
  <x:si>
    <x:t xml:space="preserve">ASCR ref</x:t>
  </x:si>
  <x:si>
    <x:t xml:space="preserve">Status</x:t>
  </x:si>
  <x:si>
    <x:t xml:space="preserve">Verified by</x:t>
  </x:si>
  <x:si>
    <x:t xml:space="preserve">Date</x:t>
  </x:si>
  <x:si>
    <x:t xml:space="preserve">Notes</x:t>
  </x:si>
  <x:si>
    <x:t xml:space="preserve">1</x:t>
  </x:si>
  <x:si>
    <x:t xml:space="preserve">OT Eng Lead + AI/ML Eng Lead</x:t>
  </x:si>
  <x:si>
    <x:t xml:space="preserve">ASCR-05 §6.1</x:t>
  </x:si>
  <x:si>
    <x:t xml:space="preserve">Not Verified</x:t>
  </x:si>
  <x:si>
    <x:t xml:space="preserve">1a</x:t>
  </x:si>
  <x:si>
    <x:t xml:space="preserve">1b</x:t>
  </x:si>
  <x:si>
    <x:t xml:space="preserve">1c</x:t>
  </x:si>
  <x:si>
    <x:t xml:space="preserve">Part 2: Identity and Cryptographic Infrastructure</x:t>
  </x:si>
  <x:si>
    <x:t xml:space="preserve">2</x:t>
  </x:si>
  <x:si>
    <x:t xml:space="preserve">AI/ML Eng Lead</x:t>
  </x:si>
  <x:si>
    <x:t xml:space="preserve">2a</x:t>
  </x:si>
  <x:si>
    <x:t xml:space="preserve">2b</x:t>
  </x:si>
  <x:si>
    <x:t xml:space="preserve">2c</x:t>
  </x:si>
  <x:si>
    <x:t xml:space="preserve">Part 4: Context Feed Integrity</x:t>
  </x:si>
  <x:si>
    <x:t xml:space="preserve">4</x:t>
  </x:si>
  <x:si>
    <x:t xml:space="preserve">ASCR-16 §3.2</x:t>
  </x:si>
  <x:si>
    <x:t xml:space="preserve">4a</x:t>
  </x:si>
  <x:si>
    <x:t xml:space="preserve">4b</x:t>
  </x:si>
  <x:si>
    <x:t xml:space="preserve">4c</x:t>
  </x:si>
  <x:si>
    <x:t xml:space="preserve">ASCR-16 §5</x:t>
  </x:si>
  <x:si>
    <x:t xml:space="preserve">4d</x:t>
  </x:si>
  <x:si>
    <x:t xml:space="preserve">4e</x:t>
  </x:si>
  <x:si>
    <x:t xml:space="preserve">Part 5: Transit Custody Logging</x:t>
  </x:si>
  <x:si>
    <x:t xml:space="preserve">5</x:t>
  </x:si>
  <x:si>
    <x:t xml:space="preserve">Transit custody logging confirmed operational for all governed hops</x:t>
  </x:si>
  <x:si>
    <x:t xml:space="preserve">AI/ML Eng Lead + OT Eng Lead</x:t>
  </x:si>
  <x:si>
    <x:t xml:space="preserve">5a</x:t>
  </x:si>
  <x:si>
    <x:t xml:space="preserve">Ungoverned transit segments (e.g. public internet hops) documented in ASCR-05 §6.1 with explicit risk acceptance</x:t>
  </x:si>
  <x:si>
    <x:t xml:space="preserve">5b</x:t>
  </x:si>
  <x:si>
    <x:t xml:space="preserve">Ungoverned hops reflected in ASCR-12 Quarterly Scorecard residual risk section</x:t>
  </x:si>
  <x:si>
    <x:t xml:space="preserve">ASCR-12</x:t>
  </x:si>
  <x:si>
    <x:t xml:space="preserve">5c</x:t>
  </x:si>
  <x:si>
    <x:t xml:space="preserve">Part 6: Model Update Timing Controls</x:t>
  </x:si>
  <x:si>
    <x:t xml:space="preserve">6</x:t>
  </x:si>
  <x:si>
    <x:t xml:space="preserve">OT Eng Lead</x:t>
  </x:si>
  <x:si>
    <x:t xml:space="preserve">ASCR-16 §4.2</x:t>
  </x:si>
  <x:si>
    <x:t xml:space="preserve">6a</x:t>
  </x:si>
  <x:si>
    <x:t xml:space="preserve">6b</x:t>
  </x:si>
  <x:si>
    <x:t xml:space="preserve">ASCR-10 §4</x:t>
  </x:si>
  <x:si>
    <x:t xml:space="preserve">6c</x:t>
  </x:si>
  <x:si>
    <x:t xml:space="preserve">Rollback capability verified via ASCR-10 shadow mode before production promotion</x:t>
  </x:si>
  <x:si>
    <x:t xml:space="preserve">6d</x:t>
  </x:si>
  <x:si>
    <x:t xml:space="preserve">Part 7: Latency Verification</x:t>
  </x:si>
  <x:si>
    <x:t xml:space="preserve">7</x:t>
  </x:si>
  <x:si>
    <x:t xml:space="preserve">7a</x:t>
  </x:si>
  <x:si>
    <x:t xml:space="preserve">7b</x:t>
  </x:si>
  <x:si>
    <x:t xml:space="preserve">7c</x:t>
  </x:si>
  <x:si>
    <x:t xml:space="preserve">7d</x:t>
  </x:si>
  <x:si>
    <x:t xml:space="preserve">11</x:t>
  </x:si>
  <x:si>
    <x:t xml:space="preserve">ASCR-16 §1.4</x:t>
  </x:si>
  <x:si>
    <x:t xml:space="preserve">11a</x:t>
  </x:si>
  <x:si>
    <x:t xml:space="preserve">12</x:t>
  </x:si>
  <x:si>
    <x:t xml:space="preserve">*(If IDE absent)* Edge nodes deployed in locked/monitored enclosures</x:t>
  </x:si>
  <x:si>
    <x:t xml:space="preserve">12a</x:t>
  </x:si>
  <x:si>
    <x:t xml:space="preserve">Physical-latching reset procedure documented in site FSM plan and ASCR-03 §6 Safe-State definitions</x:t>
  </x:si>
  <x:si>
    <x:t xml:space="preserve">13</x:t>
  </x:si>
  <x:si>
    <x:t xml:space="preserve">*(SIL-2+ environments only)* Hardware-level latching and zeroization triggers verified</x:t>
  </x:si>
  <x:si>
    <x:t xml:space="preserve">ASCR-16 §1.4.2</x:t>
  </x:si>
  <x:si>
    <x:t xml:space="preserve">13a</x:t>
  </x:si>
  <x:si>
    <x:t xml:space="preserve">*(SIL-2+ environments only)* Manual reset procedure integrated into ASCR-03 §6.3 Safe-State Exit Authorization checklist</x:t>
  </x:si>
  <x:si>
    <x:t xml:space="preserve">ASCR-03 §6.3</x:t>
  </x:si>
  <x:si>
    <x:t xml:space="preserve">10</x:t>
  </x:si>
  <x:si>
    <x:t xml:space="preserve">Security/IR Lead</x:t>
  </x:si>
  <x:si>
    <x:t xml:space="preserve">10a</x:t>
  </x:si>
  <x:si>
    <x:t xml:space="preserve">10b</x:t>
  </x:si>
  <x:si>
    <x:t xml:space="preserve">Deliberate artifact modification test: ARTIFACT_MODIFIED_IN_TRANSIT fired and artifact rejected</x:t>
  </x:si>
  <x:si>
    <x:t xml:space="preserve">10c</x:t>
  </x:si>
  <x:si>
    <x:t xml:space="preserve">Deliberate context payload modification test: CONTEXT_PAYLOAD_MODIFIED_IN_TRANSIT fired and payload rejected</x:t>
  </x:si>
  <x:si>
    <x:t xml:space="preserve">10d</x:t>
  </x:si>
  <x:si>
    <x:t xml:space="preserve">10e</x:t>
  </x:si>
  <x:si>
    <x:t xml:space="preserve">OT Engineering Lead</x:t>
  </x:si>
  <x:si>
    <x:t xml:space="preserve">AI/ML Engineering Lead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</x:si>
</x:sst>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0"/>
  </x:numFmts>
  <x:fonts count="50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3"/>
      <x:color rgb="FFFFFFFF"/>
      <x:name val="Arial"/>
    </x:font>
    <x:font>
      <x:b/>
      <x:sz val="10"/>
      <x:color rgb="FFFFFFFF"/>
      <x:name val="Arial"/>
    </x:font>
    <x:font>
      <x:sz val="9"/>
      <x:color theme="1"/>
      <x:name val="Arial"/>
    </x:font>
    <x:font>
      <x:b/>
      <x:sz val="14"/>
      <x:color rgb="FFFFFFFF"/>
      <x:name val="Arial"/>
    </x:font>
    <x:font>
      <x:sz val="9"/>
      <x:color rgb="FFFFFFFF"/>
      <x:name val="Arial"/>
    </x:font>
    <x:font>
      <x:i/>
      <x:sz val="9"/>
      <x:color rgb="FF444444"/>
      <x:name val="Arial"/>
    </x:font>
    <x:font>
      <x:b/>
      <x:sz val="9"/>
      <x:color rgb="FFFFFFFF"/>
      <x:name val="Arial"/>
    </x:font>
    <x:font>
      <x:b/>
      <x:sz val="10"/>
      <x:color rgb="FF0000FF"/>
      <x:name val="Arial"/>
    </x:font>
    <x:font>
      <x:b/>
      <x:sz val="9"/>
      <x:color theme="1"/>
      <x:name val="Arial"/>
    </x:font>
    <x:font>
      <x:sz val="8"/>
      <x:color theme="1"/>
      <x:name val="Arial"/>
    </x:font>
    <x:font>
      <x:sz val="8"/>
      <x:color rgb="FF555555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sz val="11"/>
      <x:color theme="1"/>
      <x:name val="Arial"/>
    </x:font>
    <x:font>
      <x:b/>
      <x:sz val="11"/>
      <x:color theme="1"/>
      <x:name val="Arial"/>
    </x:font>
    <x:font>
      <x:sz val="9"/>
      <x:color rgb="FF0000FF"/>
      <x:name val="Arial"/>
    </x:font>
    <x:font>
      <x:i/>
      <x:sz val="8"/>
      <x:color rgb="FF7E4901"/>
      <x:name val="Arial"/>
    </x:font>
    <x:font>
      <x:i/>
      <x:sz val="8"/>
      <x:color theme="1"/>
      <x:name val="Arial"/>
    </x:font>
    <x:font>
      <x:b/>
      <x:sz val="12"/>
      <x:color rgb="FFFFFFFF"/>
      <x:name val="Arial"/>
    </x:font>
    <x:font>
      <x:sz val="9"/>
      <x:name val="Arial"/>
    </x:font>
    <x:font>
      <x:i/>
      <x:sz val="9"/>
      <x:name val="Arial"/>
    </x:font>
    <x:font>
      <x:sz val="11"/>
      <x:color rgb="FF0000FF"/>
      <x:name val="Arial"/>
    </x:font>
    <x:font>
      <x:sz val="11"/>
      <x:color rgb="FF0000FF"/>
      <x:name val="Calibri"/>
    </x:font>
    <x:font>
      <x:b/>
      <x:sz val="14"/>
      <x:color theme="1"/>
      <x:name val="Calibri"/>
    </x:font>
    <x:font>
      <x:b/>
      <x:sz val="11"/>
      <x:color theme="1"/>
      <x:name val="Calibri"/>
    </x:font>
    <x:font>
      <x:b/>
      <x:sz val="8"/>
      <x:color rgb="FFFFFFFF"/>
      <x:name val="Arial"/>
    </x:font>
    <x:font>
      <x:b/>
      <x:sz val="11"/>
      <x:color rgb="FFFFFFFF"/>
      <x:name val="Calibri"/>
    </x:font>
    <x:font>
      <x:b/>
      <x:sz val="11"/>
      <x:color rgb="FFFFFFFF"/>
      <x:name val="Arial"/>
    </x:font>
    <x:font>
      <x:sz val="11"/>
      <x:color rgb="FF000000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1"/>
      <x:color rgb="FF000000"/>
      <x:name val="Arial"/>
    </x:font>
    <x:font>
      <x:sz val="9"/>
      <x:color rgb="FF000000"/>
      <x:name val="Arial"/>
    </x:font>
    <x:font>
      <x:b/>
      <x:sz val="16"/>
      <x:color rgb="FFFFFFFF"/>
      <x:name val="Calibri"/>
    </x:font>
    <x:font>
      <x:b/>
      <x:sz val="9"/>
      <x:color rgb="FF000000"/>
      <x:name val="Arial"/>
    </x:font>
    <x:font>
      <x:i/>
      <x:sz val="9"/>
      <x:color rgb="FF000000"/>
      <x:name val="Arial"/>
    </x:font>
    <x:font>
      <x:sz val="10"/>
      <x:color rgb="FF000000"/>
      <x:name val="Calibri"/>
    </x:font>
    <x:font>
      <x:b/>
      <x:sz val="15"/>
      <x:color rgb="FFFFFFFF"/>
      <x:name val="Calibri"/>
    </x:font>
    <x:font>
      <x:sz val="10"/>
      <x:color rgb="FFFFFFFF"/>
      <x:name val="Calibri"/>
    </x:font>
    <x:font>
      <x:i/>
      <x:sz val="9"/>
      <x:color rgb="FF666666"/>
      <x:name val="Calibri"/>
    </x:font>
    <x:font>
      <x:b/>
      <x:sz val="10"/>
      <x:color rgb="FFFFFFFF"/>
      <x:name val="Calibri"/>
    </x:font>
    <x:font>
      <x:b/>
      <x:sz val="10"/>
      <x:color rgb="FF000000"/>
      <x:name val="Calibri"/>
    </x:font>
    <x:font>
      <x:sz val="10"/>
      <x:color rgb="FF0000FF"/>
      <x:name val="Calibri"/>
    </x:font>
    <x:font>
      <x:b/>
      <x:sz val="10"/>
      <x:color rgb="FF9C2B0E"/>
      <x:name val="Calibri"/>
    </x:font>
    <x:font>
      <x:b/>
      <x:sz val="10"/>
      <x:color rgb="FF0000FF"/>
      <x:name val="Calibri"/>
    </x:font>
    <x:font>
      <x:b/>
      <x:sz val="14"/>
      <x:color rgb="FFFFFFFF"/>
      <x:name val="Calibri"/>
    </x:font>
  </x:fonts>
  <x:fills count="4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E6096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D6E4F0"/>
      </x:patternFill>
    </x:fill>
    <x:fill>
      <x:patternFill patternType="solid">
        <x:fgColor rgb="FFD9EAD3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203864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1F3864"/>
      </x:patternFill>
    </x:fill>
    <x:fill>
      <x:patternFill patternType="solid">
        <x:fgColor rgb="FFD9E2F3"/>
      </x:patternFill>
    </x:fill>
    <x:fill>
      <x:patternFill patternType="solid">
        <x:fgColor rgb="FFD9E2F3"/>
      </x:patternFill>
    </x:fill>
    <x:fill>
      <x:patternFill patternType="solid">
        <x:fgColor rgb="FF1F3864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1F3864"/>
      </x:patternFill>
    </x:fill>
    <x:fill>
      <x:patternFill patternType="solid">
        <x:fgColor rgb="FFFFFFFF"/>
      </x:patternFill>
    </x:fill>
    <x:fill>
      <x:patternFill patternType="solid">
        <x:fgColor rgb="FF1F3864"/>
      </x:patternFill>
    </x:fill>
    <x:fill>
      <x:patternFill patternType="solid">
        <x:fgColor rgb="FFFFFFFF"/>
      </x:patternFill>
    </x:fill>
    <x:fill>
      <x:patternFill patternType="solid">
        <x:fgColor rgb="FF1F3864"/>
      </x:patternFill>
    </x:fill>
    <x:fill>
      <x:patternFill patternType="solid">
        <x:fgColor rgb="FF1F3864"/>
      </x:patternFill>
    </x:fill>
    <x:fill>
      <x:patternFill patternType="solid">
        <x:fgColor rgb="FF366092"/>
      </x:patternFill>
    </x:fill>
    <x:fill>
      <x:patternFill patternType="solid">
        <x:fgColor rgb="FFFFF2CC"/>
      </x:patternFill>
    </x:fill>
    <x:fill>
      <x:patternFill patternType="solid">
        <x:fgColor rgb="FFD9E2F3"/>
      </x:patternFill>
    </x:fill>
    <x:fill>
      <x:patternFill patternType="solid">
        <x:fgColor rgb="FFFFFFFF"/>
      </x:patternFill>
    </x:fill>
    <x:fill>
      <x:patternFill patternType="solid">
        <x:fgColor rgb="FFE2EFDA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D9E2F3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6">
    <x:border diagonalUp="0" diagonalDown="0"/>
    <x:border diagonalUp="0" diagonalDown="0">
      <x:left style="thin">
        <x:color rgb="FFBDC3C7"/>
      </x:left>
      <x:right style="thin">
        <x:color rgb="FFBDC3C7"/>
      </x:right>
      <x:top style="thin">
        <x:color rgb="FFBDC3C7"/>
      </x:top>
      <x:bottom style="thin">
        <x:color rgb="FFBDC3C7"/>
      </x:bottom>
    </x:border>
    <x:border diagonalUp="0" diagonalDown="0"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 diagonalUp="0" diagonalDown="0"/>
    <x:border diagonalUp="0" diagonalDown="0">
      <x:left style="thin">
        <x:color rgb="FFBDC3C7"/>
      </x:left>
      <x:right style="thin">
        <x:color rgb="FFBDC3C7"/>
      </x:right>
      <x:top style="thin">
        <x:color rgb="FFBDC3C7"/>
      </x:top>
      <x:bottom style="thin">
        <x:color rgb="FFBDC3C7"/>
      </x:bottom>
    </x:border>
    <x:border diagonalUp="0" diagonalDown="0"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447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0" applyAlignment="1">
      <x:alignment horizontal="general" vertical="bottom" wrapText="0"/>
    </x:xf>
    <x:xf numFmtId="164" fontId="5" fillId="3" borderId="1" xfId="0" applyFont="1" applyBorder="1" applyAlignment="1">
      <x:alignment horizontal="left" vertical="center" wrapText="0"/>
    </x:xf>
    <x:xf numFmtId="164" fontId="6" fillId="4" borderId="1" xfId="0" applyFont="1" applyBorder="1" applyAlignment="1">
      <x:alignment horizontal="left" vertical="center" wrapText="1"/>
    </x:xf>
    <x:xf numFmtId="164" fontId="7" fillId="2" borderId="0" xfId="0" applyFont="1" applyBorder="1" applyAlignment="1">
      <x:alignment horizontal="center" vertical="center" wrapText="1"/>
    </x:xf>
    <x:xf numFmtId="164" fontId="8" fillId="3" borderId="0" xfId="0" applyFont="1" applyBorder="1" applyAlignment="1">
      <x:alignment horizontal="center" vertical="center" wrapText="1"/>
    </x:xf>
    <x:xf numFmtId="164" fontId="9" fillId="4" borderId="0" xfId="0" applyFont="1" applyBorder="1" applyAlignment="1">
      <x:alignment horizontal="left" vertical="center" wrapText="0"/>
    </x:xf>
    <x:xf numFmtId="164" fontId="5" fillId="3" borderId="0" xfId="0" applyFont="1" applyBorder="1" applyAlignment="1">
      <x:alignment horizontal="left" vertical="center" wrapText="0"/>
    </x:xf>
    <x:xf numFmtId="164" fontId="10" fillId="2" borderId="1" xfId="0" applyFont="1" applyBorder="1" applyAlignment="1">
      <x:alignment horizontal="center" vertical="center" wrapText="1"/>
    </x:xf>
    <x:xf numFmtId="164" fontId="6" fillId="5" borderId="1" xfId="0" applyFont="1" applyBorder="1" applyAlignment="1">
      <x:alignment horizontal="left" vertical="center" wrapText="1"/>
    </x:xf>
    <x:xf numFmtId="165" fontId="11" fillId="6" borderId="1" xfId="0" applyFont="1" applyBorder="1" applyAlignment="1">
      <x:alignment horizontal="center" vertical="center" wrapText="1"/>
    </x:xf>
    <x:xf numFmtId="165" fontId="6" fillId="5" borderId="1" xfId="0" applyFont="1" applyBorder="1" applyAlignment="1">
      <x:alignment horizontal="center" vertical="center" wrapText="1"/>
    </x:xf>
    <x:xf numFmtId="164" fontId="12" fillId="0" borderId="1" xfId="0" applyFont="1" applyBorder="1" applyAlignment="1">
      <x:alignment horizontal="center" vertical="center" wrapText="1"/>
    </x:xf>
    <x:xf numFmtId="164" fontId="13" fillId="5" borderId="1" xfId="0" applyFont="1" applyBorder="1" applyAlignment="1">
      <x:alignment horizontal="center" vertical="center" wrapText="1"/>
    </x:xf>
    <x:xf numFmtId="164" fontId="14" fillId="5" borderId="1" xfId="0" applyFont="1" applyBorder="1" applyAlignment="1">
      <x:alignment horizontal="left" vertical="center" wrapText="1"/>
    </x:xf>
    <x:xf numFmtId="164" fontId="6" fillId="7" borderId="1" xfId="0" applyFont="1" applyBorder="1" applyAlignment="1">
      <x:alignment horizontal="left" vertical="center" wrapText="1"/>
    </x:xf>
    <x:xf numFmtId="165" fontId="6" fillId="7" borderId="1" xfId="0" applyFont="1" applyBorder="1" applyAlignment="1">
      <x:alignment horizontal="center" vertical="center" wrapText="1"/>
    </x:xf>
    <x:xf numFmtId="164" fontId="13" fillId="7" borderId="1" xfId="0" applyFont="1" applyBorder="1" applyAlignment="1">
      <x:alignment horizontal="center" vertical="center" wrapText="1"/>
    </x:xf>
    <x:xf numFmtId="164" fontId="14" fillId="7" borderId="1" xfId="0" applyFont="1" applyBorder="1" applyAlignment="1">
      <x:alignment horizontal="left" vertical="center" wrapText="1"/>
    </x:xf>
    <x:xf numFmtId="164" fontId="12" fillId="5" borderId="1" xfId="0" applyFont="1" applyBorder="1" applyAlignment="1">
      <x:alignment horizontal="general" vertical="bottom" wrapText="0"/>
    </x:xf>
    <x:xf numFmtId="165" fontId="15" fillId="6" borderId="1" xfId="0" applyFont="1" applyBorder="1" applyAlignment="1">
      <x:alignment horizontal="center" vertical="center" wrapText="1"/>
    </x:xf>
    <x:xf numFmtId="164" fontId="6" fillId="5" borderId="1" xfId="0" applyFont="1" applyBorder="1" applyAlignment="1">
      <x:alignment horizontal="center" vertical="center" wrapText="1"/>
    </x:xf>
    <x:xf numFmtId="164" fontId="0" fillId="5" borderId="1" xfId="0" applyFont="0" applyBorder="1" applyAlignment="1">
      <x:alignment horizontal="general" vertical="bottom" wrapText="0"/>
    </x:xf>
    <x:xf numFmtId="164" fontId="6" fillId="8" borderId="1" xfId="0" applyFont="1" applyBorder="1" applyAlignment="1">
      <x:alignment horizontal="left" vertical="center" wrapText="1"/>
    </x:xf>
    <x:xf numFmtId="165" fontId="6" fillId="8" borderId="1" xfId="0" applyFont="1" applyBorder="1" applyAlignment="1">
      <x:alignment horizontal="center" vertical="center" wrapText="1"/>
    </x:xf>
    <x:xf numFmtId="164" fontId="13" fillId="8" borderId="1" xfId="0" applyFont="1" applyBorder="1" applyAlignment="1">
      <x:alignment horizontal="center" vertical="center" wrapText="1"/>
    </x:xf>
    <x:xf numFmtId="164" fontId="14" fillId="8" borderId="1" xfId="0" applyFont="1" applyBorder="1" applyAlignment="1">
      <x:alignment horizontal="left" vertical="center" wrapText="1"/>
    </x:xf>
    <x:xf numFmtId="164" fontId="16" fillId="5" borderId="1" xfId="0" applyFont="1" applyBorder="1" applyAlignment="1">
      <x:alignment horizontal="left" vertical="center" wrapText="0"/>
    </x:xf>
    <x:xf numFmtId="165" fontId="17" fillId="5" borderId="1" xfId="0" applyFont="1" applyBorder="1" applyAlignment="1">
      <x:alignment horizontal="center" vertical="center" wrapText="1"/>
    </x:xf>
    <x:xf numFmtId="164" fontId="6" fillId="5" borderId="1" xfId="0" applyFont="1" applyBorder="1" applyAlignment="1">
      <x:alignment horizontal="left" vertical="center" wrapText="0"/>
    </x:xf>
    <x:xf numFmtId="164" fontId="15" fillId="5" borderId="1" xfId="0" applyFont="1" applyBorder="1" applyAlignment="1">
      <x:alignment horizontal="left" vertical="center" wrapText="0"/>
    </x:xf>
    <x:xf numFmtId="165" fontId="18" fillId="6" borderId="1" xfId="0" applyFont="1" applyBorder="1" applyAlignment="1">
      <x:alignment horizontal="center" vertical="center" wrapText="1"/>
    </x:xf>
    <x:xf numFmtId="164" fontId="0" fillId="0" borderId="1" xfId="0" applyFont="0" applyBorder="1" applyAlignment="1">
      <x:alignment horizontal="general" vertical="bottom" wrapText="0"/>
    </x:xf>
    <x:xf numFmtId="164" fontId="15" fillId="0" borderId="1" xfId="0" applyFont="1" applyBorder="1" applyAlignment="1">
      <x:alignment horizontal="left" vertical="center" wrapText="0"/>
    </x:xf>
    <x:xf numFmtId="164" fontId="12" fillId="7" borderId="1" xfId="0" applyFont="1" applyBorder="1" applyAlignment="1">
      <x:alignment horizontal="left" vertical="center" wrapText="0"/>
    </x:xf>
    <x:xf numFmtId="164" fontId="19" fillId="6" borderId="1" xfId="0" applyFont="1" applyBorder="1" applyAlignment="1">
      <x:alignment horizontal="center" vertical="center" wrapText="1"/>
    </x:xf>
    <x:xf numFmtId="164" fontId="6" fillId="7" borderId="1" xfId="0" applyFont="1" applyBorder="1" applyAlignment="1">
      <x:alignment horizontal="left" vertical="center" wrapText="0"/>
    </x:xf>
    <x:xf numFmtId="164" fontId="20" fillId="9" borderId="1" xfId="0" applyFont="1" applyBorder="1" applyAlignment="1">
      <x:alignment horizontal="left" vertical="center" wrapText="1"/>
    </x:xf>
    <x:xf numFmtId="164" fontId="6" fillId="4" borderId="1" xfId="0" applyFont="1" applyBorder="1" applyAlignment="1">
      <x:alignment horizontal="left" vertical="center" wrapText="0"/>
    </x:xf>
    <x:xf numFmtId="164" fontId="21" fillId="4" borderId="1" xfId="0" applyFont="1" applyBorder="1" applyAlignment="1">
      <x:alignment horizontal="left" vertical="center" wrapText="1"/>
    </x:xf>
    <x:xf numFmtId="164" fontId="12" fillId="4" borderId="1" xfId="0" applyFont="1" applyBorder="1" applyAlignment="1">
      <x:alignment horizontal="left" vertical="center" wrapText="0"/>
    </x:xf>
    <x:xf numFmtId="164" fontId="22" fillId="2" borderId="0" xfId="0" applyFont="1" applyBorder="1" applyAlignment="1">
      <x:alignment horizontal="center" vertical="center" wrapText="1"/>
    </x:xf>
    <x:xf numFmtId="164" fontId="21" fillId="4" borderId="0" xfId="0" applyFont="1" applyBorder="1" applyAlignment="1">
      <x:alignment horizontal="left" vertical="center" wrapText="0"/>
    </x:xf>
    <x:xf numFmtId="164" fontId="6" fillId="7" borderId="1" xfId="0" applyFont="1" applyBorder="1" applyAlignment="1">
      <x:alignment horizontal="center" vertical="center" wrapText="1"/>
    </x:xf>
    <x:xf numFmtId="164" fontId="6" fillId="6" borderId="1" xfId="0" applyFont="1" applyBorder="1" applyAlignment="1">
      <x:alignment horizontal="left" vertical="center" wrapText="1"/>
    </x:xf>
    <x:xf numFmtId="164" fontId="6" fillId="6" borderId="1" xfId="0" applyFont="1" applyBorder="1" applyAlignment="1">
      <x:alignment horizontal="center" vertical="center" wrapText="1"/>
    </x:xf>
    <x:xf numFmtId="164" fontId="8" fillId="3" borderId="0" xfId="0" applyFont="1" applyBorder="0" applyAlignment="1">
      <x:alignment horizontal="general" vertical="bottom" wrapText="0"/>
    </x:xf>
    <x:xf numFmtId="164" fontId="5" fillId="3" borderId="0" xfId="0" applyFont="1" applyBorder="0" applyAlignment="1">
      <x:alignment horizontal="general" vertical="bottom" wrapText="0"/>
    </x:xf>
    <x:xf numFmtId="164" fontId="23" fillId="4" borderId="0" xfId="0" applyFont="1" applyBorder="0" applyAlignment="1">
      <x:alignment horizontal="general" vertical="top" wrapText="1"/>
    </x:xf>
    <x:xf numFmtId="164" fontId="4" fillId="2" borderId="0" xfId="0" applyFont="1" applyBorder="1" applyAlignment="1">
      <x:alignment horizontal="general" vertical="bottom" wrapText="0"/>
    </x:xf>
    <x:xf numFmtId="164" fontId="8" fillId="3" borderId="0" xfId="0" applyFont="1" applyBorder="1" applyAlignment="1">
      <x:alignment horizontal="general" vertical="bottom" wrapText="0"/>
    </x:xf>
    <x:xf numFmtId="164" fontId="5" fillId="3" borderId="0" xfId="0" applyFont="1" applyBorder="1" applyAlignment="1">
      <x:alignment horizontal="general" vertical="bottom" wrapText="0"/>
    </x:xf>
    <x:xf numFmtId="164" fontId="10" fillId="2" borderId="2" xfId="0" applyFont="1" applyBorder="1" applyAlignment="1">
      <x:alignment horizontal="center" vertical="center" wrapText="1"/>
    </x:xf>
    <x:xf numFmtId="164" fontId="23" fillId="6" borderId="2" xfId="0" applyFont="1" applyBorder="1" applyAlignment="1">
      <x:alignment horizontal="general" vertical="top" wrapText="1"/>
    </x:xf>
    <x:xf numFmtId="164" fontId="23" fillId="4" borderId="2" xfId="0" applyFont="1" applyBorder="1" applyAlignment="1">
      <x:alignment horizontal="general" vertical="top" wrapText="1"/>
    </x:xf>
    <x:xf numFmtId="164" fontId="24" fillId="5" borderId="0" xfId="0" applyFont="1" applyBorder="1" applyAlignment="1">
      <x:alignment horizontal="general" vertical="top" wrapText="1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4" fillId="2" borderId="3" xfId="0" applyNumberFormat="1" applyFont="1" applyFill="1" applyBorder="1" applyAlignment="1">
      <x:alignment horizontal="general" vertical="bottom" wrapText="0"/>
    </x:xf>
    <x:xf numFmtId="164" fontId="5" fillId="3" borderId="4" xfId="0" applyNumberFormat="1" applyFont="1" applyFill="1" applyBorder="1" applyAlignment="1">
      <x:alignment horizontal="left" vertical="center" wrapText="0"/>
    </x:xf>
    <x:xf numFmtId="164" fontId="6" fillId="4" borderId="4" xfId="0" applyNumberFormat="1" applyFont="1" applyFill="1" applyBorder="1" applyAlignment="1">
      <x:alignment horizontal="left" vertical="center" wrapText="1"/>
    </x:xf>
    <x:xf numFmtId="164" fontId="7" fillId="2" borderId="3" xfId="0" applyNumberFormat="1" applyFont="1" applyFill="1" applyBorder="1" applyAlignment="1">
      <x:alignment horizontal="center" vertical="center" wrapText="1"/>
    </x:xf>
    <x:xf numFmtId="164" fontId="8" fillId="3" borderId="3" xfId="0" applyNumberFormat="1" applyFont="1" applyFill="1" applyBorder="1" applyAlignment="1">
      <x:alignment horizontal="center" vertical="center" wrapText="1"/>
    </x:xf>
    <x:xf numFmtId="164" fontId="9" fillId="4" borderId="3" xfId="0" applyNumberFormat="1" applyFont="1" applyFill="1" applyBorder="1" applyAlignment="1">
      <x:alignment horizontal="left" vertical="center" wrapText="0"/>
    </x:xf>
    <x:xf numFmtId="164" fontId="5" fillId="3" borderId="3" xfId="0" applyNumberFormat="1" applyFont="1" applyFill="1" applyBorder="1" applyAlignment="1">
      <x:alignment horizontal="left" vertical="center" wrapText="0"/>
    </x:xf>
    <x:xf numFmtId="164" fontId="10" fillId="2" borderId="4" xfId="0" applyNumberFormat="1" applyFont="1" applyFill="1" applyBorder="1" applyAlignment="1">
      <x:alignment horizontal="center" vertical="center" wrapText="1"/>
    </x:xf>
    <x:xf numFmtId="164" fontId="6" fillId="5" borderId="4" xfId="0" applyNumberFormat="1" applyFont="1" applyFill="1" applyBorder="1" applyAlignment="1">
      <x:alignment horizontal="left" vertical="center" wrapText="1"/>
    </x:xf>
    <x:xf numFmtId="165" fontId="11" fillId="6" borderId="4" xfId="0" applyNumberFormat="1" applyFont="1" applyFill="1" applyBorder="1" applyAlignment="1">
      <x:alignment horizontal="center" vertical="center" wrapText="1"/>
    </x:xf>
    <x:xf numFmtId="165" fontId="6" fillId="5" borderId="4" xfId="0" applyNumberFormat="1" applyFont="1" applyFill="1" applyBorder="1" applyAlignment="1">
      <x:alignment horizontal="center" vertical="center" wrapText="1"/>
    </x:xf>
    <x:xf numFmtId="164" fontId="12" fillId="0" borderId="4" xfId="0" applyNumberFormat="1" applyFont="1" applyFill="1" applyBorder="1" applyAlignment="1">
      <x:alignment horizontal="center" vertical="center" wrapText="1"/>
    </x:xf>
    <x:xf numFmtId="164" fontId="13" fillId="5" borderId="4" xfId="0" applyNumberFormat="1" applyFont="1" applyFill="1" applyBorder="1" applyAlignment="1">
      <x:alignment horizontal="center" vertical="center" wrapText="1"/>
    </x:xf>
    <x:xf numFmtId="164" fontId="14" fillId="5" borderId="4" xfId="0" applyNumberFormat="1" applyFont="1" applyFill="1" applyBorder="1" applyAlignment="1">
      <x:alignment horizontal="left" vertical="center" wrapText="1"/>
    </x:xf>
    <x:xf numFmtId="164" fontId="6" fillId="7" borderId="4" xfId="0" applyNumberFormat="1" applyFont="1" applyFill="1" applyBorder="1" applyAlignment="1">
      <x:alignment horizontal="left" vertical="center" wrapText="1"/>
    </x:xf>
    <x:xf numFmtId="165" fontId="6" fillId="7" borderId="4" xfId="0" applyNumberFormat="1" applyFont="1" applyFill="1" applyBorder="1" applyAlignment="1">
      <x:alignment horizontal="center" vertical="center" wrapText="1"/>
    </x:xf>
    <x:xf numFmtId="164" fontId="13" fillId="7" borderId="4" xfId="0" applyNumberFormat="1" applyFont="1" applyFill="1" applyBorder="1" applyAlignment="1">
      <x:alignment horizontal="center" vertical="center" wrapText="1"/>
    </x:xf>
    <x:xf numFmtId="164" fontId="14" fillId="7" borderId="4" xfId="0" applyNumberFormat="1" applyFont="1" applyFill="1" applyBorder="1" applyAlignment="1">
      <x:alignment horizontal="left" vertical="center" wrapText="1"/>
    </x:xf>
    <x:xf numFmtId="164" fontId="12" fillId="5" borderId="4" xfId="0" applyNumberFormat="1" applyFont="1" applyFill="1" applyBorder="1" applyAlignment="1">
      <x:alignment horizontal="general" vertical="bottom" wrapText="0"/>
    </x:xf>
    <x:xf numFmtId="165" fontId="15" fillId="6" borderId="4" xfId="0" applyNumberFormat="1" applyFont="1" applyFill="1" applyBorder="1" applyAlignment="1">
      <x:alignment horizontal="center" vertical="center" wrapText="1"/>
    </x:xf>
    <x:xf numFmtId="164" fontId="6" fillId="5" borderId="4" xfId="0" applyNumberFormat="1" applyFont="1" applyFill="1" applyBorder="1" applyAlignment="1">
      <x:alignment horizontal="center" vertical="center" wrapText="1"/>
    </x:xf>
    <x:xf numFmtId="164" fontId="0" fillId="5" borderId="4" xfId="0" applyNumberFormat="1" applyFont="1" applyFill="1" applyBorder="1" applyAlignment="1">
      <x:alignment horizontal="general" vertical="bottom" wrapText="0"/>
    </x:xf>
    <x:xf numFmtId="164" fontId="6" fillId="8" borderId="4" xfId="0" applyNumberFormat="1" applyFont="1" applyFill="1" applyBorder="1" applyAlignment="1">
      <x:alignment horizontal="left" vertical="center" wrapText="1"/>
    </x:xf>
    <x:xf numFmtId="165" fontId="6" fillId="8" borderId="4" xfId="0" applyNumberFormat="1" applyFont="1" applyFill="1" applyBorder="1" applyAlignment="1">
      <x:alignment horizontal="center" vertical="center" wrapText="1"/>
    </x:xf>
    <x:xf numFmtId="164" fontId="13" fillId="8" borderId="4" xfId="0" applyNumberFormat="1" applyFont="1" applyFill="1" applyBorder="1" applyAlignment="1">
      <x:alignment horizontal="center" vertical="center" wrapText="1"/>
    </x:xf>
    <x:xf numFmtId="164" fontId="14" fillId="8" borderId="4" xfId="0" applyNumberFormat="1" applyFont="1" applyFill="1" applyBorder="1" applyAlignment="1">
      <x:alignment horizontal="left" vertical="center" wrapText="1"/>
    </x:xf>
    <x:xf numFmtId="164" fontId="16" fillId="5" borderId="4" xfId="0" applyNumberFormat="1" applyFont="1" applyFill="1" applyBorder="1" applyAlignment="1">
      <x:alignment horizontal="left" vertical="center" wrapText="0"/>
    </x:xf>
    <x:xf numFmtId="165" fontId="17" fillId="5" borderId="4" xfId="0" applyNumberFormat="1" applyFont="1" applyFill="1" applyBorder="1" applyAlignment="1">
      <x:alignment horizontal="center" vertical="center" wrapText="1"/>
    </x:xf>
    <x:xf numFmtId="164" fontId="6" fillId="5" borderId="4" xfId="0" applyNumberFormat="1" applyFont="1" applyFill="1" applyBorder="1" applyAlignment="1">
      <x:alignment horizontal="left" vertical="center" wrapText="0"/>
    </x:xf>
    <x:xf numFmtId="164" fontId="15" fillId="5" borderId="4" xfId="0" applyNumberFormat="1" applyFont="1" applyFill="1" applyBorder="1" applyAlignment="1">
      <x:alignment horizontal="left" vertical="center" wrapText="0"/>
    </x:xf>
    <x:xf numFmtId="165" fontId="18" fillId="6" borderId="4" xfId="0" applyNumberFormat="1" applyFont="1" applyFill="1" applyBorder="1" applyAlignment="1">
      <x:alignment horizontal="center" vertical="center" wrapText="1"/>
    </x:xf>
    <x:xf numFmtId="164" fontId="0" fillId="0" borderId="4" xfId="0" applyNumberFormat="1" applyFont="1" applyFill="1" applyBorder="1" applyAlignment="1">
      <x:alignment horizontal="general" vertical="bottom" wrapText="0"/>
    </x:xf>
    <x:xf numFmtId="164" fontId="15" fillId="0" borderId="4" xfId="0" applyNumberFormat="1" applyFont="1" applyFill="1" applyBorder="1" applyAlignment="1">
      <x:alignment horizontal="left" vertical="center" wrapText="0"/>
    </x:xf>
    <x:xf numFmtId="164" fontId="12" fillId="7" borderId="4" xfId="0" applyNumberFormat="1" applyFont="1" applyFill="1" applyBorder="1" applyAlignment="1">
      <x:alignment horizontal="left" vertical="center" wrapText="0"/>
    </x:xf>
    <x:xf numFmtId="164" fontId="19" fillId="6" borderId="4" xfId="0" applyNumberFormat="1" applyFont="1" applyFill="1" applyBorder="1" applyAlignment="1">
      <x:alignment horizontal="center" vertical="center" wrapText="1"/>
    </x:xf>
    <x:xf numFmtId="164" fontId="6" fillId="7" borderId="4" xfId="0" applyNumberFormat="1" applyFont="1" applyFill="1" applyBorder="1" applyAlignment="1">
      <x:alignment horizontal="left" vertical="center" wrapText="0"/>
    </x:xf>
    <x:xf numFmtId="164" fontId="20" fillId="9" borderId="4" xfId="0" applyNumberFormat="1" applyFont="1" applyFill="1" applyBorder="1" applyAlignment="1">
      <x:alignment horizontal="left" vertical="center" wrapText="1"/>
    </x:xf>
    <x:xf numFmtId="164" fontId="6" fillId="4" borderId="4" xfId="0" applyNumberFormat="1" applyFont="1" applyFill="1" applyBorder="1" applyAlignment="1">
      <x:alignment horizontal="left" vertical="center" wrapText="0"/>
    </x:xf>
    <x:xf numFmtId="164" fontId="21" fillId="4" borderId="4" xfId="0" applyNumberFormat="1" applyFont="1" applyFill="1" applyBorder="1" applyAlignment="1">
      <x:alignment horizontal="left" vertical="center" wrapText="1"/>
    </x:xf>
    <x:xf numFmtId="164" fontId="12" fillId="4" borderId="4" xfId="0" applyNumberFormat="1" applyFont="1" applyFill="1" applyBorder="1" applyAlignment="1">
      <x:alignment horizontal="left" vertical="center" wrapText="0"/>
    </x:xf>
    <x:xf numFmtId="164" fontId="22" fillId="2" borderId="3" xfId="0" applyNumberFormat="1" applyFont="1" applyFill="1" applyBorder="1" applyAlignment="1">
      <x:alignment horizontal="center" vertical="center" wrapText="1"/>
    </x:xf>
    <x:xf numFmtId="164" fontId="21" fillId="4" borderId="3" xfId="0" applyNumberFormat="1" applyFont="1" applyFill="1" applyBorder="1" applyAlignment="1">
      <x:alignment horizontal="left" vertical="center" wrapText="0"/>
    </x:xf>
    <x:xf numFmtId="164" fontId="6" fillId="7" borderId="4" xfId="0" applyNumberFormat="1" applyFont="1" applyFill="1" applyBorder="1" applyAlignment="1">
      <x:alignment horizontal="center" vertical="center" wrapText="1"/>
    </x:xf>
    <x:xf numFmtId="164" fontId="6" fillId="6" borderId="4" xfId="0" applyNumberFormat="1" applyFont="1" applyFill="1" applyBorder="1" applyAlignment="1">
      <x:alignment horizontal="left" vertical="center" wrapText="1"/>
    </x:xf>
    <x:xf numFmtId="164" fontId="6" fillId="6" borderId="4" xfId="0" applyNumberFormat="1" applyFont="1" applyFill="1" applyBorder="1" applyAlignment="1">
      <x:alignment horizontal="center" vertical="center" wrapText="1"/>
    </x:xf>
    <x:xf numFmtId="164" fontId="8" fillId="3" borderId="3" xfId="0" applyNumberFormat="1" applyFont="1" applyFill="1" applyBorder="1" applyAlignment="1">
      <x:alignment horizontal="general" vertical="bottom" wrapText="0"/>
    </x:xf>
    <x:xf numFmtId="164" fontId="5" fillId="3" borderId="3" xfId="0" applyNumberFormat="1" applyFont="1" applyFill="1" applyBorder="1" applyAlignment="1">
      <x:alignment horizontal="general" vertical="bottom" wrapText="0"/>
    </x:xf>
    <x:xf numFmtId="164" fontId="23" fillId="4" borderId="3" xfId="0" applyNumberFormat="1" applyFont="1" applyFill="1" applyBorder="1" applyAlignment="1">
      <x:alignment horizontal="general" vertical="top" wrapText="1"/>
    </x:xf>
    <x:xf numFmtId="164" fontId="10" fillId="2" borderId="5" xfId="0" applyNumberFormat="1" applyFont="1" applyFill="1" applyBorder="1" applyAlignment="1">
      <x:alignment horizontal="center" vertical="center" wrapText="1"/>
    </x:xf>
    <x:xf numFmtId="164" fontId="23" fillId="6" borderId="5" xfId="0" applyNumberFormat="1" applyFont="1" applyFill="1" applyBorder="1" applyAlignment="1">
      <x:alignment horizontal="general" vertical="top" wrapText="1"/>
    </x:xf>
    <x:xf numFmtId="164" fontId="23" fillId="4" borderId="5" xfId="0" applyNumberFormat="1" applyFont="1" applyFill="1" applyBorder="1" applyAlignment="1">
      <x:alignment horizontal="general" vertical="top" wrapText="1"/>
    </x:xf>
    <x:xf numFmtId="164" fontId="24" fillId="5" borderId="3" xfId="0" applyNumberFormat="1" applyFont="1" applyFill="1" applyBorder="1" applyAlignment="1">
      <x:alignment horizontal="general" vertical="top" wrapText="1"/>
    </x:xf>
    <x:xf numFmtId="165" fontId="11" fillId="6" borderId="1" xfId="0" applyNumberFormat="1" applyFont="1" applyFill="1" applyBorder="1" applyAlignment="1">
      <x:alignment horizontal="center" vertical="center" wrapText="1"/>
    </x:xf>
    <x:xf numFmtId="165" fontId="19" fillId="8" borderId="1" xfId="0" applyNumberFormat="1" applyFont="1" applyFill="1" applyBorder="1" applyAlignment="1">
      <x:alignment horizontal="center" vertical="center" wrapText="1"/>
    </x:xf>
    <x:xf numFmtId="165" fontId="19" fillId="8" borderId="4" xfId="0" applyNumberFormat="1" applyFont="1" applyFill="1" applyBorder="1" applyAlignment="1">
      <x:alignment horizontal="center" vertical="center" wrapText="1"/>
    </x:xf>
    <x:xf numFmtId="164" fontId="11" fillId="3" borderId="0" xfId="0" applyNumberFormat="1" applyFont="1" applyFill="1" applyBorder="1" applyAlignment="1">
      <x:alignment horizontal="left" vertical="center" wrapText="0"/>
    </x:xf>
    <x:xf numFmtId="165" fontId="25" fillId="5" borderId="1" xfId="0" applyNumberFormat="1" applyFont="1" applyFill="1" applyBorder="1" applyAlignment="1">
      <x:alignment horizontal="center" vertical="center" wrapText="1"/>
    </x:xf>
    <x:xf numFmtId="164" fontId="19" fillId="5" borderId="1" xfId="0" applyNumberFormat="1" applyFont="1" applyFill="1" applyBorder="1" applyAlignment="1">
      <x:alignment horizontal="left" vertical="center" wrapText="0"/>
    </x:xf>
    <x:xf numFmtId="164" fontId="11" fillId="3" borderId="3" xfId="0" applyNumberFormat="1" applyFont="1" applyFill="1" applyBorder="1" applyAlignment="1">
      <x:alignment horizontal="left" vertical="center" wrapText="0"/>
    </x:xf>
    <x:xf numFmtId="165" fontId="25" fillId="5" borderId="4" xfId="0" applyNumberFormat="1" applyFont="1" applyFill="1" applyBorder="1" applyAlignment="1">
      <x:alignment horizontal="center" vertical="center" wrapText="1"/>
    </x:xf>
    <x:xf numFmtId="164" fontId="19" fillId="5" borderId="4" xfId="0" applyNumberFormat="1" applyFont="1" applyFill="1" applyBorder="1" applyAlignment="1">
      <x:alignment horizontal="left" vertical="center" wrapText="0"/>
    </x:xf>
    <x:xf numFmtId="164" fontId="26" fillId="0" borderId="1" xfId="0" applyNumberFormat="1" applyFont="1" applyFill="1" applyBorder="1" applyAlignment="1">
      <x:alignment horizontal="general" vertical="bottom" wrapText="0"/>
    </x:xf>
    <x:xf numFmtId="164" fontId="26" fillId="0" borderId="4" xfId="0" applyNumberFormat="1" applyFont="1" applyFill="1" applyBorder="1" applyAlignment="1">
      <x:alignment horizontal="general" vertical="bottom" wrapText="0"/>
    </x:xf>
    <x:xf numFmtId="164" fontId="5" fillId="3" borderId="0" xfId="0" applyNumberFormat="1" applyFont="1" applyFill="1" applyBorder="1" applyAlignment="1">
      <x:alignment horizontal="left" vertical="center" wrapText="1"/>
    </x:xf>
    <x:xf numFmtId="164" fontId="10" fillId="2" borderId="1" xfId="0" applyNumberFormat="1" applyFont="1" applyFill="1" applyBorder="1" applyAlignment="1">
      <x:alignment horizontal="center" vertical="center" wrapText="1"/>
    </x:xf>
    <x:xf numFmtId="164" fontId="6" fillId="8" borderId="1" xfId="0" applyNumberFormat="1" applyFont="1" applyFill="1" applyBorder="1" applyAlignment="1">
      <x:alignment horizontal="left" vertical="center" wrapText="1"/>
    </x:xf>
    <x:xf numFmtId="164" fontId="12" fillId="0" borderId="1" xfId="0" applyNumberFormat="1" applyFont="1" applyFill="1" applyBorder="1" applyAlignment="1">
      <x:alignment horizontal="center" vertical="center" wrapText="1"/>
    </x:xf>
    <x:xf numFmtId="164" fontId="13" fillId="8" borderId="1" xfId="0" applyNumberFormat="1" applyFont="1" applyFill="1" applyBorder="1" applyAlignment="1">
      <x:alignment horizontal="center" vertical="center" wrapText="1"/>
    </x:xf>
    <x:xf numFmtId="164" fontId="14" fillId="8" borderId="1" xfId="0" applyNumberFormat="1" applyFont="1" applyFill="1" applyBorder="1" applyAlignment="1">
      <x:alignment horizontal="left" vertical="center" wrapText="1"/>
    </x:xf>
    <x:xf numFmtId="165" fontId="6" fillId="8" borderId="1" xfId="0" applyNumberFormat="1" applyFont="1" applyFill="1" applyBorder="1" applyAlignment="1">
      <x:alignment horizontal="center" vertical="center" wrapText="1"/>
    </x:xf>
    <x:xf numFmtId="164" fontId="12" fillId="5" borderId="1" xfId="0" applyNumberFormat="1" applyFont="1" applyFill="1" applyBorder="1" applyAlignment="1">
      <x:alignment horizontal="general" vertical="bottom" wrapText="1"/>
    </x:xf>
    <x:xf numFmtId="165" fontId="15" fillId="6" borderId="1" xfId="0" applyNumberFormat="1" applyFont="1" applyFill="1" applyBorder="1" applyAlignment="1">
      <x:alignment horizontal="center" vertical="center" wrapText="1"/>
    </x:xf>
    <x:xf numFmtId="164" fontId="6" fillId="5" borderId="1" xfId="0" applyNumberFormat="1" applyFont="1" applyFill="1" applyBorder="1" applyAlignment="1">
      <x:alignment horizontal="center" vertical="center" wrapText="1"/>
    </x:xf>
    <x:xf numFmtId="164" fontId="13" fillId="5" borderId="1" xfId="0" applyNumberFormat="1" applyFont="1" applyFill="1" applyBorder="1" applyAlignment="1">
      <x:alignment horizontal="center" vertical="center" wrapText="1"/>
    </x:xf>
    <x:xf numFmtId="164" fontId="0" fillId="5" borderId="1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11" fillId="3" borderId="0" xfId="0" applyNumberFormat="1" applyFont="1" applyFill="1" applyBorder="1" applyAlignment="1">
      <x:alignment horizontal="left" vertical="center" wrapText="1"/>
    </x:xf>
    <x:xf numFmtId="164" fontId="16" fillId="5" borderId="1" xfId="0" applyNumberFormat="1" applyFont="1" applyFill="1" applyBorder="1" applyAlignment="1">
      <x:alignment horizontal="left" vertical="center" wrapText="1"/>
    </x:xf>
    <x:xf numFmtId="164" fontId="19" fillId="5" borderId="1" xfId="0" applyNumberFormat="1" applyFont="1" applyFill="1" applyBorder="1" applyAlignment="1">
      <x:alignment horizontal="left" vertical="center" wrapText="1"/>
    </x:xf>
    <x:xf numFmtId="165" fontId="17" fillId="5" borderId="1" xfId="0" applyNumberFormat="1" applyFont="1" applyFill="1" applyBorder="1" applyAlignment="1">
      <x:alignment horizontal="center" vertical="center" wrapText="1"/>
    </x:xf>
    <x:xf numFmtId="164" fontId="6" fillId="5" borderId="1" xfId="0" applyNumberFormat="1" applyFont="1" applyFill="1" applyBorder="1" applyAlignment="1">
      <x:alignment horizontal="left" vertical="center" wrapText="1"/>
    </x:xf>
    <x:xf numFmtId="164" fontId="15" fillId="5" borderId="1" xfId="0" applyNumberFormat="1" applyFont="1" applyFill="1" applyBorder="1" applyAlignment="1">
      <x:alignment horizontal="left" vertical="center" wrapText="1"/>
    </x:xf>
    <x:xf numFmtId="165" fontId="18" fillId="6" borderId="1" xfId="0" applyNumberFormat="1" applyFont="1" applyFill="1" applyBorder="1" applyAlignment="1">
      <x:alignment horizontal="center" vertical="center" wrapText="1"/>
    </x:xf>
    <x:xf numFmtId="164" fontId="0" fillId="0" borderId="1" xfId="0" applyNumberFormat="1" applyFont="1" applyFill="1" applyBorder="1" applyAlignment="1">
      <x:alignment horizontal="general" vertical="bottom" wrapText="1"/>
    </x:xf>
    <x:xf numFmtId="164" fontId="26" fillId="0" borderId="1" xfId="0" applyNumberFormat="1" applyFont="1" applyFill="1" applyBorder="1" applyAlignment="1">
      <x:alignment horizontal="general" vertical="bottom" wrapText="1"/>
    </x:xf>
    <x:xf numFmtId="164" fontId="15" fillId="0" borderId="1" xfId="0" applyNumberFormat="1" applyFont="1" applyFill="1" applyBorder="1" applyAlignment="1">
      <x:alignment horizontal="left" vertical="center" wrapText="1"/>
    </x:xf>
    <x:xf numFmtId="164" fontId="5" fillId="3" borderId="3" xfId="0" applyNumberFormat="1" applyFont="1" applyFill="1" applyBorder="1" applyAlignment="1">
      <x:alignment horizontal="left" vertical="center" wrapText="1"/>
    </x:xf>
    <x:xf numFmtId="164" fontId="12" fillId="5" borderId="4" xfId="0" applyNumberFormat="1" applyFont="1" applyFill="1" applyBorder="1" applyAlignment="1">
      <x:alignment horizontal="general" vertical="bottom" wrapText="1"/>
    </x:xf>
    <x:xf numFmtId="164" fontId="0" fillId="5" borderId="4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11" fillId="3" borderId="3" xfId="0" applyNumberFormat="1" applyFont="1" applyFill="1" applyBorder="1" applyAlignment="1">
      <x:alignment horizontal="left" vertical="center" wrapText="1"/>
    </x:xf>
    <x:xf numFmtId="164" fontId="16" fillId="5" borderId="4" xfId="0" applyNumberFormat="1" applyFont="1" applyFill="1" applyBorder="1" applyAlignment="1">
      <x:alignment horizontal="left" vertical="center" wrapText="1"/>
    </x:xf>
    <x:xf numFmtId="164" fontId="19" fillId="5" borderId="4" xfId="0" applyNumberFormat="1" applyFont="1" applyFill="1" applyBorder="1" applyAlignment="1">
      <x:alignment horizontal="left" vertical="center" wrapText="1"/>
    </x:xf>
    <x:xf numFmtId="164" fontId="15" fillId="5" borderId="4" xfId="0" applyNumberFormat="1" applyFont="1" applyFill="1" applyBorder="1" applyAlignment="1">
      <x:alignment horizontal="left" vertical="center" wrapText="1"/>
    </x:xf>
    <x:xf numFmtId="164" fontId="0" fillId="0" borderId="4" xfId="0" applyNumberFormat="1" applyFont="1" applyFill="1" applyBorder="1" applyAlignment="1">
      <x:alignment horizontal="general" vertical="bottom" wrapText="1"/>
    </x:xf>
    <x:xf numFmtId="164" fontId="26" fillId="0" borderId="4" xfId="0" applyNumberFormat="1" applyFont="1" applyFill="1" applyBorder="1" applyAlignment="1">
      <x:alignment horizontal="general" vertical="bottom" wrapText="1"/>
    </x:xf>
    <x:xf numFmtId="164" fontId="15" fillId="0" borderId="4" xfId="0" applyNumberFormat="1" applyFont="1" applyFill="1" applyBorder="1" applyAlignment="1">
      <x:alignment horizontal="left" vertical="center" wrapText="1"/>
    </x:xf>
    <x:xf numFmtId="164" fontId="22" fillId="2" borderId="0" xfId="0" applyNumberFormat="1" applyFont="1" applyFill="1" applyBorder="1" applyAlignment="1">
      <x:alignment horizontal="center" vertical="center" wrapText="1"/>
    </x:xf>
    <x:xf numFmtId="164" fontId="21" fillId="4" borderId="0" xfId="0" applyNumberFormat="1" applyFont="1" applyFill="1" applyBorder="1" applyAlignment="1">
      <x:alignment horizontal="left" vertical="center" wrapText="1"/>
    </x:xf>
    <x:xf numFmtId="164" fontId="6" fillId="7" borderId="1" xfId="0" applyNumberFormat="1" applyFont="1" applyFill="1" applyBorder="1" applyAlignment="1">
      <x:alignment horizontal="left" vertical="center" wrapText="1"/>
    </x:xf>
    <x:xf numFmtId="164" fontId="6" fillId="7" borderId="1" xfId="0" applyNumberFormat="1" applyFont="1" applyFill="1" applyBorder="1" applyAlignment="1">
      <x:alignment horizontal="center" vertical="center" wrapText="1"/>
    </x:xf>
    <x:xf numFmtId="164" fontId="6" fillId="6" borderId="1" xfId="0" applyNumberFormat="1" applyFont="1" applyFill="1" applyBorder="1" applyAlignment="1">
      <x:alignment horizontal="left" vertical="center" wrapText="1"/>
    </x:xf>
    <x:xf numFmtId="164" fontId="6" fillId="6" borderId="1" xfId="0" applyNumberFormat="1" applyFont="1" applyFill="1" applyBorder="1" applyAlignment="1">
      <x:alignment horizontal="center" vertical="center" wrapText="1"/>
    </x:xf>
    <x:xf numFmtId="164" fontId="20" fillId="9" borderId="1" xfId="0" applyNumberFormat="1" applyFont="1" applyFill="1" applyBorder="1" applyAlignment="1">
      <x:alignment horizontal="left" vertical="center" wrapText="1"/>
    </x:xf>
    <x:xf numFmtId="164" fontId="21" fillId="4" borderId="3" xfId="0" applyNumberFormat="1" applyFont="1" applyFill="1" applyBorder="1" applyAlignment="1">
      <x:alignment horizontal="left" vertical="center" wrapText="1"/>
    </x:xf>
    <x:xf numFmtId="164" fontId="27" fillId="0" borderId="0" xfId="0" applyNumberFormat="1" applyFont="1" applyFill="1" applyBorder="1" applyAlignment="1">
      <x:alignment horizontal="general" vertical="bottom" wrapText="1"/>
    </x:xf>
    <x:xf numFmtId="164" fontId="27" fillId="0" borderId="3" xfId="0" applyNumberFormat="1" applyFont="1" applyFill="1" applyBorder="1" applyAlignment="1">
      <x:alignment horizontal="general" vertical="bottom" wrapText="1"/>
    </x:xf>
    <x:xf numFmtId="164" fontId="28" fillId="0" borderId="0" xfId="0" applyNumberFormat="1" applyFont="1" applyFill="1" applyBorder="1" applyAlignment="1">
      <x:alignment horizontal="general" vertical="bottom" wrapText="1"/>
    </x:xf>
    <x:xf numFmtId="164" fontId="28" fillId="0" borderId="3" xfId="0" applyNumberFormat="1" applyFont="1" applyFill="1" applyBorder="1" applyAlignment="1">
      <x:alignment horizontal="general" vertical="bottom" wrapText="1"/>
    </x:xf>
    <x:xf numFmtId="164" fontId="28" fillId="1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4" fillId="2" borderId="0" xfId="0" applyNumberFormat="1" applyFont="1" applyFill="1" applyBorder="1" applyAlignment="1">
      <x:alignment horizontal="general" vertical="bottom" wrapText="0"/>
    </x:xf>
    <x:xf numFmtId="164" fontId="5" fillId="3" borderId="1" xfId="0" applyNumberFormat="1" applyFont="1" applyFill="1" applyBorder="1" applyAlignment="1">
      <x:alignment horizontal="left" vertical="center" wrapText="0"/>
    </x:xf>
    <x:xf numFmtId="164" fontId="6" fillId="4" borderId="1" xfId="0" applyNumberFormat="1" applyFont="1" applyFill="1" applyBorder="1" applyAlignment="1">
      <x:alignment horizontal="left" vertical="center" wrapText="1"/>
    </x:xf>
    <x:xf numFmtId="164" fontId="7" fillId="2" borderId="0" xfId="0" applyNumberFormat="1" applyFont="1" applyFill="1" applyBorder="1" applyAlignment="1">
      <x:alignment horizontal="center" vertical="center" wrapText="1"/>
    </x:xf>
    <x:xf numFmtId="164" fontId="8" fillId="3" borderId="0" xfId="0" applyNumberFormat="1" applyFont="1" applyFill="1" applyBorder="1" applyAlignment="1">
      <x:alignment horizontal="center" vertical="center" wrapText="1"/>
    </x:xf>
    <x:xf numFmtId="164" fontId="9" fillId="4" borderId="0" xfId="0" applyNumberFormat="1" applyFont="1" applyFill="1" applyBorder="1" applyAlignment="1">
      <x:alignment horizontal="left" vertical="center" wrapText="0"/>
    </x:xf>
    <x:xf numFmtId="164" fontId="5" fillId="3" borderId="0" xfId="0" applyNumberFormat="1" applyFont="1" applyFill="1" applyBorder="1" applyAlignment="1">
      <x:alignment horizontal="left" vertical="center" wrapText="0"/>
    </x:xf>
    <x:xf numFmtId="165" fontId="6" fillId="5" borderId="1" xfId="0" applyNumberFormat="1" applyFont="1" applyFill="1" applyBorder="1" applyAlignment="1">
      <x:alignment horizontal="center" vertical="center" wrapText="1"/>
    </x:xf>
    <x:xf numFmtId="164" fontId="14" fillId="5" borderId="1" xfId="0" applyNumberFormat="1" applyFont="1" applyFill="1" applyBorder="1" applyAlignment="1">
      <x:alignment horizontal="left" vertical="center" wrapText="1"/>
    </x:xf>
    <x:xf numFmtId="165" fontId="6" fillId="7" borderId="1" xfId="0" applyNumberFormat="1" applyFont="1" applyFill="1" applyBorder="1" applyAlignment="1">
      <x:alignment horizontal="center" vertical="center" wrapText="1"/>
    </x:xf>
    <x:xf numFmtId="164" fontId="13" fillId="7" borderId="1" xfId="0" applyNumberFormat="1" applyFont="1" applyFill="1" applyBorder="1" applyAlignment="1">
      <x:alignment horizontal="center" vertical="center" wrapText="1"/>
    </x:xf>
    <x:xf numFmtId="164" fontId="14" fillId="7" borderId="1" xfId="0" applyNumberFormat="1" applyFont="1" applyFill="1" applyBorder="1" applyAlignment="1">
      <x:alignment horizontal="left" vertical="center" wrapText="1"/>
    </x:xf>
    <x:xf numFmtId="164" fontId="12" fillId="5" borderId="1" xfId="0" applyNumberFormat="1" applyFont="1" applyFill="1" applyBorder="1" applyAlignment="1">
      <x:alignment horizontal="general" vertical="bottom" wrapText="0"/>
    </x:xf>
    <x:xf numFmtId="164" fontId="0" fillId="5" borderId="1" xfId="0" applyNumberFormat="1" applyFont="1" applyFill="1" applyBorder="1" applyAlignment="1">
      <x:alignment horizontal="general" vertical="bottom" wrapText="0"/>
    </x:xf>
    <x:xf numFmtId="164" fontId="16" fillId="5" borderId="1" xfId="0" applyNumberFormat="1" applyFont="1" applyFill="1" applyBorder="1" applyAlignment="1">
      <x:alignment horizontal="left" vertical="center" wrapText="0"/>
    </x:xf>
    <x:xf numFmtId="164" fontId="6" fillId="5" borderId="1" xfId="0" applyNumberFormat="1" applyFont="1" applyFill="1" applyBorder="1" applyAlignment="1">
      <x:alignment horizontal="left" vertical="center" wrapText="0"/>
    </x:xf>
    <x:xf numFmtId="164" fontId="15" fillId="5" borderId="1" xfId="0" applyNumberFormat="1" applyFont="1" applyFill="1" applyBorder="1" applyAlignment="1">
      <x:alignment horizontal="left" vertical="center" wrapText="0"/>
    </x:xf>
    <x:xf numFmtId="164" fontId="0" fillId="0" borderId="1" xfId="0" applyNumberFormat="1" applyFont="1" applyFill="1" applyBorder="1" applyAlignment="1">
      <x:alignment horizontal="general" vertical="bottom" wrapText="0"/>
    </x:xf>
    <x:xf numFmtId="164" fontId="15" fillId="0" borderId="1" xfId="0" applyNumberFormat="1" applyFont="1" applyFill="1" applyBorder="1" applyAlignment="1">
      <x:alignment horizontal="left" vertical="center" wrapText="0"/>
    </x:xf>
    <x:xf numFmtId="164" fontId="12" fillId="7" borderId="1" xfId="0" applyNumberFormat="1" applyFont="1" applyFill="1" applyBorder="1" applyAlignment="1">
      <x:alignment horizontal="left" vertical="center" wrapText="0"/>
    </x:xf>
    <x:xf numFmtId="164" fontId="19" fillId="6" borderId="1" xfId="0" applyNumberFormat="1" applyFont="1" applyFill="1" applyBorder="1" applyAlignment="1">
      <x:alignment horizontal="center" vertical="center" wrapText="1"/>
    </x:xf>
    <x:xf numFmtId="164" fontId="6" fillId="7" borderId="1" xfId="0" applyNumberFormat="1" applyFont="1" applyFill="1" applyBorder="1" applyAlignment="1">
      <x:alignment horizontal="left" vertical="center" wrapText="0"/>
    </x:xf>
    <x:xf numFmtId="164" fontId="6" fillId="4" borderId="1" xfId="0" applyNumberFormat="1" applyFont="1" applyFill="1" applyBorder="1" applyAlignment="1">
      <x:alignment horizontal="left" vertical="center" wrapText="0"/>
    </x:xf>
    <x:xf numFmtId="164" fontId="21" fillId="4" borderId="1" xfId="0" applyNumberFormat="1" applyFont="1" applyFill="1" applyBorder="1" applyAlignment="1">
      <x:alignment horizontal="left" vertical="center" wrapText="1"/>
    </x:xf>
    <x:xf numFmtId="164" fontId="12" fillId="4" borderId="1" xfId="0" applyNumberFormat="1" applyFont="1" applyFill="1" applyBorder="1" applyAlignment="1">
      <x:alignment horizontal="left" vertical="center" wrapText="0"/>
    </x:xf>
    <x:xf numFmtId="164" fontId="21" fillId="4" borderId="0" xfId="0" applyNumberFormat="1" applyFont="1" applyFill="1" applyBorder="1" applyAlignment="1">
      <x:alignment horizontal="left" vertical="center" wrapText="0"/>
    </x:xf>
    <x:xf numFmtId="164" fontId="8" fillId="3" borderId="0" xfId="0" applyNumberFormat="1" applyFont="1" applyFill="1" applyBorder="1" applyAlignment="1">
      <x:alignment horizontal="general" vertical="bottom" wrapText="0"/>
    </x:xf>
    <x:xf numFmtId="164" fontId="5" fillId="3" borderId="0" xfId="0" applyNumberFormat="1" applyFont="1" applyFill="1" applyBorder="1" applyAlignment="1">
      <x:alignment horizontal="general" vertical="bottom" wrapText="0"/>
    </x:xf>
    <x:xf numFmtId="164" fontId="23" fillId="4" borderId="0" xfId="0" applyNumberFormat="1" applyFont="1" applyFill="1" applyBorder="1" applyAlignment="1">
      <x:alignment horizontal="general" vertical="top" wrapText="1"/>
    </x:xf>
    <x:xf numFmtId="164" fontId="10" fillId="2" borderId="2" xfId="0" applyNumberFormat="1" applyFont="1" applyFill="1" applyBorder="1" applyAlignment="1">
      <x:alignment horizontal="center" vertical="center" wrapText="1"/>
    </x:xf>
    <x:xf numFmtId="164" fontId="23" fillId="6" borderId="2" xfId="0" applyNumberFormat="1" applyFont="1" applyFill="1" applyBorder="1" applyAlignment="1">
      <x:alignment horizontal="general" vertical="top" wrapText="1"/>
    </x:xf>
    <x:xf numFmtId="164" fontId="23" fillId="4" borderId="2" xfId="0" applyNumberFormat="1" applyFont="1" applyFill="1" applyBorder="1" applyAlignment="1">
      <x:alignment horizontal="general" vertical="top" wrapText="1"/>
    </x:xf>
    <x:xf numFmtId="164" fontId="24" fillId="5" borderId="0" xfId="0" applyNumberFormat="1" applyFont="1" applyFill="1" applyBorder="1" applyAlignment="1">
      <x:alignment horizontal="general" vertical="top" wrapText="1"/>
    </x:xf>
    <x:xf numFmtId="164" fontId="5" fillId="11" borderId="0" xfId="0" applyNumberFormat="1" applyFont="1" applyFill="1" applyBorder="1" applyAlignment="1">
      <x:alignment horizontal="left" vertical="center" wrapText="1"/>
    </x:xf>
    <x:xf numFmtId="164" fontId="12" fillId="11" borderId="1" xfId="0" applyNumberFormat="1" applyFont="1" applyFill="1" applyBorder="1" applyAlignment="1">
      <x:alignment horizontal="general" vertical="bottom" wrapText="1"/>
    </x:xf>
    <x:xf numFmtId="165" fontId="15" fillId="11" borderId="1" xfId="0" applyNumberFormat="1" applyFont="1" applyFill="1" applyBorder="1" applyAlignment="1">
      <x:alignment horizontal="center" vertical="center" wrapText="1"/>
    </x:xf>
    <x:xf numFmtId="164" fontId="6" fillId="11" borderId="1" xfId="0" applyNumberFormat="1" applyFont="1" applyFill="1" applyBorder="1" applyAlignment="1">
      <x:alignment horizontal="center" vertical="center" wrapText="1"/>
    </x:xf>
    <x:xf numFmtId="164" fontId="12" fillId="11" borderId="1" xfId="0" applyNumberFormat="1" applyFont="1" applyFill="1" applyBorder="1" applyAlignment="1">
      <x:alignment horizontal="center" vertical="center" wrapText="1"/>
    </x:xf>
    <x:xf numFmtId="164" fontId="13" fillId="11" borderId="1" xfId="0" applyNumberFormat="1" applyFont="1" applyFill="1" applyBorder="1" applyAlignment="1">
      <x:alignment horizontal="center" vertical="center" wrapText="1"/>
    </x:xf>
    <x:xf numFmtId="164" fontId="0" fillId="11" borderId="1" xfId="0" applyNumberFormat="1" applyFont="1" applyFill="1" applyBorder="1" applyAlignment="1">
      <x:alignment horizontal="general" vertical="bottom" wrapText="1"/>
    </x:xf>
    <x:xf numFmtId="164" fontId="10" fillId="11" borderId="1" xfId="0" applyNumberFormat="1" applyFont="1" applyFill="1" applyBorder="1" applyAlignment="1">
      <x:alignment horizontal="general" vertical="bottom" wrapText="1"/>
    </x:xf>
    <x:xf numFmtId="165" fontId="5" fillId="11" borderId="1" xfId="0" applyNumberFormat="1" applyFont="1" applyFill="1" applyBorder="1" applyAlignment="1">
      <x:alignment horizontal="center" vertical="center" wrapText="1"/>
    </x:xf>
    <x:xf numFmtId="164" fontId="10" fillId="11" borderId="1" xfId="0" applyNumberFormat="1" applyFont="1" applyFill="1" applyBorder="1" applyAlignment="1">
      <x:alignment horizontal="center" vertical="center" wrapText="1"/>
    </x:xf>
    <x:xf numFmtId="164" fontId="29" fillId="11" borderId="1" xfId="0" applyNumberFormat="1" applyFont="1" applyFill="1" applyBorder="1" applyAlignment="1">
      <x:alignment horizontal="center" vertical="center" wrapText="1"/>
    </x:xf>
    <x:xf numFmtId="164" fontId="30" fillId="11" borderId="1" xfId="0" applyNumberFormat="1" applyFont="1" applyFill="1" applyBorder="1" applyAlignment="1">
      <x:alignment horizontal="general" vertical="bottom" wrapText="1"/>
    </x:xf>
    <x:xf numFmtId="164" fontId="15" fillId="11" borderId="1" xfId="0" applyNumberFormat="1" applyFont="1" applyFill="1" applyBorder="1" applyAlignment="1">
      <x:alignment horizontal="left" vertical="center" wrapText="1"/>
    </x:xf>
    <x:xf numFmtId="165" fontId="18" fillId="11" borderId="1" xfId="0" applyNumberFormat="1" applyFont="1" applyFill="1" applyBorder="1" applyAlignment="1">
      <x:alignment horizontal="center" vertical="center" wrapText="1"/>
    </x:xf>
    <x:xf numFmtId="164" fontId="6" fillId="11" borderId="1" xfId="0" applyNumberFormat="1" applyFont="1" applyFill="1" applyBorder="1" applyAlignment="1">
      <x:alignment horizontal="left" vertical="center" wrapText="1"/>
    </x:xf>
    <x:xf numFmtId="164" fontId="5" fillId="11" borderId="1" xfId="0" applyNumberFormat="1" applyFont="1" applyFill="1" applyBorder="1" applyAlignment="1">
      <x:alignment horizontal="left" vertical="center" wrapText="1"/>
    </x:xf>
    <x:xf numFmtId="165" fontId="31" fillId="11" borderId="1" xfId="0" applyNumberFormat="1" applyFont="1" applyFill="1" applyBorder="1" applyAlignment="1">
      <x:alignment horizontal="center" vertical="center" wrapText="1"/>
    </x:xf>
    <x:xf numFmtId="164" fontId="10" fillId="11" borderId="1" xfId="0" applyNumberFormat="1" applyFont="1" applyFill="1" applyBorder="1" applyAlignment="1">
      <x:alignment horizontal="left" vertical="center" wrapText="1"/>
    </x:xf>
    <x:xf numFmtId="164" fontId="10" fillId="12" borderId="1" xfId="0" applyNumberFormat="1" applyFont="1" applyFill="1" applyBorder="1" applyAlignment="1">
      <x:alignment horizontal="center" vertical="center" wrapText="1"/>
    </x:xf>
    <x:xf numFmtId="164" fontId="0" fillId="12" borderId="0" xfId="0" applyNumberFormat="1" applyFont="1" applyFill="1" applyBorder="1" applyAlignment="1">
      <x:alignment horizontal="general" vertical="bottom" wrapText="1"/>
    </x:xf>
    <x:xf numFmtId="164" fontId="30" fillId="12" borderId="0" xfId="0" applyNumberFormat="1" applyFont="1" applyFill="1" applyBorder="1" applyAlignment="1">
      <x:alignment horizontal="general" vertical="bottom" wrapText="1"/>
    </x:xf>
    <x:xf numFmtId="164" fontId="6" fillId="13" borderId="1" xfId="0" applyNumberFormat="1" applyFont="1" applyFill="1" applyBorder="1" applyAlignment="1">
      <x:alignment horizontal="left" vertical="center" wrapText="1"/>
    </x:xf>
    <x:xf numFmtId="165" fontId="11" fillId="13" borderId="1" xfId="0" applyNumberFormat="1" applyFont="1" applyFill="1" applyBorder="1" applyAlignment="1">
      <x:alignment horizontal="center" vertical="center" wrapText="1"/>
    </x:xf>
    <x:xf numFmtId="165" fontId="19" fillId="13" borderId="1" xfId="0" applyNumberFormat="1" applyFont="1" applyFill="1" applyBorder="1" applyAlignment="1">
      <x:alignment horizontal="center" vertical="center" wrapText="1"/>
    </x:xf>
    <x:xf numFmtId="164" fontId="12" fillId="13" borderId="1" xfId="0" applyNumberFormat="1" applyFont="1" applyFill="1" applyBorder="1" applyAlignment="1">
      <x:alignment horizontal="center" vertical="center" wrapText="1"/>
    </x:xf>
    <x:xf numFmtId="164" fontId="13" fillId="13" borderId="1" xfId="0" applyNumberFormat="1" applyFont="1" applyFill="1" applyBorder="1" applyAlignment="1">
      <x:alignment horizontal="center" vertical="center" wrapText="1"/>
    </x:xf>
    <x:xf numFmtId="164" fontId="14" fillId="13" borderId="1" xfId="0" applyNumberFormat="1" applyFont="1" applyFill="1" applyBorder="1" applyAlignment="1">
      <x:alignment horizontal="left" vertical="center" wrapText="1"/>
    </x:xf>
    <x:xf numFmtId="165" fontId="6" fillId="13" borderId="1" xfId="0" applyNumberFormat="1" applyFont="1" applyFill="1" applyBorder="1" applyAlignment="1">
      <x:alignment horizontal="center" vertical="center" wrapText="1"/>
    </x:xf>
    <x:xf numFmtId="164" fontId="5" fillId="14" borderId="0" xfId="0" applyNumberFormat="1" applyFont="1" applyFill="1" applyBorder="1" applyAlignment="1">
      <x:alignment horizontal="left" vertical="center" wrapText="1"/>
    </x:xf>
    <x:xf numFmtId="164" fontId="11" fillId="14" borderId="0" xfId="0" applyNumberFormat="1" applyFont="1" applyFill="1" applyBorder="1" applyAlignment="1">
      <x:alignment horizontal="left" vertical="center" wrapText="1"/>
    </x:xf>
    <x:xf numFmtId="164" fontId="16" fillId="14" borderId="1" xfId="0" applyNumberFormat="1" applyFont="1" applyFill="1" applyBorder="1" applyAlignment="1">
      <x:alignment horizontal="left" vertical="center" wrapText="1"/>
    </x:xf>
    <x:xf numFmtId="165" fontId="25" fillId="14" borderId="1" xfId="0" applyNumberFormat="1" applyFont="1" applyFill="1" applyBorder="1" applyAlignment="1">
      <x:alignment horizontal="center" vertical="center" wrapText="1"/>
    </x:xf>
    <x:xf numFmtId="164" fontId="19" fillId="14" borderId="1" xfId="0" applyNumberFormat="1" applyFont="1" applyFill="1" applyBorder="1" applyAlignment="1">
      <x:alignment horizontal="left" vertical="center" wrapText="1"/>
    </x:xf>
    <x:xf numFmtId="164" fontId="0" fillId="14" borderId="1" xfId="0" applyNumberFormat="1" applyFont="1" applyFill="1" applyBorder="1" applyAlignment="1">
      <x:alignment horizontal="general" vertical="bottom" wrapText="1"/>
    </x:xf>
    <x:xf numFmtId="165" fontId="17" fillId="14" borderId="1" xfId="0" applyNumberFormat="1" applyFont="1" applyFill="1" applyBorder="1" applyAlignment="1">
      <x:alignment horizontal="center" vertical="center" wrapText="1"/>
    </x:xf>
    <x:xf numFmtId="164" fontId="6" fillId="14" borderId="1" xfId="0" applyNumberFormat="1" applyFont="1" applyFill="1" applyBorder="1" applyAlignment="1">
      <x:alignment horizontal="left" vertical="center" wrapText="1"/>
    </x:xf>
    <x:xf numFmtId="164" fontId="0" fillId="15" borderId="1" xfId="0" applyNumberFormat="1" applyFont="1" applyFill="1" applyBorder="1" applyAlignment="1">
      <x:alignment horizontal="general" vertical="bottom" wrapText="1"/>
    </x:xf>
    <x:xf numFmtId="164" fontId="26" fillId="15" borderId="1" xfId="0" applyNumberFormat="1" applyFont="1" applyFill="1" applyBorder="1" applyAlignment="1">
      <x:alignment horizontal="general" vertical="bottom" wrapText="1"/>
    </x:xf>
    <x:xf numFmtId="164" fontId="0" fillId="16" borderId="0" xfId="0" applyNumberFormat="1" applyFont="1" applyFill="1" applyBorder="1" applyAlignment="1">
      <x:alignment horizontal="general" vertical="bottom" wrapText="1"/>
    </x:xf>
    <x:xf numFmtId="164" fontId="32" fillId="16" borderId="0" xfId="0" applyNumberFormat="1" applyFont="1" applyFill="1" applyBorder="1" applyAlignment="1">
      <x:alignment horizontal="general" vertical="bottom" wrapText="1"/>
    </x:xf>
    <x:xf numFmtId="164" fontId="5" fillId="3" borderId="0" xfId="0" applyNumberFormat="1" applyFont="1" applyFill="1" applyBorder="1" applyAlignment="1">
      <x:alignment horizontal="general" vertical="bottom" wrapText="1"/>
    </x:xf>
    <x:xf numFmtId="164" fontId="5" fillId="5" borderId="0" xfId="0" applyNumberFormat="1" applyFont="1" applyFill="1" applyBorder="1" applyAlignment="1">
      <x:alignment horizontal="left" vertical="center" wrapText="1"/>
    </x:xf>
    <x:xf numFmtId="164" fontId="11" fillId="5" borderId="0" xfId="0" applyNumberFormat="1" applyFont="1" applyFill="1" applyBorder="1" applyAlignment="1">
      <x:alignment horizontal="left" vertical="center" wrapText="1"/>
    </x:xf>
    <x:xf numFmtId="164" fontId="0" fillId="4" borderId="0" xfId="0" applyNumberFormat="1" applyFont="1" applyFill="1" applyBorder="1" applyAlignment="1">
      <x:alignment horizontal="general" vertical="bottom" wrapText="1"/>
    </x:xf>
    <x:xf numFmtId="164" fontId="32" fillId="4" borderId="0" xfId="0" applyNumberFormat="1" applyFont="1" applyFill="1" applyBorder="1" applyAlignment="1">
      <x:alignment horizontal="general" vertical="bottom" wrapText="1"/>
    </x:xf>
    <x:xf numFmtId="164" fontId="33" fillId="5" borderId="0" xfId="0" applyNumberFormat="1" applyFont="1" applyFill="1" applyBorder="1" applyAlignment="1">
      <x:alignment horizontal="left" vertical="center" wrapText="1"/>
    </x:xf>
    <x:xf numFmtId="164" fontId="34" fillId="5" borderId="1" xfId="0" applyNumberFormat="1" applyFont="1" applyFill="1" applyBorder="1" applyAlignment="1">
      <x:alignment horizontal="left" vertical="center" wrapText="1"/>
    </x:xf>
    <x:xf numFmtId="165" fontId="35" fillId="5" borderId="1" xfId="0" applyNumberFormat="1" applyFont="1" applyFill="1" applyBorder="1" applyAlignment="1">
      <x:alignment horizontal="center" vertical="center" wrapText="1"/>
    </x:xf>
    <x:xf numFmtId="164" fontId="36" fillId="5" borderId="1" xfId="0" applyNumberFormat="1" applyFont="1" applyFill="1" applyBorder="1" applyAlignment="1">
      <x:alignment horizontal="left" vertical="center" wrapText="1"/>
    </x:xf>
    <x:xf numFmtId="164" fontId="32" fillId="5" borderId="1" xfId="0" applyNumberFormat="1" applyFont="1" applyFill="1" applyBorder="1" applyAlignment="1">
      <x:alignment horizontal="general" vertical="bottom" wrapText="1"/>
    </x:xf>
    <x:xf numFmtId="164" fontId="11" fillId="0" borderId="1" xfId="0" applyNumberFormat="1" applyFont="1" applyFill="1" applyBorder="1" applyAlignment="1">
      <x:alignment horizontal="left" vertical="center" wrapText="1"/>
    </x:xf>
    <x:xf numFmtId="164" fontId="33" fillId="17" borderId="0" xfId="0" applyNumberFormat="1" applyFont="1" applyFill="1" applyBorder="1" applyAlignment="1">
      <x:alignment horizontal="left" vertical="center" wrapText="1"/>
    </x:xf>
    <x:xf numFmtId="164" fontId="11" fillId="17" borderId="0" xfId="0" applyNumberFormat="1" applyFont="1" applyFill="1" applyBorder="1" applyAlignment="1">
      <x:alignment horizontal="left" vertical="center" wrapText="1"/>
    </x:xf>
    <x:xf numFmtId="164" fontId="34" fillId="17" borderId="1" xfId="0" applyNumberFormat="1" applyFont="1" applyFill="1" applyBorder="1" applyAlignment="1">
      <x:alignment horizontal="left" vertical="center" wrapText="1"/>
    </x:xf>
    <x:xf numFmtId="165" fontId="25" fillId="17" borderId="1" xfId="0" applyNumberFormat="1" applyFont="1" applyFill="1" applyBorder="1" applyAlignment="1">
      <x:alignment horizontal="center" vertical="center" wrapText="1"/>
    </x:xf>
    <x:xf numFmtId="164" fontId="19" fillId="17" borderId="1" xfId="0" applyNumberFormat="1" applyFont="1" applyFill="1" applyBorder="1" applyAlignment="1">
      <x:alignment horizontal="left" vertical="center" wrapText="1"/>
    </x:xf>
    <x:xf numFmtId="164" fontId="32" fillId="17" borderId="1" xfId="0" applyNumberFormat="1" applyFont="1" applyFill="1" applyBorder="1" applyAlignment="1">
      <x:alignment horizontal="general" vertical="bottom" wrapText="1"/>
    </x:xf>
    <x:xf numFmtId="164" fontId="33" fillId="0" borderId="1" xfId="0" applyNumberFormat="1" applyFont="1" applyFill="1" applyBorder="1" applyAlignment="1">
      <x:alignment horizontal="left" vertical="center" wrapText="1"/>
    </x:xf>
    <x:xf numFmtId="164" fontId="33" fillId="18" borderId="0" xfId="0" applyNumberFormat="1" applyFont="1" applyFill="1" applyBorder="1" applyAlignment="1">
      <x:alignment horizontal="left" vertical="center" wrapText="1"/>
    </x:xf>
    <x:xf numFmtId="164" fontId="11" fillId="18" borderId="0" xfId="0" applyNumberFormat="1" applyFont="1" applyFill="1" applyBorder="1" applyAlignment="1">
      <x:alignment horizontal="left" vertical="center" wrapText="1"/>
    </x:xf>
    <x:xf numFmtId="164" fontId="0" fillId="19" borderId="0" xfId="0" applyNumberFormat="1" applyFont="1" applyFill="1" applyBorder="1" applyAlignment="1">
      <x:alignment horizontal="general" vertical="bottom" wrapText="0"/>
    </x:xf>
    <x:xf numFmtId="164" fontId="37" fillId="19" borderId="0" xfId="0" applyNumberFormat="1" applyFont="1" applyFill="1" applyBorder="1" applyAlignment="1">
      <x:alignment horizontal="general" vertical="bottom" wrapText="0"/>
    </x:xf>
    <x:xf numFmtId="164" fontId="0" fillId="20" borderId="0" xfId="0" applyNumberFormat="1" applyFont="1" applyFill="1" applyBorder="1" applyAlignment="1">
      <x:alignment horizontal="general" vertical="bottom" wrapText="0"/>
    </x:xf>
    <x:xf numFmtId="164" fontId="28" fillId="20" borderId="0" xfId="0" applyNumberFormat="1" applyFont="1" applyFill="1" applyBorder="1" applyAlignment="1">
      <x:alignment horizontal="general" vertical="bottom" wrapText="0"/>
    </x:xf>
    <x:xf numFmtId="164" fontId="28" fillId="20" borderId="0" xfId="0" applyNumberFormat="1" applyFont="1" applyFill="1" applyBorder="1" applyAlignment="1">
      <x:alignment horizontal="general" vertical="bottom" wrapText="1"/>
    </x:xf>
    <x:xf numFmtId="164" fontId="0" fillId="2" borderId="0" xfId="0" applyNumberFormat="1" applyFont="1" applyFill="1" applyBorder="1" applyAlignment="1">
      <x:alignment horizontal="general" vertical="bottom" wrapText="0"/>
    </x:xf>
    <x:xf numFmtId="164" fontId="37" fillId="2" borderId="0" xfId="0" applyNumberFormat="1" applyFont="1" applyFill="1" applyBorder="1" applyAlignment="1">
      <x:alignment horizontal="general" vertical="bottom" wrapText="0"/>
    </x:xf>
    <x:xf numFmtId="164" fontId="28" fillId="0" borderId="0" xfId="0" applyNumberFormat="1" applyFont="1" applyFill="1" applyBorder="1" applyAlignment="1">
      <x:alignment horizontal="general" vertical="bottom" wrapText="0"/>
    </x:xf>
    <x:xf numFmtId="164" fontId="28" fillId="21" borderId="0" xfId="0" applyNumberFormat="1" applyFont="1" applyFill="1" applyBorder="1" applyAlignment="1">
      <x:alignment horizontal="general" vertical="bottom" wrapText="0"/>
    </x:xf>
    <x:xf numFmtId="164" fontId="28" fillId="21" borderId="0" xfId="0" applyNumberFormat="1" applyFont="1" applyFill="1" applyBorder="1" applyAlignment="1">
      <x:alignment horizontal="general" vertical="bottom" wrapText="1"/>
    </x:xf>
    <x:xf numFmtId="164" fontId="12" fillId="7" borderId="1" xfId="0" applyNumberFormat="1" applyFont="1" applyFill="1" applyBorder="1" applyAlignment="1">
      <x:alignment horizontal="left" vertical="center" wrapText="1"/>
    </x:xf>
    <x:xf numFmtId="164" fontId="26" fillId="0" borderId="0" xfId="0" applyNumberFormat="1" applyFont="1" applyFill="1" applyBorder="1" applyAlignment="1">
      <x:alignment horizontal="general" vertical="bottom" wrapText="1"/>
    </x:xf>
    <x:xf numFmtId="164" fontId="32" fillId="0" borderId="0" xfId="0" applyNumberFormat="1" applyFont="1" applyFill="1" applyBorder="1" applyAlignment="1">
      <x:alignment horizontal="general" vertical="bottom" wrapText="1"/>
    </x:xf>
    <x:xf numFmtId="164" fontId="33" fillId="3" borderId="0" xfId="0" applyNumberFormat="1" applyFont="1" applyFill="1" applyBorder="1" applyAlignment="1">
      <x:alignment horizontal="left" vertical="center" wrapText="0"/>
    </x:xf>
    <x:xf numFmtId="164" fontId="33" fillId="3" borderId="0" xfId="0" applyNumberFormat="1" applyFont="1" applyFill="1" applyBorder="1" applyAlignment="1">
      <x:alignment horizontal="left" vertical="center" wrapText="1"/>
    </x:xf>
    <x:xf numFmtId="164" fontId="12" fillId="4" borderId="1" xfId="0" applyNumberFormat="1" applyFont="1" applyFill="1" applyBorder="1" applyAlignment="1">
      <x:alignment horizontal="left" vertical="center" wrapText="1"/>
    </x:xf>
    <x:xf numFmtId="164" fontId="0" fillId="22" borderId="1" xfId="0" applyNumberFormat="1" applyFont="1" applyFill="1" applyBorder="1" applyAlignment="1">
      <x:alignment horizontal="general" vertical="bottom" wrapText="1"/>
    </x:xf>
    <x:xf numFmtId="164" fontId="26" fillId="22" borderId="1" xfId="0" applyNumberFormat="1" applyFont="1" applyFill="1" applyBorder="1" applyAlignment="1">
      <x:alignment horizontal="general" vertical="bottom" wrapText="1"/>
    </x:xf>
    <x:xf numFmtId="164" fontId="30" fillId="22" borderId="1" xfId="0" applyNumberFormat="1" applyFont="1" applyFill="1" applyBorder="1" applyAlignment="1">
      <x:alignment horizontal="general" vertical="bottom" wrapText="1"/>
    </x:xf>
    <x:xf numFmtId="164" fontId="0" fillId="22" borderId="0" xfId="0" applyNumberFormat="1" applyFont="1" applyFill="1" applyBorder="1" applyAlignment="1">
      <x:alignment horizontal="general" vertical="bottom" wrapText="1"/>
    </x:xf>
    <x:xf numFmtId="164" fontId="30" fillId="22" borderId="0" xfId="0" applyNumberFormat="1" applyFont="1" applyFill="1" applyBorder="1" applyAlignment="1">
      <x:alignment horizontal="general" vertical="bottom" wrapText="1"/>
    </x:xf>
    <x:xf numFmtId="164" fontId="33" fillId="22" borderId="1" xfId="0" applyNumberFormat="1" applyFont="1" applyFill="1" applyBorder="1" applyAlignment="1">
      <x:alignment horizontal="left" vertical="center" wrapText="1"/>
    </x:xf>
    <x:xf numFmtId="164" fontId="11" fillId="22" borderId="1" xfId="0" applyNumberFormat="1" applyFont="1" applyFill="1" applyBorder="1" applyAlignment="1">
      <x:alignment horizontal="left" vertical="center" wrapText="1"/>
    </x:xf>
    <x:xf numFmtId="164" fontId="5" fillId="22" borderId="1" xfId="0" applyNumberFormat="1" applyFont="1" applyFill="1" applyBorder="1" applyAlignment="1">
      <x:alignment horizontal="left" vertical="center" wrapText="1"/>
    </x:xf>
    <x:xf numFmtId="164" fontId="0" fillId="23" borderId="0" xfId="0" applyNumberFormat="1" applyFont="1" applyFill="1" applyBorder="1" applyAlignment="1">
      <x:alignment horizontal="general" vertical="bottom" wrapText="1"/>
    </x:xf>
    <x:xf numFmtId="164" fontId="26" fillId="23" borderId="0" xfId="0" applyNumberFormat="1" applyFont="1" applyFill="1" applyBorder="1" applyAlignment="1">
      <x:alignment horizontal="general" vertical="bottom" wrapText="1"/>
    </x:xf>
    <x:xf numFmtId="164" fontId="32" fillId="23" borderId="0" xfId="0" applyNumberFormat="1" applyFont="1" applyFill="1" applyBorder="1" applyAlignment="1">
      <x:alignment horizontal="general" vertical="bottom" wrapText="1"/>
    </x:xf>
    <x:xf numFmtId="164" fontId="5" fillId="21" borderId="0" xfId="0" applyNumberFormat="1" applyFont="1" applyFill="1" applyBorder="1" applyAlignment="1">
      <x:alignment horizontal="left" vertical="center" wrapText="1"/>
    </x:xf>
    <x:xf numFmtId="164" fontId="11" fillId="21" borderId="0" xfId="0" applyNumberFormat="1" applyFont="1" applyFill="1" applyBorder="1" applyAlignment="1">
      <x:alignment horizontal="left" vertical="center" wrapText="1"/>
    </x:xf>
    <x:xf numFmtId="164" fontId="33" fillId="21" borderId="0" xfId="0" applyNumberFormat="1" applyFont="1" applyFill="1" applyBorder="1" applyAlignment="1">
      <x:alignment horizontal="left" vertical="center" wrapText="1"/>
    </x:xf>
    <x:xf numFmtId="164" fontId="10" fillId="23" borderId="1" xfId="0" applyNumberFormat="1" applyFont="1" applyFill="1" applyBorder="1" applyAlignment="1">
      <x:alignment horizontal="center" vertical="center" wrapText="1"/>
    </x:xf>
    <x:xf numFmtId="164" fontId="38" fillId="23" borderId="1" xfId="0" applyNumberFormat="1" applyFont="1" applyFill="1" applyBorder="1" applyAlignment="1">
      <x:alignment horizontal="center" vertical="center" wrapText="1"/>
    </x:xf>
    <x:xf numFmtId="164" fontId="12" fillId="21" borderId="1" xfId="0" applyNumberFormat="1" applyFont="1" applyFill="1" applyBorder="1" applyAlignment="1">
      <x:alignment horizontal="left" vertical="center" wrapText="1"/>
    </x:xf>
    <x:xf numFmtId="164" fontId="19" fillId="21" borderId="1" xfId="0" applyNumberFormat="1" applyFont="1" applyFill="1" applyBorder="1" applyAlignment="1">
      <x:alignment horizontal="center" vertical="center" wrapText="1"/>
    </x:xf>
    <x:xf numFmtId="164" fontId="6" fillId="21" borderId="1" xfId="0" applyNumberFormat="1" applyFont="1" applyFill="1" applyBorder="1" applyAlignment="1">
      <x:alignment horizontal="left" vertical="center" wrapText="1"/>
    </x:xf>
    <x:xf numFmtId="164" fontId="38" fillId="21" borderId="1" xfId="0" applyNumberFormat="1" applyFont="1" applyFill="1" applyBorder="1" applyAlignment="1">
      <x:alignment horizontal="left" vertical="center" wrapText="1"/>
    </x:xf>
    <x:xf numFmtId="164" fontId="36" fillId="21" borderId="1" xfId="0" applyNumberFormat="1" applyFont="1" applyFill="1" applyBorder="1" applyAlignment="1">
      <x:alignment horizontal="center" vertical="center" wrapText="1"/>
    </x:xf>
    <x:xf numFmtId="164" fontId="36" fillId="21" borderId="1" xfId="0" applyNumberFormat="1" applyFont="1" applyFill="1" applyBorder="1" applyAlignment="1">
      <x:alignment horizontal="left" vertical="center" wrapText="1"/>
    </x:xf>
    <x:xf numFmtId="164" fontId="0" fillId="24" borderId="0" xfId="0" applyNumberFormat="1" applyFont="1" applyFill="1" applyBorder="1" applyAlignment="1">
      <x:alignment horizontal="general" vertical="bottom" wrapText="1"/>
    </x:xf>
    <x:xf numFmtId="164" fontId="32" fillId="24" borderId="0" xfId="0" applyNumberFormat="1" applyFont="1" applyFill="1" applyBorder="1" applyAlignment="1">
      <x:alignment horizontal="general" vertical="bottom" wrapText="1"/>
    </x:xf>
    <x:xf numFmtId="164" fontId="0" fillId="24" borderId="0" xfId="0" applyNumberFormat="1" applyFont="1" applyFill="1" applyBorder="1" applyAlignment="1">
      <x:alignment horizontal="general" vertical="bottom" wrapText="0"/>
    </x:xf>
    <x:xf numFmtId="164" fontId="0" fillId="2" borderId="1" xfId="0" applyNumberFormat="1" applyFont="1" applyFill="1" applyBorder="1" applyAlignment="1">
      <x:alignment horizontal="general" vertical="bottom" wrapText="1"/>
    </x:xf>
    <x:xf numFmtId="164" fontId="26" fillId="2" borderId="1" xfId="0" applyNumberFormat="1" applyFont="1" applyFill="1" applyBorder="1" applyAlignment="1">
      <x:alignment horizontal="general" vertical="bottom" wrapText="1"/>
    </x:xf>
    <x:xf numFmtId="164" fontId="30" fillId="2" borderId="1" xfId="0" applyNumberFormat="1" applyFont="1" applyFill="1" applyBorder="1" applyAlignment="1">
      <x:alignment horizontal="general" vertical="bottom" wrapText="1"/>
    </x:xf>
    <x:xf numFmtId="164" fontId="0" fillId="2" borderId="0" xfId="0" applyNumberFormat="1" applyFont="1" applyFill="1" applyBorder="1" applyAlignment="1">
      <x:alignment horizontal="general" vertical="bottom" wrapText="1"/>
    </x:xf>
    <x:xf numFmtId="164" fontId="30" fillId="2" borderId="0" xfId="0" applyNumberFormat="1" applyFont="1" applyFill="1" applyBorder="1" applyAlignment="1">
      <x:alignment horizontal="general" vertical="bottom" wrapText="1"/>
    </x:xf>
    <x:xf numFmtId="164" fontId="33" fillId="2" borderId="1" xfId="0" applyNumberFormat="1" applyFont="1" applyFill="1" applyBorder="1" applyAlignment="1">
      <x:alignment horizontal="left" vertical="center" wrapText="1"/>
    </x:xf>
    <x:xf numFmtId="164" fontId="11" fillId="2" borderId="1" xfId="0" applyNumberFormat="1" applyFont="1" applyFill="1" applyBorder="1" applyAlignment="1">
      <x:alignment horizontal="left" vertical="center" wrapText="1"/>
    </x:xf>
    <x:xf numFmtId="164" fontId="5" fillId="2" borderId="1" xfId="0" applyNumberFormat="1" applyFont="1" applyFill="1" applyBorder="1" applyAlignment="1">
      <x:alignment horizontal="left" vertical="center" wrapText="1"/>
    </x:xf>
    <x:xf numFmtId="164" fontId="0" fillId="6" borderId="0" xfId="0" applyNumberFormat="1" applyFont="1" applyFill="1" applyBorder="1" applyAlignment="1">
      <x:alignment horizontal="general" vertical="bottom" wrapText="1"/>
    </x:xf>
    <x:xf numFmtId="164" fontId="26" fillId="6" borderId="0" xfId="0" applyNumberFormat="1" applyFont="1" applyFill="1" applyBorder="1" applyAlignment="1">
      <x:alignment horizontal="general" vertical="bottom" wrapText="1"/>
    </x:xf>
    <x:xf numFmtId="164" fontId="32" fillId="6" borderId="0" xfId="0" applyNumberFormat="1" applyFont="1" applyFill="1" applyBorder="1" applyAlignment="1">
      <x:alignment horizontal="general" vertical="bottom" wrapText="1"/>
    </x:xf>
    <x:xf numFmtId="164" fontId="5" fillId="20" borderId="0" xfId="0" applyNumberFormat="1" applyFont="1" applyFill="1" applyBorder="1" applyAlignment="1">
      <x:alignment horizontal="left" vertical="center" wrapText="1"/>
    </x:xf>
    <x:xf numFmtId="164" fontId="11" fillId="20" borderId="0" xfId="0" applyNumberFormat="1" applyFont="1" applyFill="1" applyBorder="1" applyAlignment="1">
      <x:alignment horizontal="left" vertical="center" wrapText="1"/>
    </x:xf>
    <x:xf numFmtId="164" fontId="33" fillId="20" borderId="0" xfId="0" applyNumberFormat="1" applyFont="1" applyFill="1" applyBorder="1" applyAlignment="1">
      <x:alignment horizontal="left" vertical="center" wrapText="1"/>
    </x:xf>
    <x:xf numFmtId="164" fontId="10" fillId="6" borderId="1" xfId="0" applyNumberFormat="1" applyFont="1" applyFill="1" applyBorder="1" applyAlignment="1">
      <x:alignment horizontal="center" vertical="center" wrapText="1"/>
    </x:xf>
    <x:xf numFmtId="164" fontId="38" fillId="6" borderId="1" xfId="0" applyNumberFormat="1" applyFont="1" applyFill="1" applyBorder="1" applyAlignment="1">
      <x:alignment horizontal="center" vertical="center" wrapText="1"/>
    </x:xf>
    <x:xf numFmtId="164" fontId="12" fillId="20" borderId="1" xfId="0" applyNumberFormat="1" applyFont="1" applyFill="1" applyBorder="1" applyAlignment="1">
      <x:alignment horizontal="left" vertical="center" wrapText="1"/>
    </x:xf>
    <x:xf numFmtId="164" fontId="19" fillId="20" borderId="1" xfId="0" applyNumberFormat="1" applyFont="1" applyFill="1" applyBorder="1" applyAlignment="1">
      <x:alignment horizontal="center" vertical="center" wrapText="1"/>
    </x:xf>
    <x:xf numFmtId="164" fontId="6" fillId="20" borderId="1" xfId="0" applyNumberFormat="1" applyFont="1" applyFill="1" applyBorder="1" applyAlignment="1">
      <x:alignment horizontal="left" vertical="center" wrapText="1"/>
    </x:xf>
    <x:xf numFmtId="164" fontId="38" fillId="20" borderId="1" xfId="0" applyNumberFormat="1" applyFont="1" applyFill="1" applyBorder="1" applyAlignment="1">
      <x:alignment horizontal="left" vertical="center" wrapText="1"/>
    </x:xf>
    <x:xf numFmtId="164" fontId="36" fillId="20" borderId="1" xfId="0" applyNumberFormat="1" applyFont="1" applyFill="1" applyBorder="1" applyAlignment="1">
      <x:alignment horizontal="center" vertical="center" wrapText="1"/>
    </x:xf>
    <x:xf numFmtId="164" fontId="36" fillId="20" borderId="1" xfId="0" applyNumberFormat="1" applyFont="1" applyFill="1" applyBorder="1" applyAlignment="1">
      <x:alignment horizontal="left" vertical="center" wrapText="1"/>
    </x:xf>
    <x:xf numFmtId="164" fontId="0" fillId="5" borderId="0" xfId="0" applyNumberFormat="1" applyFont="1" applyFill="1" applyBorder="1" applyAlignment="1">
      <x:alignment horizontal="general" vertical="bottom" wrapText="1"/>
    </x:xf>
    <x:xf numFmtId="164" fontId="32" fillId="5" borderId="0" xfId="0" applyNumberFormat="1" applyFont="1" applyFill="1" applyBorder="1" applyAlignment="1">
      <x:alignment horizontal="general" vertical="bottom" wrapText="1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5" fillId="25" borderId="0" xfId="0" applyNumberFormat="1" applyFont="1" applyFill="1" applyBorder="1" applyAlignment="1">
      <x:alignment horizontal="left" vertical="center" wrapText="1"/>
    </x:xf>
    <x:xf numFmtId="164" fontId="5" fillId="26" borderId="0" xfId="0" applyNumberFormat="1" applyFont="1" applyFill="1" applyBorder="1" applyAlignment="1">
      <x:alignment horizontal="general" vertical="bottom" wrapText="1"/>
    </x:xf>
    <x:xf numFmtId="164" fontId="33" fillId="26" borderId="0" xfId="0" applyNumberFormat="1" applyFont="1" applyFill="1" applyBorder="1" applyAlignment="1">
      <x:alignment horizontal="general" vertical="bottom" wrapText="1"/>
    </x:xf>
    <x:xf numFmtId="164" fontId="5" fillId="26" borderId="0" xfId="0" applyNumberFormat="1" applyFont="1" applyFill="1" applyBorder="1" applyAlignment="1">
      <x:alignment horizontal="general" vertical="bottom" wrapText="0"/>
    </x:xf>
    <x:xf numFmtId="164" fontId="33" fillId="26" borderId="0" xfId="0" applyNumberFormat="1" applyFont="1" applyFill="1" applyBorder="1" applyAlignment="1">
      <x:alignment horizontal="general" vertical="bottom" wrapText="0"/>
    </x:xf>
    <x:xf numFmtId="164" fontId="5" fillId="2" borderId="0" xfId="0" applyNumberFormat="1" applyFont="1" applyFill="1" applyBorder="1" applyAlignment="1">
      <x:alignment horizontal="left" vertical="center" wrapText="1"/>
    </x:xf>
    <x:xf numFmtId="164" fontId="5" fillId="6" borderId="0" xfId="0" applyNumberFormat="1" applyFont="1" applyFill="1" applyBorder="1" applyAlignment="1">
      <x:alignment horizontal="general" vertical="bottom" wrapText="1"/>
    </x:xf>
    <x:xf numFmtId="164" fontId="33" fillId="6" borderId="0" xfId="0" applyNumberFormat="1" applyFont="1" applyFill="1" applyBorder="1" applyAlignment="1">
      <x:alignment horizontal="general" vertical="bottom" wrapText="1"/>
    </x:xf>
    <x:xf numFmtId="164" fontId="5" fillId="6" borderId="0" xfId="0" applyNumberFormat="1" applyFont="1" applyFill="1" applyBorder="1" applyAlignment="1">
      <x:alignment horizontal="general" vertical="bottom" wrapText="0"/>
    </x:xf>
    <x:xf numFmtId="164" fontId="33" fillId="6" borderId="0" xfId="0" applyNumberFormat="1" applyFont="1" applyFill="1" applyBorder="1" applyAlignment="1">
      <x:alignment horizontal="general" vertical="bottom" wrapText="0"/>
    </x:xf>
    <x:xf numFmtId="164" fontId="5" fillId="27" borderId="1" xfId="0" applyNumberFormat="1" applyFont="1" applyFill="1" applyBorder="1" applyAlignment="1">
      <x:alignment horizontal="left" vertical="center" wrapText="1"/>
    </x:xf>
    <x:xf numFmtId="164" fontId="23" fillId="28" borderId="2" xfId="0" applyNumberFormat="1" applyFont="1" applyFill="1" applyBorder="1" applyAlignment="1">
      <x:alignment horizontal="general" vertical="top" wrapText="1"/>
    </x:xf>
    <x:xf numFmtId="164" fontId="36" fillId="28" borderId="2" xfId="0" applyNumberFormat="1" applyFont="1" applyFill="1" applyBorder="1" applyAlignment="1">
      <x:alignment horizontal="general" vertical="top" wrapText="1"/>
    </x:xf>
    <x:xf numFmtId="164" fontId="0" fillId="28" borderId="0" xfId="0" applyNumberFormat="1" applyFont="1" applyFill="1" applyBorder="1" applyAlignment="1">
      <x:alignment horizontal="general" vertical="bottom" wrapText="1"/>
    </x:xf>
    <x:xf numFmtId="164" fontId="32" fillId="28" borderId="0" xfId="0" applyNumberFormat="1" applyFont="1" applyFill="1" applyBorder="1" applyAlignment="1">
      <x:alignment horizontal="general" vertical="bottom" wrapText="1"/>
    </x:xf>
    <x:xf numFmtId="164" fontId="33" fillId="28" borderId="0" xfId="0" applyNumberFormat="1" applyFont="1" applyFill="1" applyBorder="1" applyAlignment="1">
      <x:alignment horizontal="general" vertical="bottom" wrapText="1"/>
    </x:xf>
    <x:xf numFmtId="164" fontId="5" fillId="28" borderId="0" xfId="0" applyNumberFormat="1" applyFont="1" applyFill="1" applyBorder="1" applyAlignment="1">
      <x:alignment horizontal="general" vertical="bottom" wrapText="1"/>
    </x:xf>
    <x:xf numFmtId="164" fontId="0" fillId="28" borderId="0" xfId="0" applyNumberFormat="1" applyFont="1" applyFill="1" applyBorder="1" applyAlignment="1">
      <x:alignment horizontal="general" vertical="bottom" wrapText="0"/>
    </x:xf>
    <x:xf numFmtId="164" fontId="32" fillId="28" borderId="0" xfId="0" applyNumberFormat="1" applyFont="1" applyFill="1" applyBorder="1" applyAlignment="1">
      <x:alignment horizontal="general" vertical="bottom" wrapText="0"/>
    </x:xf>
    <x:xf numFmtId="164" fontId="24" fillId="28" borderId="0" xfId="0" applyNumberFormat="1" applyFont="1" applyFill="1" applyBorder="1" applyAlignment="1">
      <x:alignment horizontal="general" vertical="top" wrapText="1"/>
    </x:xf>
    <x:xf numFmtId="164" fontId="39" fillId="28" borderId="0" xfId="0" applyNumberFormat="1" applyFont="1" applyFill="1" applyBorder="1" applyAlignment="1">
      <x:alignment horizontal="general" vertical="top" wrapText="1"/>
    </x:xf>
    <x:xf numFmtId="164" fontId="36" fillId="6" borderId="2" xfId="0" applyNumberFormat="1" applyFont="1" applyFill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32" fillId="6" borderId="0" xfId="0" applyNumberFormat="1" applyFont="1" applyFill="1" applyBorder="1" applyAlignment="1">
      <x:alignment horizontal="general" vertical="bottom" wrapText="0"/>
    </x:xf>
    <x:xf numFmtId="164" fontId="24" fillId="6" borderId="0" xfId="0" applyNumberFormat="1" applyFont="1" applyFill="1" applyBorder="1" applyAlignment="1">
      <x:alignment horizontal="general" vertical="top" wrapText="1"/>
    </x:xf>
    <x:xf numFmtId="164" fontId="39" fillId="6" borderId="0" xfId="0" applyNumberFormat="1" applyFont="1" applyFill="1" applyBorder="1" applyAlignment="1">
      <x:alignment horizontal="general" vertical="top" wrapText="1"/>
    </x:xf>
    <x:xf numFmtId="164" fontId="23" fillId="29" borderId="2" xfId="0" applyNumberFormat="1" applyFont="1" applyFill="1" applyBorder="1" applyAlignment="1">
      <x:alignment horizontal="general" vertical="top" wrapText="1"/>
    </x:xf>
    <x:xf numFmtId="164" fontId="0" fillId="29" borderId="0" xfId="0" applyNumberFormat="1" applyFont="1" applyFill="1" applyBorder="1" applyAlignment="1">
      <x:alignment horizontal="general" vertical="bottom" wrapText="1"/>
    </x:xf>
    <x:xf numFmtId="164" fontId="10" fillId="29" borderId="2" xfId="0" applyNumberFormat="1" applyFont="1" applyFill="1" applyBorder="1" applyAlignment="1">
      <x:alignment horizontal="general" vertical="top" wrapText="1"/>
    </x:xf>
    <x:xf numFmtId="164" fontId="30" fillId="29" borderId="0" xfId="0" applyNumberFormat="1" applyFont="1" applyFill="1" applyBorder="1" applyAlignment="1">
      <x:alignment horizontal="general" vertical="bottom" wrapText="1"/>
    </x:xf>
    <x:xf numFmtId="164" fontId="0" fillId="29" borderId="0" xfId="0" applyNumberFormat="1" applyFont="1" applyFill="1" applyBorder="1" applyAlignment="1">
      <x:alignment horizontal="general" vertical="bottom" wrapText="0"/>
    </x:xf>
    <x:xf numFmtId="164" fontId="30" fillId="29" borderId="0" xfId="0" applyNumberFormat="1" applyFont="1" applyFill="1" applyBorder="1" applyAlignment="1">
      <x:alignment horizontal="general" vertical="bottom" wrapText="0"/>
    </x:xf>
    <x:xf numFmtId="164" fontId="23" fillId="2" borderId="2" xfId="0" applyNumberFormat="1" applyFont="1" applyFill="1" applyBorder="1" applyAlignment="1">
      <x:alignment horizontal="general" vertical="top" wrapText="1"/>
    </x:xf>
    <x:xf numFmtId="164" fontId="10" fillId="2" borderId="2" xfId="0" applyNumberFormat="1" applyFont="1" applyFill="1" applyBorder="1" applyAlignment="1">
      <x:alignment horizontal="general" vertical="top" wrapText="1"/>
    </x:xf>
    <x:xf numFmtId="164" fontId="30" fillId="2" borderId="0" xfId="0" applyNumberFormat="1" applyFont="1" applyFill="1" applyBorder="1" applyAlignment="1">
      <x:alignment horizontal="general" vertical="bottom" wrapText="0"/>
    </x:xf>
    <x:xf numFmtId="164" fontId="40" fillId="0" borderId="0" xfId="0" applyNumberFormat="1" applyFont="1" applyFill="1" applyBorder="1" applyAlignment="1">
      <x:alignment horizontal="general" vertical="bottom" wrapText="0"/>
    </x:xf>
    <x:xf numFmtId="164" fontId="40" fillId="0" borderId="0" xfId="0" applyNumberFormat="1" applyFont="1" applyFill="1" applyBorder="1" applyAlignment="1">
      <x:alignment horizontal="general" vertical="center" wrapText="0"/>
    </x:xf>
    <x:xf numFmtId="164" fontId="40" fillId="30" borderId="0" xfId="0" applyNumberFormat="1" applyFont="1" applyFill="1" applyBorder="1" applyAlignment="1">
      <x:alignment horizontal="general" vertical="center" wrapText="0"/>
    </x:xf>
    <x:xf numFmtId="164" fontId="41" fillId="30" borderId="0" xfId="0" applyNumberFormat="1" applyFont="1" applyFill="1" applyBorder="1" applyAlignment="1">
      <x:alignment horizontal="general" vertical="center" wrapText="0"/>
    </x:xf>
    <x:xf numFmtId="164" fontId="41" fillId="30" borderId="0" xfId="0" applyNumberFormat="1" applyFont="1" applyFill="1" applyBorder="1" applyAlignment="1">
      <x:alignment horizontal="center" vertical="center" wrapText="0"/>
    </x:xf>
    <x:xf numFmtId="164" fontId="40" fillId="31" borderId="0" xfId="0" applyNumberFormat="1" applyFont="1" applyFill="1" applyBorder="1" applyAlignment="1">
      <x:alignment horizontal="general" vertical="center" wrapText="0"/>
    </x:xf>
    <x:xf numFmtId="164" fontId="42" fillId="31" borderId="0" xfId="0" applyNumberFormat="1" applyFont="1" applyFill="1" applyBorder="1" applyAlignment="1">
      <x:alignment horizontal="general" vertical="center" wrapText="0"/>
    </x:xf>
    <x:xf numFmtId="164" fontId="42" fillId="31" borderId="0" xfId="0" applyNumberFormat="1" applyFont="1" applyFill="1" applyBorder="1" applyAlignment="1">
      <x:alignment horizontal="center" vertical="center" wrapText="0"/>
    </x:xf>
    <x:xf numFmtId="164" fontId="43" fillId="0" borderId="0" xfId="0" applyNumberFormat="1" applyFont="1" applyFill="1" applyBorder="1" applyAlignment="1">
      <x:alignment horizontal="general" vertical="center" wrapText="0"/>
    </x:xf>
    <x:xf numFmtId="164" fontId="44" fillId="31" borderId="0" xfId="0" applyNumberFormat="1" applyFont="1" applyFill="1" applyBorder="1" applyAlignment="1">
      <x:alignment horizontal="general" vertical="center" wrapText="0"/>
    </x:xf>
    <x:xf numFmtId="164" fontId="44" fillId="31" borderId="0" xfId="0" applyNumberFormat="1" applyFont="1" applyFill="1" applyBorder="1" applyAlignment="1">
      <x:alignment horizontal="general" vertical="center" wrapText="1"/>
    </x:xf>
    <x:xf numFmtId="164" fontId="44" fillId="30" borderId="0" xfId="0" applyNumberFormat="1" applyFont="1" applyFill="1" applyBorder="1" applyAlignment="1">
      <x:alignment horizontal="general" vertical="center" wrapText="0"/>
    </x:xf>
    <x:xf numFmtId="164" fontId="44" fillId="30" borderId="0" xfId="0" applyNumberFormat="1" applyFont="1" applyFill="1" applyBorder="1" applyAlignment="1">
      <x:alignment horizontal="center" vertical="center" wrapText="0"/>
    </x:xf>
    <x:xf numFmtId="164" fontId="44" fillId="30" borderId="0" xfId="0" applyNumberFormat="1" applyFont="1" applyFill="1" applyBorder="1" applyAlignment="1">
      <x:alignment horizontal="center" vertical="center" wrapText="1"/>
    </x:xf>
    <x:xf numFmtId="164" fontId="40" fillId="32" borderId="0" xfId="0" applyNumberFormat="1" applyFont="1" applyFill="1" applyBorder="1" applyAlignment="1">
      <x:alignment horizontal="general" vertical="center" wrapText="0"/>
    </x:xf>
    <x:xf numFmtId="164" fontId="40" fillId="32" borderId="0" xfId="0" applyNumberFormat="1" applyFont="1" applyFill="1" applyBorder="1" applyAlignment="1">
      <x:alignment horizontal="general" vertical="center" wrapText="1"/>
    </x:xf>
    <x:xf numFmtId="164" fontId="40" fillId="33" borderId="0" xfId="0" applyNumberFormat="1" applyFont="1" applyFill="1" applyBorder="1" applyAlignment="1">
      <x:alignment horizontal="general" vertical="center" wrapText="0"/>
    </x:xf>
    <x:xf numFmtId="164" fontId="40" fillId="33" borderId="0" xfId="0" applyNumberFormat="1" applyFont="1" applyFill="1" applyBorder="1" applyAlignment="1">
      <x:alignment horizontal="general" vertical="center" wrapText="1"/>
    </x:xf>
    <x:xf numFmtId="164" fontId="40" fillId="34" borderId="0" xfId="0" applyNumberFormat="1" applyFont="1" applyFill="1" applyBorder="1" applyAlignment="1">
      <x:alignment horizontal="general" vertical="center" wrapText="0"/>
    </x:xf>
    <x:xf numFmtId="164" fontId="40" fillId="34" borderId="0" xfId="0" applyNumberFormat="1" applyFont="1" applyFill="1" applyBorder="1" applyAlignment="1">
      <x:alignment horizontal="general" vertical="center" wrapText="1"/>
    </x:xf>
    <x:xf numFmtId="164" fontId="45" fillId="32" borderId="0" xfId="0" applyNumberFormat="1" applyFont="1" applyFill="1" applyBorder="1" applyAlignment="1">
      <x:alignment horizontal="general" vertical="center" wrapText="0"/>
    </x:xf>
    <x:xf numFmtId="164" fontId="40" fillId="35" borderId="0" xfId="0" applyNumberFormat="1" applyFont="1" applyFill="1" applyBorder="1" applyAlignment="1">
      <x:alignment horizontal="general" vertical="center" wrapText="0"/>
    </x:xf>
    <x:xf numFmtId="164" fontId="40" fillId="35" borderId="0" xfId="0" applyNumberFormat="1" applyFont="1" applyFill="1" applyBorder="1" applyAlignment="1">
      <x:alignment horizontal="general" vertical="center" wrapText="1"/>
    </x:xf>
    <x:xf numFmtId="164" fontId="45" fillId="35" borderId="0" xfId="0" applyNumberFormat="1" applyFont="1" applyFill="1" applyBorder="1" applyAlignment="1">
      <x:alignment horizontal="general" vertical="center" wrapText="1"/>
    </x:xf>
    <x:xf numFmtId="164" fontId="46" fillId="35" borderId="0" xfId="0" applyNumberFormat="1" applyFont="1" applyFill="1" applyBorder="1" applyAlignment="1">
      <x:alignment horizontal="general" vertical="center" wrapText="1"/>
    </x:xf>
    <x:xf numFmtId="164" fontId="46" fillId="32" borderId="0" xfId="0" applyNumberFormat="1" applyFont="1" applyFill="1" applyBorder="1" applyAlignment="1">
      <x:alignment horizontal="general" vertical="center" wrapText="1"/>
    </x:xf>
    <x:xf numFmtId="164" fontId="44" fillId="30" borderId="0" xfId="0" applyNumberFormat="1" applyFont="1" applyFill="1" applyBorder="1" applyAlignment="1">
      <x:alignment horizontal="general" vertical="center" wrapText="1"/>
    </x:xf>
    <x:xf numFmtId="164" fontId="40" fillId="36" borderId="0" xfId="0" applyNumberFormat="1" applyFont="1" applyFill="1" applyBorder="1" applyAlignment="1">
      <x:alignment horizontal="general" vertical="center" wrapText="0"/>
    </x:xf>
    <x:xf numFmtId="164" fontId="47" fillId="36" borderId="0" xfId="0" applyNumberFormat="1" applyFont="1" applyFill="1" applyBorder="1" applyAlignment="1">
      <x:alignment horizontal="general" vertical="center" wrapText="0"/>
    </x:xf>
    <x:xf numFmtId="164" fontId="47" fillId="36" borderId="0" xfId="0" applyNumberFormat="1" applyFont="1" applyFill="1" applyBorder="1" applyAlignment="1">
      <x:alignment horizontal="general" vertical="center" wrapText="1"/>
    </x:xf>
    <x:xf numFmtId="164" fontId="46" fillId="34" borderId="0" xfId="0" applyNumberFormat="1" applyFont="1" applyFill="1" applyBorder="1" applyAlignment="1">
      <x:alignment horizontal="general" vertical="center" wrapText="1"/>
    </x:xf>
    <x:xf numFmtId="164" fontId="46" fillId="33" borderId="0" xfId="0" applyNumberFormat="1" applyFont="1" applyFill="1" applyBorder="1" applyAlignment="1">
      <x:alignment horizontal="general" vertical="center" wrapText="1"/>
    </x:xf>
    <x:xf numFmtId="164" fontId="45" fillId="33" borderId="0" xfId="0" applyNumberFormat="1" applyFont="1" applyFill="1" applyBorder="1" applyAlignment="1">
      <x:alignment horizontal="general" vertical="center" wrapText="0"/>
    </x:xf>
    <x:xf numFmtId="164" fontId="45" fillId="33" borderId="0" xfId="0" applyNumberFormat="1" applyFont="1" applyFill="1" applyBorder="1" applyAlignment="1">
      <x:alignment horizontal="general" vertical="center" wrapText="1"/>
    </x:xf>
    <x:xf numFmtId="164" fontId="40" fillId="37" borderId="0" xfId="0" applyNumberFormat="1" applyFont="1" applyFill="1" applyBorder="1" applyAlignment="1">
      <x:alignment horizontal="general" vertical="center" wrapText="0"/>
    </x:xf>
    <x:xf numFmtId="164" fontId="40" fillId="37" borderId="0" xfId="0" applyNumberFormat="1" applyFont="1" applyFill="1" applyBorder="1" applyAlignment="1">
      <x:alignment horizontal="general" vertical="center" wrapText="1"/>
    </x:xf>
    <x:xf numFmtId="164" fontId="40" fillId="0" borderId="0" xfId="0" applyNumberFormat="1" applyFont="1" applyFill="1" applyBorder="1" applyAlignment="1">
      <x:alignment horizontal="general" vertical="center" wrapText="1"/>
    </x:xf>
    <x:xf numFmtId="164" fontId="40" fillId="2" borderId="0" xfId="0" applyNumberFormat="1" applyFont="1" applyFill="1" applyBorder="1" applyAlignment="1">
      <x:alignment horizontal="general" vertical="center" wrapText="0"/>
    </x:xf>
    <x:xf numFmtId="164" fontId="41" fillId="2" borderId="0" xfId="0" applyNumberFormat="1" applyFont="1" applyFill="1" applyBorder="1" applyAlignment="1">
      <x:alignment horizontal="general" vertical="center" wrapText="0"/>
    </x:xf>
    <x:xf numFmtId="164" fontId="41" fillId="2" borderId="0" xfId="0" applyNumberFormat="1" applyFont="1" applyFill="1" applyBorder="1" applyAlignment="1">
      <x:alignment horizontal="center" vertical="center" wrapText="0"/>
    </x:xf>
    <x:xf numFmtId="164" fontId="44" fillId="2" borderId="0" xfId="0" applyNumberFormat="1" applyFont="1" applyFill="1" applyBorder="1" applyAlignment="1">
      <x:alignment horizontal="general" vertical="center" wrapText="0"/>
    </x:xf>
    <x:xf numFmtId="164" fontId="44" fillId="2" borderId="0" xfId="0" applyNumberFormat="1" applyFont="1" applyFill="1" applyBorder="1" applyAlignment="1">
      <x:alignment horizontal="center" vertical="center" wrapText="0"/>
    </x:xf>
    <x:xf numFmtId="164" fontId="44" fillId="2" borderId="0" xfId="0" applyNumberFormat="1" applyFont="1" applyFill="1" applyBorder="1" applyAlignment="1">
      <x:alignment horizontal="center" vertical="center" wrapText="1"/>
    </x:xf>
    <x:xf numFmtId="164" fontId="40" fillId="5" borderId="0" xfId="0" applyNumberFormat="1" applyFont="1" applyFill="1" applyBorder="1" applyAlignment="1">
      <x:alignment horizontal="general" vertical="center" wrapText="0"/>
    </x:xf>
    <x:xf numFmtId="164" fontId="40" fillId="5" borderId="0" xfId="0" applyNumberFormat="1" applyFont="1" applyFill="1" applyBorder="1" applyAlignment="1">
      <x:alignment horizontal="general" vertical="center" wrapText="1"/>
    </x:xf>
    <x:xf numFmtId="164" fontId="40" fillId="20" borderId="0" xfId="0" applyNumberFormat="1" applyFont="1" applyFill="1" applyBorder="1" applyAlignment="1">
      <x:alignment horizontal="general" vertical="center" wrapText="0"/>
    </x:xf>
    <x:xf numFmtId="164" fontId="40" fillId="20" borderId="0" xfId="0" applyNumberFormat="1" applyFont="1" applyFill="1" applyBorder="1" applyAlignment="1">
      <x:alignment horizontal="general" vertical="center" wrapText="1"/>
    </x:xf>
    <x:xf numFmtId="164" fontId="40" fillId="6" borderId="0" xfId="0" applyNumberFormat="1" applyFont="1" applyFill="1" applyBorder="1" applyAlignment="1">
      <x:alignment horizontal="general" vertical="center" wrapText="0"/>
    </x:xf>
    <x:xf numFmtId="164" fontId="40" fillId="6" borderId="0" xfId="0" applyNumberFormat="1" applyFont="1" applyFill="1" applyBorder="1" applyAlignment="1">
      <x:alignment horizontal="general" vertical="center" wrapText="1"/>
    </x:xf>
    <x:xf numFmtId="164" fontId="45" fillId="5" borderId="0" xfId="0" applyNumberFormat="1" applyFont="1" applyFill="1" applyBorder="1" applyAlignment="1">
      <x:alignment horizontal="general" vertical="center" wrapText="0"/>
    </x:xf>
    <x:xf numFmtId="164" fontId="46" fillId="5" borderId="0" xfId="0" applyNumberFormat="1" applyFont="1" applyFill="1" applyBorder="1" applyAlignment="1">
      <x:alignment horizontal="general" vertical="center" wrapText="1"/>
    </x:xf>
    <x:xf numFmtId="164" fontId="44" fillId="2" borderId="0" xfId="0" applyNumberFormat="1" applyFont="1" applyFill="1" applyBorder="1" applyAlignment="1">
      <x:alignment horizontal="general" vertical="center" wrapText="1"/>
    </x:xf>
    <x:xf numFmtId="164" fontId="40" fillId="9" borderId="0" xfId="0" applyNumberFormat="1" applyFont="1" applyFill="1" applyBorder="1" applyAlignment="1">
      <x:alignment horizontal="general" vertical="center" wrapText="0"/>
    </x:xf>
    <x:xf numFmtId="164" fontId="47" fillId="9" borderId="0" xfId="0" applyNumberFormat="1" applyFont="1" applyFill="1" applyBorder="1" applyAlignment="1">
      <x:alignment horizontal="general" vertical="center" wrapText="0"/>
    </x:xf>
    <x:xf numFmtId="164" fontId="47" fillId="9" borderId="0" xfId="0" applyNumberFormat="1" applyFont="1" applyFill="1" applyBorder="1" applyAlignment="1">
      <x:alignment horizontal="general" vertical="center" wrapText="1"/>
    </x:xf>
    <x:xf numFmtId="164" fontId="46" fillId="6" borderId="0" xfId="0" applyNumberFormat="1" applyFont="1" applyFill="1" applyBorder="1" applyAlignment="1">
      <x:alignment horizontal="general" vertical="center" wrapText="1"/>
    </x:xf>
    <x:xf numFmtId="164" fontId="46" fillId="20" borderId="0" xfId="0" applyNumberFormat="1" applyFont="1" applyFill="1" applyBorder="1" applyAlignment="1">
      <x:alignment horizontal="general" vertical="center" wrapText="1"/>
    </x:xf>
    <x:xf numFmtId="164" fontId="45" fillId="20" borderId="0" xfId="0" applyNumberFormat="1" applyFont="1" applyFill="1" applyBorder="1" applyAlignment="1">
      <x:alignment horizontal="general" vertical="center" wrapText="0"/>
    </x:xf>
    <x:xf numFmtId="164" fontId="45" fillId="20" borderId="0" xfId="0" applyNumberFormat="1" applyFont="1" applyFill="1" applyBorder="1" applyAlignment="1">
      <x:alignment horizontal="general" vertical="center" wrapText="1"/>
    </x:xf>
    <x:xf numFmtId="164" fontId="40" fillId="4" borderId="0" xfId="0" applyNumberFormat="1" applyFont="1" applyFill="1" applyBorder="1" applyAlignment="1">
      <x:alignment horizontal="general" vertical="center" wrapText="0"/>
    </x:xf>
    <x:xf numFmtId="164" fontId="40" fillId="4" borderId="0" xfId="0" applyNumberFormat="1" applyFont="1" applyFill="1" applyBorder="1" applyAlignment="1">
      <x:alignment horizontal="general" vertical="center" wrapText="1"/>
    </x:xf>
    <x:xf numFmtId="164" fontId="0" fillId="38" borderId="0" xfId="0" applyNumberFormat="1" applyFont="1" applyFill="1" applyBorder="1" applyAlignment="1">
      <x:alignment horizontal="general" vertical="bottom" wrapText="1"/>
    </x:xf>
    <x:xf numFmtId="164" fontId="0" fillId="39" borderId="0" xfId="0" applyNumberFormat="1" applyFont="1" applyFill="1" applyBorder="1" applyAlignment="1">
      <x:alignment horizontal="general" vertical="bottom" wrapText="1"/>
    </x:xf>
    <x:xf numFmtId="164" fontId="0" fillId="2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0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32" fillId="6" borderId="0" xfId="0" applyNumberFormat="1" applyFont="1" applyFill="1" applyBorder="1" applyAlignment="1">
      <x:alignment horizontal="general" vertical="top" wrapText="1"/>
    </x:xf>
    <x:xf numFmtId="164" fontId="46" fillId="40" borderId="0" xfId="0" applyNumberFormat="1" applyFont="1" applyFill="1" applyBorder="1" applyAlignment="1">
      <x:alignment horizontal="general" vertical="center" wrapText="1"/>
    </x:xf>
    <x:xf numFmtId="164" fontId="48" fillId="35" borderId="0" xfId="0" applyNumberFormat="1" applyFont="1" applyFill="1" applyBorder="1" applyAlignment="1">
      <x:alignment horizontal="general" vertical="center" wrapText="1"/>
    </x:xf>
    <x:xf numFmtId="164" fontId="48" fillId="40" borderId="0" xfId="0" applyNumberFormat="1" applyFont="1" applyFill="1" applyBorder="1" applyAlignment="1">
      <x:alignment horizontal="general" vertical="center" wrapText="1"/>
    </x:xf>
    <x:xf numFmtId="164" fontId="0" fillId="41" borderId="0" xfId="0" applyNumberFormat="1" applyFont="1" applyFill="1" applyBorder="1" applyAlignment="1">
      <x:alignment horizontal="general" vertical="bottom" wrapText="0"/>
    </x:xf>
    <x:xf numFmtId="164" fontId="49" fillId="41" borderId="0" xfId="0" applyNumberFormat="1" applyFont="1" applyFill="1" applyBorder="1" applyAlignment="1">
      <x:alignment horizontal="general" vertical="bottom" wrapText="0"/>
    </x:xf>
    <x:xf numFmtId="164" fontId="49" fillId="41" borderId="0" xfId="0" applyNumberFormat="1" applyFont="1" applyFill="1" applyBorder="1" applyAlignment="1">
      <x:alignment horizontal="center" vertical="bottom" wrapText="0"/>
    </x:xf>
    <x:xf numFmtId="164" fontId="49" fillId="41" borderId="0" xfId="0" applyNumberFormat="1" applyFont="1" applyFill="1" applyBorder="1" applyAlignment="1">
      <x:alignment horizontal="center" vertical="center" wrapText="0"/>
    </x:xf>
    <x:xf numFmtId="164" fontId="0" fillId="42" borderId="0" xfId="0" applyNumberFormat="1" applyFont="1" applyFill="1" applyBorder="1" applyAlignment="1">
      <x:alignment horizontal="general" vertical="bottom" wrapText="0"/>
    </x:xf>
    <x:xf numFmtId="164" fontId="40" fillId="42" borderId="0" xfId="0" applyNumberFormat="1" applyFont="1" applyFill="1" applyBorder="1" applyAlignment="1">
      <x:alignment horizontal="general" vertical="bottom" wrapText="0"/>
    </x:xf>
    <x:xf numFmtId="164" fontId="40" fillId="42" borderId="0" xfId="0" applyNumberFormat="1" applyFont="1" applyFill="1" applyBorder="1" applyAlignment="1">
      <x:alignment horizontal="general" vertical="bottom" wrapText="1"/>
    </x:xf>
    <x:xf numFmtId="164" fontId="40" fillId="42" borderId="0" xfId="0" applyNumberFormat="1" applyFont="1" applyFill="1" applyBorder="1" applyAlignment="1">
      <x:alignment horizontal="general" vertical="center" wrapText="1"/>
    </x:xf>
    <x:xf numFmtId="164" fontId="0" fillId="43" borderId="0" xfId="0" applyNumberFormat="1" applyFont="1" applyFill="1" applyBorder="1" applyAlignment="1">
      <x:alignment horizontal="general" vertical="bottom" wrapText="0"/>
    </x:xf>
    <x:xf numFmtId="164" fontId="30" fillId="43" borderId="0" xfId="0" applyNumberFormat="1" applyFont="1" applyFill="1" applyBorder="1" applyAlignment="1">
      <x:alignment horizontal="general" vertical="bottom" wrapText="0"/>
    </x:xf>
    <x:xf numFmtId="164" fontId="30" fillId="43" borderId="0" xfId="0" applyNumberFormat="1" applyFont="1" applyFill="1" applyBorder="1" applyAlignment="1">
      <x:alignment horizontal="general" vertical="bottom" wrapText="1"/>
    </x:xf>
    <x:xf numFmtId="164" fontId="30" fillId="43" borderId="0" xfId="0" applyNumberFormat="1" applyFont="1" applyFill="1" applyBorder="1" applyAlignment="1">
      <x:alignment horizontal="center" vertical="bottom" wrapText="1"/>
    </x:xf>
    <x:xf numFmtId="164" fontId="30" fillId="43" borderId="0" xfId="0" applyNumberFormat="1" applyFont="1" applyFill="1" applyBorder="1" applyAlignment="1">
      <x:alignment horizontal="center" vertical="center" wrapText="1"/>
    </x:xf>
    <x:xf numFmtId="164" fontId="26" fillId="40" borderId="0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17">
    <x:dxf>
      <x:font>
        <x:b/>
        <x:color rgb="FF9C0006"/>
      </x:font>
      <x:fill>
        <x:patternFill>
          <x:bgColor rgb="FFFFCCCC"/>
        </x:patternFill>
      </x:fill>
    </x:dxf>
    <x:dxf>
      <x:font>
        <x:b/>
        <x:color rgb="FF7E4901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EF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8D7DA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9C0006"/>
      <x:rgbColor rgb="FF008000"/>
      <x:rgbColor rgb="FF000080"/>
      <x:rgbColor rgb="FF808000"/>
      <x:rgbColor rgb="FF800080"/>
      <x:rgbColor rgb="FF008080"/>
      <x:rgbColor rgb="FFBDC3C7"/>
      <x:rgbColor rgb="FF808080"/>
      <x:rgbColor rgb="FF9999FF"/>
      <x:rgbColor rgb="FF993366"/>
      <x:rgbColor rgb="FFFFF2CC"/>
      <x:rgbColor rgb="FFE2EFDA"/>
      <x:rgbColor rgb="FF660066"/>
      <x:rgbColor rgb="FFFF8080"/>
      <x:rgbColor rgb="FF2E6096"/>
      <x:rgbColor rgb="FFCCCCCC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6E4F0"/>
      <x:rgbColor rgb="FFD9EAD3"/>
      <x:rgbColor rgb="FFFCE4D6"/>
      <x:rgbColor rgb="FFF2F2F2"/>
      <x:rgbColor rgb="FFFF99CC"/>
      <x:rgbColor rgb="FFCC99FF"/>
      <x:rgbColor rgb="FFFFCCCC"/>
      <x:rgbColor rgb="FF3366FF"/>
      <x:rgbColor rgb="FF33CCCC"/>
      <x:rgbColor rgb="FF99CC00"/>
      <x:rgbColor rgb="FFFFCC00"/>
      <x:rgbColor rgb="FFFF9900"/>
      <x:rgbColor rgb="FFFF6600"/>
      <x:rgbColor rgb="FF666666"/>
      <x:rgbColor rgb="FF969696"/>
      <x:rgbColor rgb="FF1F3864"/>
      <x:rgbColor rgb="FF339966"/>
      <x:rgbColor rgb="FF003300"/>
      <x:rgbColor rgb="FF375623"/>
      <x:rgbColor rgb="FF7E4901"/>
      <x:rgbColor rgb="FF993366"/>
      <x:rgbColor rgb="FF555555"/>
      <x:rgbColor rgb="FF444444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6196fa18aa471e" /><Relationship Type="http://schemas.openxmlformats.org/officeDocument/2006/relationships/theme" Target="/xl/theme/theme1.xml" Id="R2e2e7cc4cc844ea2" /><Relationship Type="http://schemas.openxmlformats.org/officeDocument/2006/relationships/sharedStrings" Target="/xl/sharedStrings.xml" Id="Re51bfb186aa945c2" /><Relationship Type="http://schemas.openxmlformats.org/officeDocument/2006/relationships/worksheet" Target="/xl/worksheets/sheet1.xml" Id="R9b471d9a98644729" /><Relationship Type="http://schemas.openxmlformats.org/officeDocument/2006/relationships/worksheet" Target="/xl/worksheets/sheet2.xml" Id="R3152273290d9462c" /><Relationship Type="http://schemas.openxmlformats.org/officeDocument/2006/relationships/worksheet" Target="/xl/worksheets/sheet3.xml" Id="Rba2de819b1d04724" /><Relationship Type="http://schemas.openxmlformats.org/officeDocument/2006/relationships/worksheet" Target="/xl/worksheets/sheet4.xml" Id="R742e41a38f464b1b" /><Relationship Type="http://schemas.openxmlformats.org/officeDocument/2006/relationships/worksheet" Target="/xl/worksheets/sheet5.xml" Id="Rc4e06d08fa30406a" /><Relationship Type="http://schemas.openxmlformats.org/officeDocument/2006/relationships/worksheet" Target="/xl/worksheets/sheet6.xml" Id="Rb810ff2bd6b44e11" /><Relationship Type="http://schemas.openxmlformats.org/officeDocument/2006/relationships/worksheet" Target="/xl/worksheets/sheet7.xml" Id="Rc2121d5c33d949f2" /><Relationship Type="http://schemas.openxmlformats.org/officeDocument/2006/relationships/worksheet" Target="/xl/worksheets/sheet8.xml" Id="R73cd38b041e3494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 ht="28" customHeight="1">
      <x:c r="A1" s="263" t="str">
        <x:v>ASCR-16 OE02 — Latency Budget and Deployment Worksheet</x:v>
      </x:c>
      <x:c r="B1" s="263"/>
    </x:row>
    <x:row r="3" ht="15" hidden="0" customHeight="1">
      <x:c r="A3" s="266" t="str">
        <x:v>File ID</x:v>
      </x:c>
      <x:c r="B3" s="133" t="str">
        <x:v>ASCR-16-OE02-Latency-Budget-and-Deployment-Worksheet.xlsx</x:v>
      </x:c>
    </x:row>
    <x:row r="4" ht="15" hidden="0" customHeight="1">
      <x:c r="A4" s="266" t="str">
        <x:v>Format</x:v>
      </x:c>
      <x:c r="B4" s="133" t="str">
        <x:v>.xlsx</x:v>
      </x:c>
    </x:row>
    <x:row r="5" ht="15" hidden="0" customHeight="1">
      <x:c r="A5" s="266" t="str">
        <x:v>Version</x:v>
      </x:c>
      <x:c r="B5" s="133" t="str">
        <x:v>1.0 — June 2026</x:v>
      </x:c>
    </x:row>
    <x:row r="6" ht="26.399999618530273" hidden="0" customHeight="1">
      <x:c r="A6" s="266" t="str">
        <x:v>Consolidates</x:v>
      </x:c>
      <x:c r="B6" s="133" t="str">
        <x:v>Latency budget calculator, deployment checklist, context-feed registry, specification reference, and operating instructions.</x:v>
      </x:c>
    </x:row>
    <x:row r="7" ht="26.399999618530273" hidden="0" customHeight="1">
      <x:c r="A7" s="266" t="str">
        <x:v>Scope</x:v>
      </x:c>
      <x:c r="B7" s="133" t="str">
        <x:v>Supports runtime/deployment-event latency assessment, deployment sign-off, and Atomic/Framed context-feed configuration for ASCR-16.</x:v>
      </x:c>
    </x:row>
    <x:row r="8" ht="26.399999618530273" hidden="0" customHeight="1">
      <x:c r="A8" s="266" t="str">
        <x:v>Precedence</x:v>
      </x:c>
      <x:c r="B8" s="133" t="str">
        <x:v>ASCR-16 main policy is authoritative; this workbook operationalizes those requirements and does not override them.</x:v>
      </x:c>
    </x:row>
    <x:row r="9" ht="26.399999618530273" hidden="0" customHeight="1">
      <x:c r="A9" s="266" t="str">
        <x:v>Relationship to sibling OEs</x:v>
      </x:c>
      <x:c r="B9" s="133" t="str">
        <x:v>OE01 provides implementation and alert-response guidance. OE03 defines the lineage-token schema used by the ASCR-16 verification workflow.</x:v>
      </x:c>
    </x:row>
    <x:row r="10" ht="26.399999618530273" hidden="0" customHeight="1">
      <x:c r="A10" s="266" t="str">
        <x:v>Worksheets</x:v>
      </x:c>
      <x:c r="B10" s="133" t="str">
        <x:v>Read Me · Instructions · Latency Budget Calculator · ASCR-16 Spec Reference · Checklist Instructions · Deployment Checklist · Context Feed Registry · Deployment Parameters</x:v>
      </x:c>
    </x:row>
    <x:row r="11" ht="26.399999618530273" hidden="0" customHeight="1">
      <x:c r="A11" s="266" t="str">
        <x:v>Change control</x:v>
      </x:c>
      <x:c r="B11" s="133" t="str">
        <x:v>Versioned in lockstep with ASCR-16; review when workbook structure or authoritative referenced requirements change.</x:v>
      </x:c>
    </x:row>
    <x:row r="12" ht="26.399999618530273" hidden="0" customHeight="1">
      <x:c r="A12" s="266" t="str">
        <x:v>Scope limitation</x:v>
      </x:c>
      <x:c r="B12" s="133" t="str">
        <x:v>This workbook records configuration, measurements, calculations, evidence and sign-off state; it does not itself perform attestation, enforcement, monitoring, or incident response.</x:v>
      </x:c>
    </x:row>
    <x:row r="13" ht="39.599998474121094" hidden="0" customHeight="1">
      <x:c r="A13" s="266" t="str">
        <x:v>Before you operationalize this instrument</x:v>
      </x:c>
      <x:c r="B13" s="133" t="str">
        <x:v>Validate deployment-specific thresholds, ownership, feed classification, evidence sources, and authorization dependencies against the authoritative ASCR-16 policy before relying on this workbook.</x:v>
      </x:c>
    </x:row>
    <x:row r="14" ht="130" customHeight="1">
      <x:c r="A14" s="266" t="str">
        <x:v>What you must define before use</x:v>
      </x:c>
      <x:c r="B14" s="133" t="str">
        <x:v>Lineage-token RFC8785-JCS-v1 signing rule; boundary-hash canonical serialization domain prefix ASCR16_BOUNDARY_HASH_V1 with ordered fields schema_version, feed_id, context_payload_or_frame, cloud_timestamp, pipeline_svid, nonce, framing and schema_version=ascr16-boundary-v1.0; authenticated feed_id-to-pipeline_svid registry binding; boundary-envelope signature bytes (ASCR16-BOUNDARY-v1 domain separation plus raw SHA-256 digest); authenticated RFC 3339 UTC sub-second timestamps; cloud-attestation reference/hash/binding digest; application-key binding to pipeline_svid; tpm_pcr or platform_attestation reference profile; replay namespaces/retention; EP-18 signed handoff and EP-19 continuity verification; ASCR-16 custody-record contracts for dispatch, transit and delivery evidence; failure-evidence behavior; deployment-approved cryptographic-transition profile; direct end-to-end P50/P95/P99 measurement method; ASCR-04 hard-deadline and ASCR-06 residual-allocation references; deployment-event targets; ASCR-08 evidence-based classification; Vendor-supplied vs Operator-managed remediation; Atomic/Framed feed controls; and treatment of ungoverned custody gaps.</x:v>
      </x:c>
      <x:c r="C14" s="133"/>
      <x:c r="D14" s="133"/>
      <x:c r="E14" s="133"/>
      <x:c r="F14" s="133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66666"/>
  </x:sheetPr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80" style="1" hidden="0" customWidth="1"/>
    <x:col min="3" max="26" width="8.710000038146973" style="1" hidden="0" customWidth="1"/>
  </x:cols>
  <x:sheetData>
    <x:row r="1" ht="27.75" hidden="0" customHeight="1">
      <x:c r="B1" s="2" t="str">
        <x:v>ASCR-16-OE02-Latency-Budget-and-Deployment-Worksheet.xlsx — How to Use This Worksheet</x:v>
      </x:c>
    </x:row>
    <x:row r="3" ht="18" hidden="0" customHeight="1">
      <x:c r="B3" s="3" t="s">
        <x:v>0</x:v>
      </x:c>
    </x:row>
    <x:row r="4" ht="72" hidden="0" customHeight="1">
      <x:c r="B4" s="4" t="str">
        <x:v>This worksheet separates per-runtime-path ASCR-16 latency from model-deployment-event latency. Directly measured end-to-end P50/P95/P99 values are operational performance measurements and are assessed against deployment-approved performance targets. The per-command hard execution deadline is recorded separately in the Deployment Parameters sheet: ASCR-04 owns the end-to-end hard deadline and ASCR-06 receives a documented residual hard-timeout allocation where applicable. Component P95 values are diagnostic allocation/bottleneck indicators only and are not summed as a substitute for an end-to-end percentile measurement. Deployment-event controls are assessed against their deployment-validated targets and the authorized model-update window.</x:v>
      </x:c>
    </x:row>
    <x:row r="6" ht="18" hidden="0" customHeight="1">
      <x:c r="B6" s="3" t="s">
        <x:v>1</x:v>
      </x:c>
    </x:row>
    <x:row r="7" ht="39.75" hidden="0" customHeight="1">
      <x:c r="B7" s="4" t="str">
        <x:v>Before filling in this worksheet, collect: measured component P95 values for attribution; deployment-validated per-control targets; directly measured end-to-end runtime P95 and P99 from the same defined runtime-path population; each required deployment-event measurement/target; the ASCR-04 end-to-end hard execution deadline/reference; and any ASCR-06 residual hard-timeout allocation/reference. Document measurement start/end points, observation window, sample count, authenticated clock source, and timestamp precision. Do not use theoretical or vendor-quoted values as measured inputs.</x:v>
      </x:c>
    </x:row>
    <x:row r="9" ht="18" hidden="0" customHeight="1">
      <x:c r="B9" s="3" t="s">
        <x:v>2</x:v>
      </x:c>
    </x:row>
    <x:row r="10" ht="39.75" hidden="0" customHeight="1">
      <x:c r="B10" s="4" t="str">
        <x:v>Enter measured P95 values in the blue cells for ASCR-04, ASCR-06, OT protocol translation, and other upstream overhead. The published template intentionally leaves practitioner measurement cells blank.</x:v>
      </x:c>
    </x:row>
    <x:row r="12" ht="18" hidden="0" customHeight="1">
      <x:c r="B12" s="3" t="str">
        <x:v>Step 3 — Enter ASCR-16 runtime and deployment-event values (blue cells, Section ③)</x:v>
      </x:c>
    </x:row>
    <x:row r="13" ht="39.75" hidden="0" customHeight="1">
      <x:c r="B13" s="4" t="str">
        <x:v>Enter measured P95 values and the deployment-validated target for each ASCR-16 runtime and deployment-event control. Runtime-path controls and deployment-event controls are separate. EP-18 runtime measurement includes boundary-envelope verification, payload-hash recomputation, and signed handoff generation. Status formulas reference the target cell in the same row.</x:v>
      </x:c>
    </x:row>
    <x:row r="15" ht="18" hidden="0" customHeight="1">
      <x:c r="B15" s="3" t="s">
        <x:v>3</x:v>
      </x:c>
    </x:row>
    <x:row r="16" ht="39.75" hidden="0" customHeight="1">
      <x:c r="B16" s="4" t="str">
        <x:v>Section ④ remains INCOMPLETE until all required upstream, runtime P95/P99, deployment-event, deployment-target, direct end-to-end P95/P99, and deployment-approved P95/P99 performance-target inputs are populated. Direct end-to-end P95 and P99 are compared with their deployment-approved performance targets. Per-command hard-deadline and ASCR-06 residual-allocation evidence are verified separately through the Deployment Parameters sheet and Deployment Checklist.</x:v>
      </x:c>
    </x:row>
    <x:row r="18" ht="18" hidden="0" customHeight="1">
      <x:c r="B18" s="3" t="s">
        <x:v>4</x:v>
      </x:c>
    </x:row>
    <x:row r="19" ht="39.75" hidden="0" customHeight="1">
      <x:c r="B19" s="4" t="str">
        <x:v>Rows 47–50 report direct P95, direct P99, deployment-event/control-target findings, and the worksheet verdict. Include any generated finding in the ASCR-12 quarterly review.</x:v>
      </x:c>
    </x:row>
    <x:row r="21" ht="18" hidden="0" customHeight="1">
      <x:c r="B21" s="3" t="s">
        <x:v>5</x:v>
      </x:c>
    </x:row>
    <x:row r="22" ht="39.75" hidden="0" customHeight="1">
      <x:c r="B22" s="4" t="s">
        <x:v>6</x:v>
      </x:c>
    </x:row>
    <x:row r="23" ht="15.75" hidden="0" customHeight="1"/>
    <x:row r="24" ht="18" hidden="0" customHeight="1">
      <x:c r="B24" s="3" t="s">
        <x:v>7</x:v>
      </x:c>
    </x:row>
    <x:row r="25" ht="39.75" hidden="0" customHeight="1">
      <x:c r="B25" s="4" t="str">
        <x:v>See the 'ASCR-16 Spec Reference' sheet for runtime-path versus deployment-event reference targets, the 'Context Feed Registry' sheet for authenticated feed_id / pipeline_svid binding and per-feed Atomic/Framed controls, and the 'Deployment Parameters' sheet for cross-cutting deployment-defined values and authority references.</x:v>
      </x:c>
    </x:row>
    <x:row r="26" ht="15.75" hidden="0" customHeight="1"/>
    <x:row r="27" ht="15.75" hidden="0" customHeight="1"/>
    <x:row r="28" ht="15.75" hidden="0" customHeight="1"/>
    <x:row r="29" ht="15.75" hidden="0" customHeight="1"/>
    <x:row r="30" ht="15.75" hidden="0" customHeight="1"/>
    <x:row r="31" ht="15.75" hidden="0" customHeight="1"/>
    <x:row r="32" ht="15.75" hidden="0" customHeight="1"/>
    <x:row r="33" ht="15.75" hidden="0" customHeight="1"/>
    <x:row r="34" ht="15.75" hidden="0" customHeight="1"/>
    <x:row r="35" ht="15.75" hidden="0" customHeight="1"/>
    <x:row r="36" ht="15.75" hidden="0" customHeight="1"/>
    <x:row r="37" ht="15.75" hidden="0" customHeight="1"/>
    <x:row r="38" ht="15.75" hidden="0" customHeight="1"/>
    <x:row r="39" ht="15.75" hidden="0" customHeight="1"/>
    <x:row r="40" ht="15.75" hidden="0" customHeight="1"/>
    <x:row r="41" ht="15.75" hidden="0" customHeight="1"/>
    <x:row r="42" ht="15.75" hidden="0" customHeight="1"/>
    <x:row r="43" ht="15.75" hidden="0" customHeight="1"/>
    <x:row r="44" ht="15.75" hidden="0" customHeight="1"/>
    <x:row r="45" ht="15.75" hidden="0" customHeight="1"/>
    <x:row r="46" ht="15.75" hidden="0" customHeight="1"/>
    <x:row r="47" ht="15.75" hidden="0" customHeight="1"/>
    <x:row r="48" ht="15.75" hidden="0" customHeight="1"/>
    <x:row r="49" ht="15.75" hidden="0" customHeight="1"/>
    <x:row r="50" ht="15.75" hidden="0" customHeight="1"/>
    <x:row r="51" ht="15.75" hidden="0" customHeight="1"/>
    <x:row r="52" ht="15.75" hidden="0" customHeight="1"/>
    <x:row r="53" ht="15.75" hidden="0" customHeight="1"/>
    <x:row r="54" ht="15.75" hidden="0" customHeight="1"/>
    <x:row r="55" ht="15.75" hidden="0" customHeight="1"/>
    <x:row r="56" ht="15.75" hidden="0" customHeight="1"/>
    <x:row r="57" ht="15.75" hidden="0" customHeight="1"/>
    <x:row r="58" ht="15.75" hidden="0" customHeight="1"/>
    <x:row r="59" ht="15.75" hidden="0" customHeight="1"/>
    <x:row r="60" ht="15.75" hidden="0" customHeight="1"/>
    <x:row r="61" ht="15.75" hidden="0" customHeight="1"/>
    <x:row r="62" ht="15.75" hidden="0" customHeight="1"/>
    <x:row r="63" ht="15.75" hidden="0" customHeight="1"/>
    <x:row r="64" ht="15.75" hidden="0" customHeight="1"/>
    <x:row r="65" ht="15.75" hidden="0" customHeight="1"/>
    <x:row r="66" ht="15.75" hidden="0" customHeight="1"/>
    <x:row r="67" ht="15.75" hidden="0" customHeight="1"/>
    <x:row r="68" ht="15.75" hidden="0" customHeight="1"/>
    <x:row r="69" ht="15.75" hidden="0" customHeight="1"/>
    <x:row r="70" ht="15.75" hidden="0" customHeight="1"/>
    <x:row r="71" ht="15.75" hidden="0" customHeight="1"/>
    <x:row r="72" ht="15.75" hidden="0" customHeight="1"/>
    <x:row r="73" ht="15.75" hidden="0" customHeight="1"/>
    <x:row r="74" ht="15.75" hidden="0" customHeight="1"/>
    <x:row r="75" ht="15.75" hidden="0" customHeight="1"/>
    <x:row r="76" ht="15.75" hidden="0" customHeight="1"/>
    <x:row r="77" ht="15.75" hidden="0" customHeight="1"/>
    <x:row r="78" ht="15.75" hidden="0" customHeight="1"/>
    <x:row r="79" ht="15.75" hidden="0" customHeight="1"/>
    <x:row r="80" ht="15.75" hidden="0" customHeight="1"/>
    <x:row r="81" ht="15.75" hidden="0" customHeight="1"/>
    <x:row r="82" ht="15.75" hidden="0" customHeight="1"/>
    <x:row r="83" ht="15.75" hidden="0" customHeight="1"/>
    <x:row r="84" ht="15.75" hidden="0" customHeight="1"/>
    <x:row r="85" ht="15.75" hidden="0" customHeight="1"/>
    <x:row r="86" ht="15.75" hidden="0" customHeight="1"/>
    <x:row r="87" ht="15.75" hidden="0" customHeight="1"/>
    <x:row r="88" ht="15.75" hidden="0" customHeight="1"/>
    <x:row r="89" ht="15.75" hidden="0" customHeight="1"/>
    <x:row r="90" ht="15.75" hidden="0" customHeight="1"/>
    <x:row r="91" ht="15.75" hidden="0" customHeight="1"/>
    <x:row r="92" ht="15.75" hidden="0" customHeight="1"/>
    <x:row r="93" ht="15.75" hidden="0" customHeight="1"/>
    <x:row r="94" ht="15.75" hidden="0" customHeight="1"/>
    <x:row r="95" ht="15.75" hidden="0" customHeight="1"/>
    <x:row r="96" ht="15.75" hidden="0" customHeight="1"/>
    <x:row r="97" ht="15.75" hidden="0" customHeight="1"/>
    <x:row r="98" ht="15.75" hidden="0" customHeight="1"/>
    <x:row r="99" ht="15.75" hidden="0" customHeight="1"/>
    <x:row r="100" ht="15.75" hidden="0" customHeight="1"/>
    <x:row r="101" ht="15.75" hidden="0" customHeight="1"/>
    <x:row r="102" ht="15.75" hidden="0" customHeight="1"/>
    <x:row r="103" ht="15.75" hidden="0" customHeight="1"/>
    <x:row r="104" ht="15.75" hidden="0" customHeight="1"/>
    <x:row r="105" ht="15.75" hidden="0" customHeight="1"/>
    <x:row r="106" ht="15.75" hidden="0" customHeight="1"/>
    <x:row r="107" ht="15.75" hidden="0" customHeight="1"/>
    <x:row r="108" ht="15.75" hidden="0" customHeight="1"/>
    <x:row r="109" ht="15.75" hidden="0" customHeight="1"/>
    <x:row r="110" ht="15.75" hidden="0" customHeight="1"/>
    <x:row r="111" ht="15.75" hidden="0" customHeight="1"/>
    <x:row r="112" ht="15.75" hidden="0" customHeight="1"/>
    <x:row r="113" ht="15.75" hidden="0" customHeight="1"/>
    <x:row r="114" ht="15.75" hidden="0" customHeight="1"/>
    <x:row r="115" ht="15.75" hidden="0" customHeight="1"/>
    <x:row r="116" ht="15.75" hidden="0" customHeight="1"/>
    <x:row r="117" ht="15.75" hidden="0" customHeight="1"/>
    <x:row r="118" ht="15.75" hidden="0" customHeight="1"/>
    <x:row r="119" ht="15.75" hidden="0" customHeight="1"/>
    <x:row r="120" ht="15.75" hidden="0" customHeight="1"/>
    <x:row r="121" ht="15.75" hidden="0" customHeight="1"/>
    <x:row r="122" ht="15.75" hidden="0" customHeight="1"/>
    <x:row r="123" ht="15.75" hidden="0" customHeight="1"/>
    <x:row r="124" ht="15.75" hidden="0" customHeight="1"/>
    <x:row r="125" ht="15.75" hidden="0" customHeight="1"/>
    <x:row r="126" ht="15.75" hidden="0" customHeight="1"/>
    <x:row r="127" ht="15.75" hidden="0" customHeight="1"/>
    <x:row r="128" ht="15.75" hidden="0" customHeight="1"/>
    <x:row r="129" ht="15.75" hidden="0" customHeight="1"/>
    <x:row r="130" ht="15.75" hidden="0" customHeight="1"/>
    <x:row r="131" ht="15.75" hidden="0" customHeight="1"/>
    <x:row r="132" ht="15.75" hidden="0" customHeight="1"/>
    <x:row r="133" ht="15.75" hidden="0" customHeight="1"/>
    <x:row r="134" ht="15.75" hidden="0" customHeight="1"/>
    <x:row r="135" ht="15.75" hidden="0" customHeight="1"/>
    <x:row r="136" ht="15.75" hidden="0" customHeight="1"/>
    <x:row r="137" ht="15.75" hidden="0" customHeight="1"/>
    <x:row r="138" ht="15.75" hidden="0" customHeight="1"/>
    <x:row r="139" ht="15.75" hidden="0" customHeight="1"/>
    <x:row r="140" ht="15.75" hidden="0" customHeight="1"/>
    <x:row r="141" ht="15.75" hidden="0" customHeight="1"/>
    <x:row r="142" ht="15.75" hidden="0" customHeight="1"/>
    <x:row r="143" ht="15.75" hidden="0" customHeight="1"/>
    <x:row r="144" ht="15.75" hidden="0" customHeight="1"/>
    <x:row r="145" ht="15.75" hidden="0" customHeight="1"/>
    <x:row r="146" ht="15.75" hidden="0" customHeight="1"/>
    <x:row r="147" ht="15.75" hidden="0" customHeight="1"/>
    <x:row r="148" ht="15.75" hidden="0" customHeight="1"/>
    <x:row r="149" ht="15.75" hidden="0" customHeight="1"/>
    <x:row r="150" ht="15.75" hidden="0" customHeight="1"/>
    <x:row r="151" ht="15.75" hidden="0" customHeight="1"/>
    <x:row r="152" ht="15.75" hidden="0" customHeight="1"/>
    <x:row r="153" ht="15.75" hidden="0" customHeight="1"/>
    <x:row r="154" ht="15.75" hidden="0" customHeight="1"/>
    <x:row r="155" ht="15.75" hidden="0" customHeight="1"/>
    <x:row r="156" ht="15.75" hidden="0" customHeight="1"/>
    <x:row r="157" ht="15.75" hidden="0" customHeight="1"/>
    <x:row r="158" ht="15.75" hidden="0" customHeight="1"/>
    <x:row r="159" ht="15.75" hidden="0" customHeight="1"/>
    <x:row r="160" ht="15.75" hidden="0" customHeight="1"/>
    <x:row r="161" ht="15.75" hidden="0" customHeight="1"/>
    <x:row r="162" ht="15.75" hidden="0" customHeight="1"/>
    <x:row r="163" ht="15.75" hidden="0" customHeight="1"/>
    <x:row r="164" ht="15.75" hidden="0" customHeight="1"/>
    <x:row r="165" ht="15.75" hidden="0" customHeight="1"/>
    <x:row r="166" ht="15.75" hidden="0" customHeight="1"/>
    <x:row r="167" ht="15.75" hidden="0" customHeight="1"/>
    <x:row r="168" ht="15.75" hidden="0" customHeight="1"/>
    <x:row r="169" ht="15.75" hidden="0" customHeight="1"/>
    <x:row r="170" ht="15.75" hidden="0" customHeight="1"/>
    <x:row r="171" ht="15.75" hidden="0" customHeight="1"/>
    <x:row r="172" ht="15.75" hidden="0" customHeight="1"/>
    <x:row r="173" ht="15.75" hidden="0" customHeight="1"/>
    <x:row r="174" ht="15.75" hidden="0" customHeight="1"/>
    <x:row r="175" ht="15.75" hidden="0" customHeight="1"/>
    <x:row r="176" ht="15.75" hidden="0" customHeight="1"/>
    <x:row r="177" ht="15.75" hidden="0" customHeight="1"/>
    <x:row r="178" ht="15.75" hidden="0" customHeight="1"/>
    <x:row r="179" ht="15.75" hidden="0" customHeight="1"/>
    <x:row r="180" ht="15.75" hidden="0" customHeight="1"/>
    <x:row r="181" ht="15.75" hidden="0" customHeight="1"/>
    <x:row r="182" ht="15.75" hidden="0" customHeight="1"/>
    <x:row r="183" ht="15.75" hidden="0" customHeight="1"/>
    <x:row r="184" ht="15.75" hidden="0" customHeight="1"/>
    <x:row r="185" ht="15.75" hidden="0" customHeight="1"/>
    <x:row r="186" ht="15.75" hidden="0" customHeight="1"/>
    <x:row r="187" ht="15.75" hidden="0" customHeight="1"/>
    <x:row r="188" ht="15.75" hidden="0" customHeight="1"/>
    <x:row r="189" ht="15.75" hidden="0" customHeight="1"/>
    <x:row r="190" ht="15.75" hidden="0" customHeight="1"/>
    <x:row r="191" ht="15.75" hidden="0" customHeight="1"/>
    <x:row r="192" ht="15.75" hidden="0" customHeight="1"/>
    <x:row r="193" ht="15.75" hidden="0" customHeight="1"/>
    <x:row r="194" ht="15.75" hidden="0" customHeight="1"/>
    <x:row r="195" ht="15.75" hidden="0" customHeight="1"/>
    <x:row r="196" ht="15.75" hidden="0" customHeight="1"/>
    <x:row r="197" ht="15.75" hidden="0" customHeight="1"/>
    <x:row r="198" ht="15.75" hidden="0" customHeight="1"/>
    <x:row r="199" ht="15.75" hidden="0" customHeight="1"/>
    <x:row r="200" ht="15.75" hidden="0" customHeight="1"/>
    <x:row r="201" ht="15.75" hidden="0" customHeight="1"/>
    <x:row r="202" ht="15.75" hidden="0" customHeight="1"/>
    <x:row r="203" ht="15.75" hidden="0" customHeight="1"/>
    <x:row r="204" ht="15.75" hidden="0" customHeight="1"/>
    <x:row r="205" ht="15.75" hidden="0" customHeight="1"/>
    <x:row r="206" ht="15.75" hidden="0" customHeight="1"/>
    <x:row r="207" ht="15.75" hidden="0" customHeight="1"/>
    <x:row r="208" ht="15.75" hidden="0" customHeight="1"/>
    <x:row r="209" ht="15.75" hidden="0" customHeight="1"/>
    <x:row r="210" ht="15.75" hidden="0" customHeight="1"/>
    <x:row r="211" ht="15.75" hidden="0" customHeight="1"/>
    <x:row r="212" ht="15.75" hidden="0" customHeight="1"/>
    <x:row r="213" ht="15.75" hidden="0" customHeight="1"/>
    <x:row r="214" ht="15.75" hidden="0" customHeight="1"/>
    <x:row r="215" ht="15.75" hidden="0" customHeight="1"/>
    <x:row r="216" ht="15.75" hidden="0" customHeight="1"/>
    <x:row r="217" ht="15.75" hidden="0" customHeight="1"/>
    <x:row r="218" ht="15.75" hidden="0" customHeight="1"/>
    <x:row r="219" ht="15.75" hidden="0" customHeight="1"/>
    <x:row r="220" ht="15.75" hidden="0" customHeight="1"/>
    <x:row r="221" ht="15.75" hidden="0" customHeight="1"/>
    <x:row r="222" ht="15.75" hidden="0" customHeight="1"/>
    <x:row r="223" ht="15.75" hidden="0" customHeight="1"/>
    <x:row r="224" ht="15.75" hidden="0" customHeight="1"/>
    <x:row r="225" ht="15.75" hidden="0" customHeight="1"/>
    <x:row r="226" ht="15.75" hidden="0" customHeight="1"/>
    <x:row r="227" ht="15.75" hidden="0" customHeight="1"/>
    <x:row r="228" ht="15.75" hidden="0" customHeight="1"/>
    <x:row r="229" ht="15.75" hidden="0" customHeight="1"/>
    <x:row r="230" ht="15.75" hidden="0" customHeight="1"/>
    <x:row r="231" ht="15.75" hidden="0" customHeight="1"/>
    <x:row r="232" ht="15.75" hidden="0" customHeight="1"/>
    <x:row r="233" ht="15.75" hidden="0" customHeight="1"/>
    <x:row r="234" ht="15.75" hidden="0" customHeight="1"/>
    <x:row r="235" ht="15.75" hidden="0" customHeight="1"/>
    <x:row r="236" ht="15.75" hidden="0" customHeight="1"/>
    <x:row r="237" ht="15.75" hidden="0" customHeight="1"/>
    <x:row r="238" ht="15.75" hidden="0" customHeight="1"/>
    <x:row r="239" ht="15.75" hidden="0" customHeight="1"/>
    <x:row r="240" ht="15.75" hidden="0" customHeight="1"/>
    <x:row r="241" ht="15.75" hidden="0" customHeight="1"/>
    <x:row r="242" ht="15.75" hidden="0" customHeight="1"/>
    <x:row r="243" ht="15.75" hidden="0" customHeight="1"/>
    <x:row r="244" ht="15.75" hidden="0" customHeight="1"/>
    <x:row r="245" ht="15.75" hidden="0" customHeight="1"/>
    <x:row r="246" ht="15.75" hidden="0" customHeight="1"/>
    <x:row r="247" ht="15.75" hidden="0" customHeight="1"/>
    <x:row r="248" ht="15.75" hidden="0" customHeight="1"/>
    <x:row r="249" ht="15.75" hidden="0" customHeight="1"/>
    <x:row r="250" ht="15.75" hidden="0" customHeight="1"/>
    <x:row r="251" ht="15.75" hidden="0" customHeight="1"/>
    <x:row r="252" ht="15.75" hidden="0" customHeight="1"/>
    <x:row r="253" ht="15.75" hidden="0" customHeight="1"/>
    <x:row r="254" ht="15.75" hidden="0" customHeight="1"/>
    <x:row r="255" ht="15.75" hidden="0" customHeight="1"/>
    <x:row r="256" ht="15.75" hidden="0" customHeight="1"/>
    <x:row r="257" ht="15.75" hidden="0" customHeight="1"/>
    <x:row r="258" ht="15.75" hidden="0" customHeight="1"/>
    <x:row r="259" ht="15.75" hidden="0" customHeight="1"/>
    <x:row r="260" ht="15.75" hidden="0" customHeight="1"/>
    <x:row r="261" ht="15.75" hidden="0" customHeight="1"/>
    <x:row r="262" ht="15.75" hidden="0" customHeight="1"/>
    <x:row r="263" ht="15.75" hidden="0" customHeight="1"/>
    <x:row r="264" ht="15.75" hidden="0" customHeight="1"/>
    <x:row r="265" ht="15.75" hidden="0" customHeight="1"/>
    <x:row r="266" ht="15.75" hidden="0" customHeight="1"/>
    <x:row r="267" ht="15.75" hidden="0" customHeight="1"/>
    <x:row r="268" ht="15.75" hidden="0" customHeight="1"/>
    <x:row r="269" ht="15.75" hidden="0" customHeight="1"/>
    <x:row r="270" ht="15.75" hidden="0" customHeight="1"/>
    <x:row r="271" ht="15.75" hidden="0" customHeight="1"/>
    <x:row r="272" ht="15.75" hidden="0" customHeight="1"/>
    <x:row r="273" ht="15.75" hidden="0" customHeight="1"/>
    <x:row r="274" ht="15.75" hidden="0" customHeight="1"/>
    <x:row r="275" ht="15.75" hidden="0" customHeight="1"/>
    <x:row r="276" ht="15.75" hidden="0" customHeight="1"/>
    <x:row r="277" ht="15.75" hidden="0" customHeight="1"/>
    <x:row r="278" ht="15.75" hidden="0" customHeight="1"/>
    <x:row r="279" ht="15.75" hidden="0" customHeight="1"/>
    <x:row r="280" ht="15.75" hidden="0" customHeight="1"/>
    <x:row r="281" ht="15.75" hidden="0" customHeight="1"/>
    <x:row r="282" ht="15.75" hidden="0" customHeight="1"/>
    <x:row r="283" ht="15.75" hidden="0" customHeight="1"/>
    <x:row r="284" ht="15.75" hidden="0" customHeight="1"/>
    <x:row r="285" ht="15.75" hidden="0" customHeight="1"/>
    <x:row r="286" ht="15.75" hidden="0" customHeight="1"/>
    <x:row r="287" ht="15.75" hidden="0" customHeight="1"/>
    <x:row r="288" ht="15.75" hidden="0" customHeight="1"/>
    <x:row r="289" ht="15.75" hidden="0" customHeight="1"/>
    <x:row r="290" ht="15.75" hidden="0" customHeight="1"/>
    <x:row r="291" ht="15.75" hidden="0" customHeight="1"/>
    <x:row r="292" ht="15.75" hidden="0" customHeight="1"/>
    <x:row r="293" ht="15.75" hidden="0" customHeight="1"/>
    <x:row r="294" ht="15.75" hidden="0" customHeight="1"/>
    <x:row r="295" ht="15.75" hidden="0" customHeight="1"/>
    <x:row r="296" ht="15.75" hidden="0" customHeight="1"/>
    <x:row r="297" ht="15.75" hidden="0" customHeight="1"/>
    <x:row r="298" ht="15.75" hidden="0" customHeight="1"/>
    <x:row r="299" ht="15.75" hidden="0" customHeight="1"/>
    <x:row r="300" ht="15.75" hidden="0" customHeight="1"/>
    <x:row r="301" ht="15.75" hidden="0" customHeight="1"/>
    <x:row r="302" ht="15.75" hidden="0" customHeight="1"/>
    <x:row r="303" ht="15.75" hidden="0" customHeight="1"/>
    <x:row r="304" ht="15.75" hidden="0" customHeight="1"/>
    <x:row r="305" ht="15.75" hidden="0" customHeight="1"/>
    <x:row r="306" ht="15.75" hidden="0" customHeight="1"/>
    <x:row r="307" ht="15.75" hidden="0" customHeight="1"/>
    <x:row r="308" ht="15.75" hidden="0" customHeight="1"/>
    <x:row r="309" ht="15.75" hidden="0" customHeight="1"/>
    <x:row r="310" ht="15.75" hidden="0" customHeight="1"/>
    <x:row r="311" ht="15.75" hidden="0" customHeight="1"/>
    <x:row r="312" ht="15.75" hidden="0" customHeight="1"/>
    <x:row r="313" ht="15.75" hidden="0" customHeight="1"/>
    <x:row r="314" ht="15.75" hidden="0" customHeight="1"/>
    <x:row r="315" ht="15.75" hidden="0" customHeight="1"/>
    <x:row r="316" ht="15.75" hidden="0" customHeight="1"/>
    <x:row r="317" ht="15.75" hidden="0" customHeight="1"/>
    <x:row r="318" ht="15.75" hidden="0" customHeight="1"/>
    <x:row r="319" ht="15.75" hidden="0" customHeight="1"/>
    <x:row r="320" ht="15.75" hidden="0" customHeight="1"/>
    <x:row r="321" ht="15.75" hidden="0" customHeight="1"/>
    <x:row r="322" ht="15.75" hidden="0" customHeight="1"/>
    <x:row r="323" ht="15.75" hidden="0" customHeight="1"/>
    <x:row r="324" ht="15.75" hidden="0" customHeight="1"/>
    <x:row r="325" ht="15.75" hidden="0" customHeight="1"/>
    <x:row r="326" ht="15.75" hidden="0" customHeight="1"/>
    <x:row r="327" ht="15.75" hidden="0" customHeight="1"/>
    <x:row r="328" ht="15.75" hidden="0" customHeight="1"/>
    <x:row r="329" ht="15.75" hidden="0" customHeight="1"/>
    <x:row r="330" ht="15.75" hidden="0" customHeight="1"/>
    <x:row r="331" ht="15.75" hidden="0" customHeight="1"/>
    <x:row r="332" ht="15.75" hidden="0" customHeight="1"/>
    <x:row r="333" ht="15.75" hidden="0" customHeight="1"/>
    <x:row r="334" ht="15.75" hidden="0" customHeight="1"/>
    <x:row r="335" ht="15.75" hidden="0" customHeight="1"/>
    <x:row r="336" ht="15.75" hidden="0" customHeight="1"/>
    <x:row r="337" ht="15.75" hidden="0" customHeight="1"/>
    <x:row r="338" ht="15.75" hidden="0" customHeight="1"/>
    <x:row r="339" ht="15.75" hidden="0" customHeight="1"/>
    <x:row r="340" ht="15.75" hidden="0" customHeight="1"/>
    <x:row r="341" ht="15.75" hidden="0" customHeight="1"/>
    <x:row r="342" ht="15.75" hidden="0" customHeight="1"/>
    <x:row r="343" ht="15.75" hidden="0" customHeight="1"/>
    <x:row r="344" ht="15.75" hidden="0" customHeight="1"/>
    <x:row r="345" ht="15.75" hidden="0" customHeight="1"/>
    <x:row r="346" ht="15.75" hidden="0" customHeight="1"/>
    <x:row r="347" ht="15.75" hidden="0" customHeight="1"/>
    <x:row r="348" ht="15.75" hidden="0" customHeight="1"/>
    <x:row r="349" ht="15.75" hidden="0" customHeight="1"/>
    <x:row r="350" ht="15.75" hidden="0" customHeight="1"/>
    <x:row r="351" ht="15.75" hidden="0" customHeight="1"/>
    <x:row r="352" ht="15.75" hidden="0" customHeight="1"/>
    <x:row r="353" ht="15.75" hidden="0" customHeight="1"/>
    <x:row r="354" ht="15.75" hidden="0" customHeight="1"/>
    <x:row r="355" ht="15.75" hidden="0" customHeight="1"/>
    <x:row r="356" ht="15.75" hidden="0" customHeight="1"/>
    <x:row r="357" ht="15.75" hidden="0" customHeight="1"/>
    <x:row r="358" ht="15.75" hidden="0" customHeight="1"/>
    <x:row r="359" ht="15.75" hidden="0" customHeight="1"/>
    <x:row r="360" ht="15.75" hidden="0" customHeight="1"/>
    <x:row r="361" ht="15.75" hidden="0" customHeight="1"/>
    <x:row r="362" ht="15.75" hidden="0" customHeight="1"/>
    <x:row r="363" ht="15.75" hidden="0" customHeight="1"/>
    <x:row r="364" ht="15.75" hidden="0" customHeight="1"/>
    <x:row r="365" ht="15.75" hidden="0" customHeight="1"/>
    <x:row r="366" ht="15.75" hidden="0" customHeight="1"/>
    <x:row r="367" ht="15.75" hidden="0" customHeight="1"/>
    <x:row r="368" ht="15.75" hidden="0" customHeight="1"/>
    <x:row r="369" ht="15.75" hidden="0" customHeight="1"/>
    <x:row r="370" ht="15.75" hidden="0" customHeight="1"/>
    <x:row r="371" ht="15.75" hidden="0" customHeight="1"/>
    <x:row r="372" ht="15.75" hidden="0" customHeight="1"/>
    <x:row r="373" ht="15.75" hidden="0" customHeight="1"/>
    <x:row r="374" ht="15.75" hidden="0" customHeight="1"/>
    <x:row r="375" ht="15.75" hidden="0" customHeight="1"/>
    <x:row r="376" ht="15.75" hidden="0" customHeight="1"/>
    <x:row r="377" ht="15.75" hidden="0" customHeight="1"/>
    <x:row r="378" ht="15.75" hidden="0" customHeight="1"/>
    <x:row r="379" ht="15.75" hidden="0" customHeight="1"/>
    <x:row r="380" ht="15.75" hidden="0" customHeight="1"/>
    <x:row r="381" ht="15.75" hidden="0" customHeight="1"/>
    <x:row r="382" ht="15.75" hidden="0" customHeight="1"/>
    <x:row r="383" ht="15.75" hidden="0" customHeight="1"/>
    <x:row r="384" ht="15.75" hidden="0" customHeight="1"/>
    <x:row r="385" ht="15.75" hidden="0" customHeight="1"/>
    <x:row r="386" ht="15.75" hidden="0" customHeight="1"/>
    <x:row r="387" ht="15.75" hidden="0" customHeight="1"/>
    <x:row r="388" ht="15.75" hidden="0" customHeight="1"/>
    <x:row r="389" ht="15.75" hidden="0" customHeight="1"/>
    <x:row r="390" ht="15.75" hidden="0" customHeight="1"/>
    <x:row r="391" ht="15.75" hidden="0" customHeight="1"/>
    <x:row r="392" ht="15.75" hidden="0" customHeight="1"/>
    <x:row r="393" ht="15.75" hidden="0" customHeight="1"/>
    <x:row r="394" ht="15.75" hidden="0" customHeight="1"/>
    <x:row r="395" ht="15.75" hidden="0" customHeight="1"/>
    <x:row r="396" ht="15.75" hidden="0" customHeight="1"/>
    <x:row r="397" ht="15.75" hidden="0" customHeight="1"/>
    <x:row r="398" ht="15.75" hidden="0" customHeight="1"/>
    <x:row r="399" ht="15.75" hidden="0" customHeight="1"/>
    <x:row r="400" ht="15.75" hidden="0" customHeight="1"/>
    <x:row r="401" ht="15.75" hidden="0" customHeight="1"/>
    <x:row r="402" ht="15.75" hidden="0" customHeight="1"/>
    <x:row r="403" ht="15.75" hidden="0" customHeight="1"/>
    <x:row r="404" ht="15.75" hidden="0" customHeight="1"/>
    <x:row r="405" ht="15.75" hidden="0" customHeight="1"/>
    <x:row r="406" ht="15.75" hidden="0" customHeight="1"/>
    <x:row r="407" ht="15.75" hidden="0" customHeight="1"/>
    <x:row r="408" ht="15.75" hidden="0" customHeight="1"/>
    <x:row r="409" ht="15.75" hidden="0" customHeight="1"/>
    <x:row r="410" ht="15.75" hidden="0" customHeight="1"/>
    <x:row r="411" ht="15.75" hidden="0" customHeight="1"/>
    <x:row r="412" ht="15.75" hidden="0" customHeight="1"/>
    <x:row r="413" ht="15.75" hidden="0" customHeight="1"/>
    <x:row r="414" ht="15.75" hidden="0" customHeight="1"/>
    <x:row r="415" ht="15.75" hidden="0" customHeight="1"/>
    <x:row r="416" ht="15.75" hidden="0" customHeight="1"/>
    <x:row r="417" ht="15.75" hidden="0" customHeight="1"/>
    <x:row r="418" ht="15.75" hidden="0" customHeight="1"/>
    <x:row r="419" ht="15.75" hidden="0" customHeight="1"/>
    <x:row r="420" ht="15.75" hidden="0" customHeight="1"/>
    <x:row r="421" ht="15.75" hidden="0" customHeight="1"/>
    <x:row r="422" ht="15.75" hidden="0" customHeight="1"/>
    <x:row r="423" ht="15.75" hidden="0" customHeight="1"/>
    <x:row r="424" ht="15.75" hidden="0" customHeight="1"/>
    <x:row r="425" ht="15.75" hidden="0" customHeight="1"/>
    <x:row r="426" ht="15.75" hidden="0" customHeight="1"/>
    <x:row r="427" ht="15.75" hidden="0" customHeight="1"/>
    <x:row r="428" ht="15.75" hidden="0" customHeight="1"/>
    <x:row r="429" ht="15.75" hidden="0" customHeight="1"/>
    <x:row r="430" ht="15.75" hidden="0" customHeight="1"/>
    <x:row r="431" ht="15.75" hidden="0" customHeight="1"/>
    <x:row r="432" ht="15.75" hidden="0" customHeight="1"/>
    <x:row r="433" ht="15.75" hidden="0" customHeight="1"/>
    <x:row r="434" ht="15.75" hidden="0" customHeight="1"/>
    <x:row r="435" ht="15.75" hidden="0" customHeight="1"/>
    <x:row r="436" ht="15.75" hidden="0" customHeight="1"/>
    <x:row r="437" ht="15.75" hidden="0" customHeight="1"/>
    <x:row r="438" ht="15.75" hidden="0" customHeight="1"/>
    <x:row r="439" ht="15.75" hidden="0" customHeight="1"/>
    <x:row r="440" ht="15.75" hidden="0" customHeight="1"/>
    <x:row r="441" ht="15.75" hidden="0" customHeight="1"/>
    <x:row r="442" ht="15.75" hidden="0" customHeight="1"/>
    <x:row r="443" ht="15.75" hidden="0" customHeight="1"/>
    <x:row r="444" ht="15.75" hidden="0" customHeight="1"/>
    <x:row r="445" ht="15.75" hidden="0" customHeight="1"/>
    <x:row r="446" ht="15.75" hidden="0" customHeight="1"/>
    <x:row r="447" ht="15.75" hidden="0" customHeight="1"/>
    <x:row r="448" ht="15.75" hidden="0" customHeight="1"/>
    <x:row r="449" ht="15.75" hidden="0" customHeight="1"/>
    <x:row r="450" ht="15.75" hidden="0" customHeight="1"/>
    <x:row r="451" ht="15.75" hidden="0" customHeight="1"/>
    <x:row r="452" ht="15.75" hidden="0" customHeight="1"/>
    <x:row r="453" ht="15.75" hidden="0" customHeight="1"/>
    <x:row r="454" ht="15.75" hidden="0" customHeight="1"/>
    <x:row r="455" ht="15.75" hidden="0" customHeight="1"/>
    <x:row r="456" ht="15.75" hidden="0" customHeight="1"/>
    <x:row r="457" ht="15.75" hidden="0" customHeight="1"/>
    <x:row r="458" ht="15.75" hidden="0" customHeight="1"/>
    <x:row r="459" ht="15.75" hidden="0" customHeight="1"/>
    <x:row r="460" ht="15.75" hidden="0" customHeight="1"/>
    <x:row r="461" ht="15.75" hidden="0" customHeight="1"/>
    <x:row r="462" ht="15.75" hidden="0" customHeight="1"/>
    <x:row r="463" ht="15.75" hidden="0" customHeight="1"/>
    <x:row r="464" ht="15.75" hidden="0" customHeight="1"/>
    <x:row r="465" ht="15.75" hidden="0" customHeight="1"/>
    <x:row r="466" ht="15.75" hidden="0" customHeight="1"/>
    <x:row r="467" ht="15.75" hidden="0" customHeight="1"/>
    <x:row r="468" ht="15.75" hidden="0" customHeight="1"/>
    <x:row r="469" ht="15.75" hidden="0" customHeight="1"/>
    <x:row r="470" ht="15.75" hidden="0" customHeight="1"/>
    <x:row r="471" ht="15.75" hidden="0" customHeight="1"/>
    <x:row r="472" ht="15.75" hidden="0" customHeight="1"/>
    <x:row r="473" ht="15.75" hidden="0" customHeight="1"/>
    <x:row r="474" ht="15.75" hidden="0" customHeight="1"/>
    <x:row r="475" ht="15.75" hidden="0" customHeight="1"/>
    <x:row r="476" ht="15.75" hidden="0" customHeight="1"/>
    <x:row r="477" ht="15.75" hidden="0" customHeight="1"/>
    <x:row r="478" ht="15.75" hidden="0" customHeight="1"/>
    <x:row r="479" ht="15.75" hidden="0" customHeight="1"/>
    <x:row r="480" ht="15.75" hidden="0" customHeight="1"/>
    <x:row r="481" ht="15.75" hidden="0" customHeight="1"/>
    <x:row r="482" ht="15.75" hidden="0" customHeight="1"/>
    <x:row r="483" ht="15.75" hidden="0" customHeight="1"/>
    <x:row r="484" ht="15.75" hidden="0" customHeight="1"/>
    <x:row r="485" ht="15.75" hidden="0" customHeight="1"/>
    <x:row r="486" ht="15.75" hidden="0" customHeight="1"/>
    <x:row r="487" ht="15.75" hidden="0" customHeight="1"/>
    <x:row r="488" ht="15.75" hidden="0" customHeight="1"/>
    <x:row r="489" ht="15.75" hidden="0" customHeight="1"/>
    <x:row r="490" ht="15.75" hidden="0" customHeight="1"/>
    <x:row r="491" ht="15.75" hidden="0" customHeight="1"/>
    <x:row r="492" ht="15.75" hidden="0" customHeight="1"/>
    <x:row r="493" ht="15.75" hidden="0" customHeight="1"/>
    <x:row r="494" ht="15.75" hidden="0" customHeight="1"/>
    <x:row r="495" ht="15.75" hidden="0" customHeight="1"/>
    <x:row r="496" ht="15.75" hidden="0" customHeight="1"/>
    <x:row r="497" ht="15.75" hidden="0" customHeight="1"/>
    <x:row r="498" ht="15.75" hidden="0" customHeight="1"/>
    <x:row r="499" ht="15.75" hidden="0" customHeight="1"/>
    <x:row r="500" ht="15.75" hidden="0" customHeight="1"/>
    <x:row r="501" ht="15.75" hidden="0" customHeight="1"/>
    <x:row r="502" ht="15.75" hidden="0" customHeight="1"/>
    <x:row r="503" ht="15.75" hidden="0" customHeight="1"/>
    <x:row r="504" ht="15.75" hidden="0" customHeight="1"/>
    <x:row r="505" ht="15.75" hidden="0" customHeight="1"/>
    <x:row r="506" ht="15.75" hidden="0" customHeight="1"/>
    <x:row r="507" ht="15.75" hidden="0" customHeight="1"/>
    <x:row r="508" ht="15.75" hidden="0" customHeight="1"/>
    <x:row r="509" ht="15.75" hidden="0" customHeight="1"/>
    <x:row r="510" ht="15.75" hidden="0" customHeight="1"/>
    <x:row r="511" ht="15.75" hidden="0" customHeight="1"/>
    <x:row r="512" ht="15.75" hidden="0" customHeight="1"/>
    <x:row r="513" ht="15.75" hidden="0" customHeight="1"/>
    <x:row r="514" ht="15.75" hidden="0" customHeight="1"/>
    <x:row r="515" ht="15.75" hidden="0" customHeight="1"/>
    <x:row r="516" ht="15.75" hidden="0" customHeight="1"/>
    <x:row r="517" ht="15.75" hidden="0" customHeight="1"/>
    <x:row r="518" ht="15.75" hidden="0" customHeight="1"/>
    <x:row r="519" ht="15.75" hidden="0" customHeight="1"/>
    <x:row r="520" ht="15.75" hidden="0" customHeight="1"/>
    <x:row r="521" ht="15.75" hidden="0" customHeight="1"/>
    <x:row r="522" ht="15.75" hidden="0" customHeight="1"/>
    <x:row r="523" ht="15.75" hidden="0" customHeight="1"/>
    <x:row r="524" ht="15.75" hidden="0" customHeight="1"/>
    <x:row r="525" ht="15.75" hidden="0" customHeight="1"/>
    <x:row r="526" ht="15.75" hidden="0" customHeight="1"/>
    <x:row r="527" ht="15.75" hidden="0" customHeight="1"/>
    <x:row r="528" ht="15.75" hidden="0" customHeight="1"/>
    <x:row r="529" ht="15.75" hidden="0" customHeight="1"/>
    <x:row r="530" ht="15.75" hidden="0" customHeight="1"/>
    <x:row r="531" ht="15.75" hidden="0" customHeight="1"/>
    <x:row r="532" ht="15.75" hidden="0" customHeight="1"/>
    <x:row r="533" ht="15.75" hidden="0" customHeight="1"/>
    <x:row r="534" ht="15.75" hidden="0" customHeight="1"/>
    <x:row r="535" ht="15.75" hidden="0" customHeight="1"/>
    <x:row r="536" ht="15.75" hidden="0" customHeight="1"/>
    <x:row r="537" ht="15.75" hidden="0" customHeight="1"/>
    <x:row r="538" ht="15.75" hidden="0" customHeight="1"/>
    <x:row r="539" ht="15.75" hidden="0" customHeight="1"/>
    <x:row r="540" ht="15.75" hidden="0" customHeight="1"/>
    <x:row r="541" ht="15.75" hidden="0" customHeight="1"/>
    <x:row r="542" ht="15.75" hidden="0" customHeight="1"/>
    <x:row r="543" ht="15.75" hidden="0" customHeight="1"/>
    <x:row r="544" ht="15.75" hidden="0" customHeight="1"/>
    <x:row r="545" ht="15.75" hidden="0" customHeight="1"/>
    <x:row r="546" ht="15.75" hidden="0" customHeight="1"/>
    <x:row r="547" ht="15.75" hidden="0" customHeight="1"/>
    <x:row r="548" ht="15.75" hidden="0" customHeight="1"/>
    <x:row r="549" ht="15.75" hidden="0" customHeight="1"/>
    <x:row r="550" ht="15.75" hidden="0" customHeight="1"/>
    <x:row r="551" ht="15.75" hidden="0" customHeight="1"/>
    <x:row r="552" ht="15.75" hidden="0" customHeight="1"/>
    <x:row r="553" ht="15.75" hidden="0" customHeight="1"/>
    <x:row r="554" ht="15.75" hidden="0" customHeight="1"/>
    <x:row r="555" ht="15.75" hidden="0" customHeight="1"/>
    <x:row r="556" ht="15.75" hidden="0" customHeight="1"/>
    <x:row r="557" ht="15.75" hidden="0" customHeight="1"/>
    <x:row r="558" ht="15.75" hidden="0" customHeight="1"/>
    <x:row r="559" ht="15.75" hidden="0" customHeight="1"/>
    <x:row r="560" ht="15.75" hidden="0" customHeight="1"/>
    <x:row r="561" ht="15.75" hidden="0" customHeight="1"/>
    <x:row r="562" ht="15.75" hidden="0" customHeight="1"/>
    <x:row r="563" ht="15.75" hidden="0" customHeight="1"/>
    <x:row r="564" ht="15.75" hidden="0" customHeight="1"/>
    <x:row r="565" ht="15.75" hidden="0" customHeight="1"/>
    <x:row r="566" ht="15.75" hidden="0" customHeight="1"/>
    <x:row r="567" ht="15.75" hidden="0" customHeight="1"/>
    <x:row r="568" ht="15.75" hidden="0" customHeight="1"/>
    <x:row r="569" ht="15.75" hidden="0" customHeight="1"/>
    <x:row r="570" ht="15.75" hidden="0" customHeight="1"/>
    <x:row r="571" ht="15.75" hidden="0" customHeight="1"/>
    <x:row r="572" ht="15.75" hidden="0" customHeight="1"/>
    <x:row r="573" ht="15.75" hidden="0" customHeight="1"/>
    <x:row r="574" ht="15.75" hidden="0" customHeight="1"/>
    <x:row r="575" ht="15.75" hidden="0" customHeight="1"/>
    <x:row r="576" ht="15.75" hidden="0" customHeight="1"/>
    <x:row r="577" ht="15.75" hidden="0" customHeight="1"/>
    <x:row r="578" ht="15.75" hidden="0" customHeight="1"/>
    <x:row r="579" ht="15.75" hidden="0" customHeight="1"/>
    <x:row r="580" ht="15.75" hidden="0" customHeight="1"/>
    <x:row r="581" ht="15.75" hidden="0" customHeight="1"/>
    <x:row r="582" ht="15.75" hidden="0" customHeight="1"/>
    <x:row r="583" ht="15.75" hidden="0" customHeight="1"/>
    <x:row r="584" ht="15.75" hidden="0" customHeight="1"/>
    <x:row r="585" ht="15.75" hidden="0" customHeight="1"/>
    <x:row r="586" ht="15.75" hidden="0" customHeight="1"/>
    <x:row r="587" ht="15.75" hidden="0" customHeight="1"/>
    <x:row r="588" ht="15.75" hidden="0" customHeight="1"/>
    <x:row r="589" ht="15.75" hidden="0" customHeight="1"/>
    <x:row r="590" ht="15.75" hidden="0" customHeight="1"/>
    <x:row r="591" ht="15.75" hidden="0" customHeight="1"/>
    <x:row r="592" ht="15.75" hidden="0" customHeight="1"/>
    <x:row r="593" ht="15.75" hidden="0" customHeight="1"/>
    <x:row r="594" ht="15.75" hidden="0" customHeight="1"/>
    <x:row r="595" ht="15.75" hidden="0" customHeight="1"/>
    <x:row r="596" ht="15.75" hidden="0" customHeight="1"/>
    <x:row r="597" ht="15.75" hidden="0" customHeight="1"/>
    <x:row r="598" ht="15.75" hidden="0" customHeight="1"/>
    <x:row r="599" ht="15.75" hidden="0" customHeight="1"/>
    <x:row r="600" ht="15.75" hidden="0" customHeight="1"/>
    <x:row r="601" ht="15.75" hidden="0" customHeight="1"/>
    <x:row r="602" ht="15.75" hidden="0" customHeight="1"/>
    <x:row r="603" ht="15.75" hidden="0" customHeight="1"/>
    <x:row r="604" ht="15.75" hidden="0" customHeight="1"/>
    <x:row r="605" ht="15.75" hidden="0" customHeight="1"/>
    <x:row r="606" ht="15.75" hidden="0" customHeight="1"/>
    <x:row r="607" ht="15.75" hidden="0" customHeight="1"/>
    <x:row r="608" ht="15.75" hidden="0" customHeight="1"/>
    <x:row r="609" ht="15.75" hidden="0" customHeight="1"/>
    <x:row r="610" ht="15.75" hidden="0" customHeight="1"/>
    <x:row r="611" ht="15.75" hidden="0" customHeight="1"/>
    <x:row r="612" ht="15.75" hidden="0" customHeight="1"/>
    <x:row r="613" ht="15.75" hidden="0" customHeight="1"/>
    <x:row r="614" ht="15.75" hidden="0" customHeight="1"/>
    <x:row r="615" ht="15.75" hidden="0" customHeight="1"/>
    <x:row r="616" ht="15.75" hidden="0" customHeight="1"/>
    <x:row r="617" ht="15.75" hidden="0" customHeight="1"/>
    <x:row r="618" ht="15.75" hidden="0" customHeight="1"/>
    <x:row r="619" ht="15.75" hidden="0" customHeight="1"/>
    <x:row r="620" ht="15.75" hidden="0" customHeight="1"/>
    <x:row r="621" ht="15.75" hidden="0" customHeight="1"/>
    <x:row r="622" ht="15.75" hidden="0" customHeight="1"/>
    <x:row r="623" ht="15.75" hidden="0" customHeight="1"/>
    <x:row r="624" ht="15.75" hidden="0" customHeight="1"/>
    <x:row r="625" ht="15.75" hidden="0" customHeight="1"/>
    <x:row r="626" ht="15.75" hidden="0" customHeight="1"/>
    <x:row r="627" ht="15.75" hidden="0" customHeight="1"/>
    <x:row r="628" ht="15.75" hidden="0" customHeight="1"/>
    <x:row r="629" ht="15.75" hidden="0" customHeight="1"/>
    <x:row r="630" ht="15.75" hidden="0" customHeight="1"/>
    <x:row r="631" ht="15.75" hidden="0" customHeight="1"/>
    <x:row r="632" ht="15.75" hidden="0" customHeight="1"/>
    <x:row r="633" ht="15.75" hidden="0" customHeight="1"/>
    <x:row r="634" ht="15.75" hidden="0" customHeight="1"/>
    <x:row r="635" ht="15.75" hidden="0" customHeight="1"/>
    <x:row r="636" ht="15.75" hidden="0" customHeight="1"/>
    <x:row r="637" ht="15.75" hidden="0" customHeight="1"/>
    <x:row r="638" ht="15.75" hidden="0" customHeight="1"/>
    <x:row r="639" ht="15.75" hidden="0" customHeight="1"/>
    <x:row r="640" ht="15.75" hidden="0" customHeight="1"/>
    <x:row r="641" ht="15.75" hidden="0" customHeight="1"/>
    <x:row r="642" ht="15.75" hidden="0" customHeight="1"/>
    <x:row r="643" ht="15.75" hidden="0" customHeight="1"/>
    <x:row r="644" ht="15.75" hidden="0" customHeight="1"/>
    <x:row r="645" ht="15.75" hidden="0" customHeight="1"/>
    <x:row r="646" ht="15.75" hidden="0" customHeight="1"/>
    <x:row r="647" ht="15.75" hidden="0" customHeight="1"/>
    <x:row r="648" ht="15.75" hidden="0" customHeight="1"/>
    <x:row r="649" ht="15.75" hidden="0" customHeight="1"/>
    <x:row r="650" ht="15.75" hidden="0" customHeight="1"/>
    <x:row r="651" ht="15.75" hidden="0" customHeight="1"/>
    <x:row r="652" ht="15.75" hidden="0" customHeight="1"/>
    <x:row r="653" ht="15.75" hidden="0" customHeight="1"/>
    <x:row r="654" ht="15.75" hidden="0" customHeight="1"/>
    <x:row r="655" ht="15.75" hidden="0" customHeight="1"/>
    <x:row r="656" ht="15.75" hidden="0" customHeight="1"/>
    <x:row r="657" ht="15.75" hidden="0" customHeight="1"/>
    <x:row r="658" ht="15.75" hidden="0" customHeight="1"/>
    <x:row r="659" ht="15.75" hidden="0" customHeight="1"/>
    <x:row r="660" ht="15.75" hidden="0" customHeight="1"/>
    <x:row r="661" ht="15.75" hidden="0" customHeight="1"/>
    <x:row r="662" ht="15.75" hidden="0" customHeight="1"/>
    <x:row r="663" ht="15.75" hidden="0" customHeight="1"/>
    <x:row r="664" ht="15.75" hidden="0" customHeight="1"/>
    <x:row r="665" ht="15.75" hidden="0" customHeight="1"/>
    <x:row r="666" ht="15.75" hidden="0" customHeight="1"/>
    <x:row r="667" ht="15.75" hidden="0" customHeight="1"/>
    <x:row r="668" ht="15.75" hidden="0" customHeight="1"/>
    <x:row r="669" ht="15.75" hidden="0" customHeight="1"/>
    <x:row r="670" ht="15.75" hidden="0" customHeight="1"/>
    <x:row r="671" ht="15.75" hidden="0" customHeight="1"/>
    <x:row r="672" ht="15.75" hidden="0" customHeight="1"/>
    <x:row r="673" ht="15.75" hidden="0" customHeight="1"/>
    <x:row r="674" ht="15.75" hidden="0" customHeight="1"/>
    <x:row r="675" ht="15.75" hidden="0" customHeight="1"/>
    <x:row r="676" ht="15.75" hidden="0" customHeight="1"/>
    <x:row r="677" ht="15.75" hidden="0" customHeight="1"/>
    <x:row r="678" ht="15.75" hidden="0" customHeight="1"/>
    <x:row r="679" ht="15.75" hidden="0" customHeight="1"/>
    <x:row r="680" ht="15.75" hidden="0" customHeight="1"/>
    <x:row r="681" ht="15.75" hidden="0" customHeight="1"/>
    <x:row r="682" ht="15.75" hidden="0" customHeight="1"/>
    <x:row r="683" ht="15.75" hidden="0" customHeight="1"/>
    <x:row r="684" ht="15.75" hidden="0" customHeight="1"/>
    <x:row r="685" ht="15.75" hidden="0" customHeight="1"/>
    <x:row r="686" ht="15.75" hidden="0" customHeight="1"/>
    <x:row r="687" ht="15.75" hidden="0" customHeight="1"/>
    <x:row r="688" ht="15.75" hidden="0" customHeight="1"/>
    <x:row r="689" ht="15.75" hidden="0" customHeight="1"/>
    <x:row r="690" ht="15.75" hidden="0" customHeight="1"/>
    <x:row r="691" ht="15.75" hidden="0" customHeight="1"/>
    <x:row r="692" ht="15.75" hidden="0" customHeight="1"/>
    <x:row r="693" ht="15.75" hidden="0" customHeight="1"/>
    <x:row r="694" ht="15.75" hidden="0" customHeight="1"/>
    <x:row r="695" ht="15.75" hidden="0" customHeight="1"/>
    <x:row r="696" ht="15.75" hidden="0" customHeight="1"/>
    <x:row r="697" ht="15.75" hidden="0" customHeight="1"/>
    <x:row r="698" ht="15.75" hidden="0" customHeight="1"/>
    <x:row r="699" ht="15.75" hidden="0" customHeight="1"/>
    <x:row r="700" ht="15.75" hidden="0" customHeight="1"/>
    <x:row r="701" ht="15.75" hidden="0" customHeight="1"/>
    <x:row r="702" ht="15.75" hidden="0" customHeight="1"/>
    <x:row r="703" ht="15.75" hidden="0" customHeight="1"/>
    <x:row r="704" ht="15.75" hidden="0" customHeight="1"/>
    <x:row r="705" ht="15.75" hidden="0" customHeight="1"/>
    <x:row r="706" ht="15.75" hidden="0" customHeight="1"/>
    <x:row r="707" ht="15.75" hidden="0" customHeight="1"/>
    <x:row r="708" ht="15.75" hidden="0" customHeight="1"/>
    <x:row r="709" ht="15.75" hidden="0" customHeight="1"/>
    <x:row r="710" ht="15.75" hidden="0" customHeight="1"/>
    <x:row r="711" ht="15.75" hidden="0" customHeight="1"/>
    <x:row r="712" ht="15.75" hidden="0" customHeight="1"/>
    <x:row r="713" ht="15.75" hidden="0" customHeight="1"/>
    <x:row r="714" ht="15.75" hidden="0" customHeight="1"/>
    <x:row r="715" ht="15.75" hidden="0" customHeight="1"/>
    <x:row r="716" ht="15.75" hidden="0" customHeight="1"/>
    <x:row r="717" ht="15.75" hidden="0" customHeight="1"/>
    <x:row r="718" ht="15.75" hidden="0" customHeight="1"/>
    <x:row r="719" ht="15.75" hidden="0" customHeight="1"/>
    <x:row r="720" ht="15.75" hidden="0" customHeight="1"/>
    <x:row r="721" ht="15.75" hidden="0" customHeight="1"/>
    <x:row r="722" ht="15.75" hidden="0" customHeight="1"/>
    <x:row r="723" ht="15.75" hidden="0" customHeight="1"/>
    <x:row r="724" ht="15.75" hidden="0" customHeight="1"/>
    <x:row r="725" ht="15.75" hidden="0" customHeight="1"/>
    <x:row r="726" ht="15.75" hidden="0" customHeight="1"/>
    <x:row r="727" ht="15.75" hidden="0" customHeight="1"/>
    <x:row r="728" ht="15.75" hidden="0" customHeight="1"/>
    <x:row r="729" ht="15.75" hidden="0" customHeight="1"/>
    <x:row r="730" ht="15.75" hidden="0" customHeight="1"/>
    <x:row r="731" ht="15.75" hidden="0" customHeight="1"/>
    <x:row r="732" ht="15.75" hidden="0" customHeight="1"/>
    <x:row r="733" ht="15.75" hidden="0" customHeight="1"/>
    <x:row r="734" ht="15.75" hidden="0" customHeight="1"/>
    <x:row r="735" ht="15.75" hidden="0" customHeight="1"/>
    <x:row r="736" ht="15.75" hidden="0" customHeight="1"/>
    <x:row r="737" ht="15.75" hidden="0" customHeight="1"/>
    <x:row r="738" ht="15.75" hidden="0" customHeight="1"/>
    <x:row r="739" ht="15.75" hidden="0" customHeight="1"/>
    <x:row r="740" ht="15.75" hidden="0" customHeight="1"/>
    <x:row r="741" ht="15.75" hidden="0" customHeight="1"/>
    <x:row r="742" ht="15.75" hidden="0" customHeight="1"/>
    <x:row r="743" ht="15.75" hidden="0" customHeight="1"/>
    <x:row r="744" ht="15.75" hidden="0" customHeight="1"/>
    <x:row r="745" ht="15.75" hidden="0" customHeight="1"/>
    <x:row r="746" ht="15.75" hidden="0" customHeight="1"/>
    <x:row r="747" ht="15.75" hidden="0" customHeight="1"/>
    <x:row r="748" ht="15.75" hidden="0" customHeight="1"/>
    <x:row r="749" ht="15.75" hidden="0" customHeight="1"/>
    <x:row r="750" ht="15.75" hidden="0" customHeight="1"/>
    <x:row r="751" ht="15.75" hidden="0" customHeight="1"/>
    <x:row r="752" ht="15.75" hidden="0" customHeight="1"/>
    <x:row r="753" ht="15.75" hidden="0" customHeight="1"/>
    <x:row r="754" ht="15.75" hidden="0" customHeight="1"/>
    <x:row r="755" ht="15.75" hidden="0" customHeight="1"/>
    <x:row r="756" ht="15.75" hidden="0" customHeight="1"/>
    <x:row r="757" ht="15.75" hidden="0" customHeight="1"/>
    <x:row r="758" ht="15.75" hidden="0" customHeight="1"/>
    <x:row r="759" ht="15.75" hidden="0" customHeight="1"/>
    <x:row r="760" ht="15.75" hidden="0" customHeight="1"/>
    <x:row r="761" ht="15.75" hidden="0" customHeight="1"/>
    <x:row r="762" ht="15.75" hidden="0" customHeight="1"/>
    <x:row r="763" ht="15.75" hidden="0" customHeight="1"/>
    <x:row r="764" ht="15.75" hidden="0" customHeight="1"/>
    <x:row r="765" ht="15.75" hidden="0" customHeight="1"/>
    <x:row r="766" ht="15.75" hidden="0" customHeight="1"/>
    <x:row r="767" ht="15.75" hidden="0" customHeight="1"/>
    <x:row r="768" ht="15.75" hidden="0" customHeight="1"/>
    <x:row r="769" ht="15.75" hidden="0" customHeight="1"/>
    <x:row r="770" ht="15.75" hidden="0" customHeight="1"/>
    <x:row r="771" ht="15.75" hidden="0" customHeight="1"/>
    <x:row r="772" ht="15.75" hidden="0" customHeight="1"/>
    <x:row r="773" ht="15.75" hidden="0" customHeight="1"/>
    <x:row r="774" ht="15.75" hidden="0" customHeight="1"/>
    <x:row r="775" ht="15.75" hidden="0" customHeight="1"/>
    <x:row r="776" ht="15.75" hidden="0" customHeight="1"/>
    <x:row r="777" ht="15.75" hidden="0" customHeight="1"/>
    <x:row r="778" ht="15.75" hidden="0" customHeight="1"/>
    <x:row r="779" ht="15.75" hidden="0" customHeight="1"/>
    <x:row r="780" ht="15.75" hidden="0" customHeight="1"/>
    <x:row r="781" ht="15.75" hidden="0" customHeight="1"/>
    <x:row r="782" ht="15.75" hidden="0" customHeight="1"/>
    <x:row r="783" ht="15.75" hidden="0" customHeight="1"/>
    <x:row r="784" ht="15.75" hidden="0" customHeight="1"/>
    <x:row r="785" ht="15.75" hidden="0" customHeight="1"/>
    <x:row r="786" ht="15.75" hidden="0" customHeight="1"/>
    <x:row r="787" ht="15.75" hidden="0" customHeight="1"/>
    <x:row r="788" ht="15.75" hidden="0" customHeight="1"/>
    <x:row r="789" ht="15.75" hidden="0" customHeight="1"/>
    <x:row r="790" ht="15.75" hidden="0" customHeight="1"/>
    <x:row r="791" ht="15.75" hidden="0" customHeight="1"/>
    <x:row r="792" ht="15.75" hidden="0" customHeight="1"/>
    <x:row r="793" ht="15.75" hidden="0" customHeight="1"/>
    <x:row r="794" ht="15.75" hidden="0" customHeight="1"/>
    <x:row r="795" ht="15.75" hidden="0" customHeight="1"/>
    <x:row r="796" ht="15.75" hidden="0" customHeight="1"/>
    <x:row r="797" ht="15.75" hidden="0" customHeight="1"/>
    <x:row r="798" ht="15.75" hidden="0" customHeight="1"/>
    <x:row r="799" ht="15.75" hidden="0" customHeight="1"/>
    <x:row r="800" ht="15.75" hidden="0" customHeight="1"/>
    <x:row r="801" ht="15.75" hidden="0" customHeight="1"/>
    <x:row r="802" ht="15.75" hidden="0" customHeight="1"/>
    <x:row r="803" ht="15.75" hidden="0" customHeight="1"/>
    <x:row r="804" ht="15.75" hidden="0" customHeight="1"/>
    <x:row r="805" ht="15.75" hidden="0" customHeight="1"/>
    <x:row r="806" ht="15.75" hidden="0" customHeight="1"/>
    <x:row r="807" ht="15.75" hidden="0" customHeight="1"/>
    <x:row r="808" ht="15.75" hidden="0" customHeight="1"/>
    <x:row r="809" ht="15.75" hidden="0" customHeight="1"/>
    <x:row r="810" ht="15.75" hidden="0" customHeight="1"/>
    <x:row r="811" ht="15.75" hidden="0" customHeight="1"/>
    <x:row r="812" ht="15.75" hidden="0" customHeight="1"/>
    <x:row r="813" ht="15.75" hidden="0" customHeight="1"/>
    <x:row r="814" ht="15.75" hidden="0" customHeight="1"/>
    <x:row r="815" ht="15.75" hidden="0" customHeight="1"/>
    <x:row r="816" ht="15.75" hidden="0" customHeight="1"/>
    <x:row r="817" ht="15.75" hidden="0" customHeight="1"/>
    <x:row r="818" ht="15.75" hidden="0" customHeight="1"/>
    <x:row r="819" ht="15.75" hidden="0" customHeight="1"/>
    <x:row r="820" ht="15.75" hidden="0" customHeight="1"/>
    <x:row r="821" ht="15.75" hidden="0" customHeight="1"/>
    <x:row r="822" ht="15.75" hidden="0" customHeight="1"/>
    <x:row r="823" ht="15.75" hidden="0" customHeight="1"/>
    <x:row r="824" ht="15.75" hidden="0" customHeight="1"/>
    <x:row r="825" ht="15.75" hidden="0" customHeight="1"/>
    <x:row r="826" ht="15.75" hidden="0" customHeight="1"/>
    <x:row r="827" ht="15.75" hidden="0" customHeight="1"/>
    <x:row r="828" ht="15.75" hidden="0" customHeight="1"/>
    <x:row r="829" ht="15.75" hidden="0" customHeight="1"/>
    <x:row r="830" ht="15.75" hidden="0" customHeight="1"/>
    <x:row r="831" ht="15.75" hidden="0" customHeight="1"/>
    <x:row r="832" ht="15.75" hidden="0" customHeight="1"/>
    <x:row r="833" ht="15.75" hidden="0" customHeight="1"/>
    <x:row r="834" ht="15.75" hidden="0" customHeight="1"/>
    <x:row r="835" ht="15.75" hidden="0" customHeight="1"/>
    <x:row r="836" ht="15.75" hidden="0" customHeight="1"/>
    <x:row r="837" ht="15.75" hidden="0" customHeight="1"/>
    <x:row r="838" ht="15.75" hidden="0" customHeight="1"/>
    <x:row r="839" ht="15.75" hidden="0" customHeight="1"/>
    <x:row r="840" ht="15.75" hidden="0" customHeight="1"/>
    <x:row r="841" ht="15.75" hidden="0" customHeight="1"/>
    <x:row r="842" ht="15.75" hidden="0" customHeight="1"/>
    <x:row r="843" ht="15.75" hidden="0" customHeight="1"/>
    <x:row r="844" ht="15.75" hidden="0" customHeight="1"/>
    <x:row r="845" ht="15.75" hidden="0" customHeight="1"/>
    <x:row r="846" ht="15.75" hidden="0" customHeight="1"/>
    <x:row r="847" ht="15.75" hidden="0" customHeight="1"/>
    <x:row r="848" ht="15.75" hidden="0" customHeight="1"/>
    <x:row r="849" ht="15.75" hidden="0" customHeight="1"/>
    <x:row r="850" ht="15.75" hidden="0" customHeight="1"/>
    <x:row r="851" ht="15.75" hidden="0" customHeight="1"/>
    <x:row r="852" ht="15.75" hidden="0" customHeight="1"/>
    <x:row r="853" ht="15.75" hidden="0" customHeight="1"/>
    <x:row r="854" ht="15.75" hidden="0" customHeight="1"/>
    <x:row r="855" ht="15.75" hidden="0" customHeight="1"/>
    <x:row r="856" ht="15.75" hidden="0" customHeight="1"/>
    <x:row r="857" ht="15.75" hidden="0" customHeight="1"/>
    <x:row r="858" ht="15.75" hidden="0" customHeight="1"/>
    <x:row r="859" ht="15.75" hidden="0" customHeight="1"/>
    <x:row r="860" ht="15.75" hidden="0" customHeight="1"/>
    <x:row r="861" ht="15.75" hidden="0" customHeight="1"/>
    <x:row r="862" ht="15.75" hidden="0" customHeight="1"/>
    <x:row r="863" ht="15.75" hidden="0" customHeight="1"/>
    <x:row r="864" ht="15.75" hidden="0" customHeight="1"/>
    <x:row r="865" ht="15.75" hidden="0" customHeight="1"/>
    <x:row r="866" ht="15.75" hidden="0" customHeight="1"/>
    <x:row r="867" ht="15.75" hidden="0" customHeight="1"/>
    <x:row r="868" ht="15.75" hidden="0" customHeight="1"/>
    <x:row r="869" ht="15.75" hidden="0" customHeight="1"/>
    <x:row r="870" ht="15.75" hidden="0" customHeight="1"/>
    <x:row r="871" ht="15.75" hidden="0" customHeight="1"/>
    <x:row r="872" ht="15.75" hidden="0" customHeight="1"/>
    <x:row r="873" ht="15.75" hidden="0" customHeight="1"/>
    <x:row r="874" ht="15.75" hidden="0" customHeight="1"/>
    <x:row r="875" ht="15.75" hidden="0" customHeight="1"/>
    <x:row r="876" ht="15.75" hidden="0" customHeight="1"/>
    <x:row r="877" ht="15.75" hidden="0" customHeight="1"/>
    <x:row r="878" ht="15.75" hidden="0" customHeight="1"/>
    <x:row r="879" ht="15.75" hidden="0" customHeight="1"/>
    <x:row r="880" ht="15.75" hidden="0" customHeight="1"/>
    <x:row r="881" ht="15.75" hidden="0" customHeight="1"/>
    <x:row r="882" ht="15.75" hidden="0" customHeight="1"/>
    <x:row r="883" ht="15.75" hidden="0" customHeight="1"/>
    <x:row r="884" ht="15.75" hidden="0" customHeight="1"/>
    <x:row r="885" ht="15.75" hidden="0" customHeight="1"/>
    <x:row r="886" ht="15.75" hidden="0" customHeight="1"/>
    <x:row r="887" ht="15.75" hidden="0" customHeight="1"/>
    <x:row r="888" ht="15.75" hidden="0" customHeight="1"/>
    <x:row r="889" ht="15.75" hidden="0" customHeight="1"/>
    <x:row r="890" ht="15.75" hidden="0" customHeight="1"/>
    <x:row r="891" ht="15.75" hidden="0" customHeight="1"/>
    <x:row r="892" ht="15.75" hidden="0" customHeight="1"/>
    <x:row r="893" ht="15.75" hidden="0" customHeight="1"/>
    <x:row r="894" ht="15.75" hidden="0" customHeight="1"/>
    <x:row r="895" ht="15.75" hidden="0" customHeight="1"/>
    <x:row r="896" ht="15.75" hidden="0" customHeight="1"/>
    <x:row r="897" ht="15.75" hidden="0" customHeight="1"/>
    <x:row r="898" ht="15.75" hidden="0" customHeight="1"/>
    <x:row r="899" ht="15.75" hidden="0" customHeight="1"/>
    <x:row r="900" ht="15.75" hidden="0" customHeight="1"/>
    <x:row r="901" ht="15.75" hidden="0" customHeight="1"/>
    <x:row r="902" ht="15.75" hidden="0" customHeight="1"/>
    <x:row r="903" ht="15.75" hidden="0" customHeight="1"/>
    <x:row r="904" ht="15.75" hidden="0" customHeight="1"/>
    <x:row r="905" ht="15.75" hidden="0" customHeight="1"/>
    <x:row r="906" ht="15.75" hidden="0" customHeight="1"/>
    <x:row r="907" ht="15.75" hidden="0" customHeight="1"/>
    <x:row r="908" ht="15.75" hidden="0" customHeight="1"/>
    <x:row r="909" ht="15.75" hidden="0" customHeight="1"/>
    <x:row r="910" ht="15.75" hidden="0" customHeight="1"/>
    <x:row r="911" ht="15.75" hidden="0" customHeight="1"/>
    <x:row r="912" ht="15.75" hidden="0" customHeight="1"/>
    <x:row r="913" ht="15.75" hidden="0" customHeight="1"/>
    <x:row r="914" ht="15.75" hidden="0" customHeight="1"/>
    <x:row r="915" ht="15.75" hidden="0" customHeight="1"/>
    <x:row r="916" ht="15.75" hidden="0" customHeight="1"/>
    <x:row r="917" ht="15.75" hidden="0" customHeight="1"/>
    <x:row r="918" ht="15.75" hidden="0" customHeight="1"/>
    <x:row r="919" ht="15.75" hidden="0" customHeight="1"/>
    <x:row r="920" ht="15.75" hidden="0" customHeight="1"/>
    <x:row r="921" ht="15.75" hidden="0" customHeight="1"/>
    <x:row r="922" ht="15.75" hidden="0" customHeight="1"/>
    <x:row r="923" ht="15.75" hidden="0" customHeight="1"/>
    <x:row r="924" ht="15.75" hidden="0" customHeight="1"/>
    <x:row r="925" ht="15.75" hidden="0" customHeight="1"/>
    <x:row r="926" ht="15.75" hidden="0" customHeight="1"/>
    <x:row r="927" ht="15.75" hidden="0" customHeight="1"/>
    <x:row r="928" ht="15.75" hidden="0" customHeight="1"/>
    <x:row r="929" ht="15.75" hidden="0" customHeight="1"/>
    <x:row r="930" ht="15.75" hidden="0" customHeight="1"/>
    <x:row r="931" ht="15.75" hidden="0" customHeight="1"/>
    <x:row r="932" ht="15.75" hidden="0" customHeight="1"/>
    <x:row r="933" ht="15.75" hidden="0" customHeight="1"/>
    <x:row r="934" ht="15.75" hidden="0" customHeight="1"/>
    <x:row r="935" ht="15.75" hidden="0" customHeight="1"/>
    <x:row r="936" ht="15.75" hidden="0" customHeight="1"/>
    <x:row r="937" ht="15.75" hidden="0" customHeight="1"/>
    <x:row r="938" ht="15.75" hidden="0" customHeight="1"/>
    <x:row r="939" ht="15.75" hidden="0" customHeight="1"/>
    <x:row r="940" ht="15.75" hidden="0" customHeight="1"/>
    <x:row r="941" ht="15.75" hidden="0" customHeight="1"/>
    <x:row r="942" ht="15.75" hidden="0" customHeight="1"/>
    <x:row r="943" ht="15.75" hidden="0" customHeight="1"/>
    <x:row r="944" ht="15.75" hidden="0" customHeight="1"/>
    <x:row r="945" ht="15.75" hidden="0" customHeight="1"/>
    <x:row r="946" ht="15.75" hidden="0" customHeight="1"/>
    <x:row r="947" ht="15.75" hidden="0" customHeight="1"/>
    <x:row r="948" ht="15.75" hidden="0" customHeight="1"/>
    <x:row r="949" ht="15.75" hidden="0" customHeight="1"/>
    <x:row r="950" ht="15.75" hidden="0" customHeight="1"/>
    <x:row r="951" ht="15.75" hidden="0" customHeight="1"/>
    <x:row r="952" ht="15.75" hidden="0" customHeight="1"/>
    <x:row r="953" ht="15.75" hidden="0" customHeight="1"/>
    <x:row r="954" ht="15.75" hidden="0" customHeight="1"/>
    <x:row r="955" ht="15.75" hidden="0" customHeight="1"/>
    <x:row r="956" ht="15.75" hidden="0" customHeight="1"/>
    <x:row r="957" ht="15.75" hidden="0" customHeight="1"/>
    <x:row r="958" ht="15.75" hidden="0" customHeight="1"/>
    <x:row r="959" ht="15.75" hidden="0" customHeight="1"/>
    <x:row r="960" ht="15.75" hidden="0" customHeight="1"/>
    <x:row r="961" ht="15.75" hidden="0" customHeight="1"/>
    <x:row r="962" ht="15.75" hidden="0" customHeight="1"/>
    <x:row r="963" ht="15.75" hidden="0" customHeight="1"/>
    <x:row r="964" ht="15.75" hidden="0" customHeight="1"/>
    <x:row r="965" ht="15.75" hidden="0" customHeight="1"/>
    <x:row r="966" ht="15.75" hidden="0" customHeight="1"/>
    <x:row r="967" ht="15.75" hidden="0" customHeight="1"/>
    <x:row r="968" ht="15.75" hidden="0" customHeight="1"/>
    <x:row r="969" ht="15.75" hidden="0" customHeight="1"/>
    <x:row r="970" ht="15.75" hidden="0" customHeight="1"/>
    <x:row r="971" ht="15.75" hidden="0" customHeight="1"/>
    <x:row r="972" ht="15.75" hidden="0" customHeight="1"/>
    <x:row r="973" ht="15.75" hidden="0" customHeight="1"/>
    <x:row r="974" ht="15.75" hidden="0" customHeight="1"/>
    <x:row r="975" ht="15.75" hidden="0" customHeight="1"/>
    <x:row r="976" ht="15.75" hidden="0" customHeight="1"/>
    <x:row r="977" ht="15.75" hidden="0" customHeight="1"/>
    <x:row r="978" ht="15.75" hidden="0" customHeight="1"/>
    <x:row r="979" ht="15.75" hidden="0" customHeight="1"/>
    <x:row r="980" ht="15.75" hidden="0" customHeight="1"/>
    <x:row r="981" ht="15.75" hidden="0" customHeight="1"/>
    <x:row r="982" ht="15.75" hidden="0" customHeight="1"/>
    <x:row r="983" ht="15.75" hidden="0" customHeight="1"/>
    <x:row r="984" ht="15.75" hidden="0" customHeight="1"/>
    <x:row r="985" ht="15.75" hidden="0" customHeight="1"/>
    <x:row r="986" ht="15.75" hidden="0" customHeight="1"/>
    <x:row r="987" ht="15.75" hidden="0" customHeight="1"/>
    <x:row r="988" ht="15.75" hidden="0" customHeight="1"/>
    <x:row r="989" ht="15.75" hidden="0" customHeight="1"/>
    <x:row r="990" ht="15.75" hidden="0" customHeight="1"/>
    <x:row r="991" ht="15.75" hidden="0" customHeight="1"/>
    <x:row r="992" ht="15.75" hidden="0" customHeight="1"/>
    <x:row r="993" ht="15.75" hidden="0" customHeight="1"/>
    <x:row r="994" ht="15.75" hidden="0" customHeight="1"/>
    <x:row r="995" ht="15.75" hidden="0" customHeight="1"/>
    <x:row r="996" ht="15.75" hidden="0" customHeight="1"/>
    <x:row r="997" ht="15.75" hidden="0" customHeight="1"/>
    <x:row r="998" ht="15.75" hidden="0" customHeight="1"/>
    <x:row r="999" ht="15.75" hidden="0" customHeight="1"/>
    <x:row r="1000" ht="15.75" hidden="0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48" hidden="0" customWidth="1"/>
    <x:col min="3" max="3" width="20" hidden="0" customWidth="1"/>
    <x:col min="4" max="4" width="20" hidden="0" customWidth="1"/>
    <x:col min="5" max="5" width="18" hidden="0" customWidth="1"/>
    <x:col min="6" max="6" width="28" hidden="0" customWidth="1"/>
    <x:col min="7" max="7" width="36" hidden="0" customWidth="1"/>
  </x:cols>
  <x:sheetData>
    <x:row r="1" ht="31.5" customHeight="1">
      <x:c r="A1" s="364"/>
      <x:c r="B1" s="367" t="str">
        <x:v>ASCR-16-OE02-Latency-Budget-and-Deployment-Worksheet.xlsx  |  Latency Budget Worksheet</x:v>
      </x:c>
      <x:c r="C1" s="367"/>
      <x:c r="D1" s="367"/>
      <x:c r="E1" s="367"/>
      <x:c r="F1" s="367"/>
      <x:c r="G1" s="367"/>
    </x:row>
    <x:row r="2" ht="18" customHeight="1">
      <x:c r="A2" s="364"/>
      <x:c r="B2" s="370" t="str">
        <x:v>Cloud-to-Edge Trust Chain  ·  Companion to ASCR-16 v1.0 Section 5  ·  Version 1.0 — June 2026</x:v>
      </x:c>
      <x:c r="C2" s="370"/>
      <x:c r="D2" s="370"/>
      <x:c r="E2" s="370"/>
      <x:c r="F2" s="370"/>
      <x:c r="G2" s="370"/>
    </x:row>
    <x:row r="3" ht="18" customHeight="1">
      <x:c r="A3" s="364"/>
      <x:c r="B3" s="371" t="str">
        <x:v>Blue cells are user inputs (measured P95/P99 values and deployment-validated targets). Black cells are formulas or governed references — do not edit formula cells.</x:v>
      </x:c>
      <x:c r="C3" s="371"/>
      <x:c r="D3" s="371"/>
      <x:c r="E3" s="371"/>
      <x:c r="F3" s="371"/>
      <x:c r="G3" s="371"/>
    </x:row>
    <x:row r="4">
      <x:c r="A4" s="364"/>
      <x:c r="B4" s="364"/>
      <x:c r="C4" s="364"/>
      <x:c r="D4" s="364"/>
      <x:c r="E4" s="364"/>
      <x:c r="F4" s="364"/>
      <x:c r="G4" s="364"/>
    </x:row>
    <x:row r="5" ht="19.5" customHeight="1">
      <x:c r="A5" s="364"/>
      <x:c r="B5" s="373" t="str">
        <x:v>① Deployment-Approved End-to-End Runtime P95 Limit</x:v>
      </x:c>
      <x:c r="C5" s="373"/>
      <x:c r="D5" s="373"/>
      <x:c r="E5" s="373"/>
      <x:c r="F5" s="373"/>
      <x:c r="G5" s="373"/>
    </x:row>
    <x:row r="6" ht="27.75" customHeight="1">
      <x:c r="A6" s="364"/>
      <x:c r="B6" s="376" t="str">
        <x:v>Component</x:v>
      </x:c>
      <x:c r="C6" s="376" t="str">
        <x:v>Deployment Value (ms)</x:v>
      </x:c>
      <x:c r="D6" s="376" t="str">
        <x:v>Reference Value</x:v>
      </x:c>
      <x:c r="E6" s="376" t="str">
        <x:v>Status</x:v>
      </x:c>
      <x:c r="F6" s="376" t="str">
        <x:v>Spec Source</x:v>
      </x:c>
      <x:c r="G6" s="376" t="str">
        <x:v>Notes</x:v>
      </x:c>
    </x:row>
    <x:row r="7" ht="35.25" customHeight="1">
      <x:c r="A7" s="364"/>
      <x:c r="B7" s="378" t="str">
        <x:v>Deployment-approved end-to-end runtime P95 limit</x:v>
      </x:c>
      <x:c r="C7" s="430"/>
      <x:c r="D7" s="378" t="str">
        <x:v>500 ms reference</x:v>
      </x:c>
      <x:c r="E7" s="378" t="str">
        <x:v>—</x:v>
      </x:c>
      <x:c r="F7" s="378" t="str">
        <x:v>Deployment-approved input</x:v>
      </x:c>
      <x:c r="G7" s="378" t="str">
        <x:v>Enter the deployment-approved end-to-end runtime P95 performance target. 500 ms is a reference implementation value, not a universal threshold.</x:v>
      </x:c>
    </x:row>
    <x:row r="8">
      <x:c r="A8" s="364"/>
      <x:c r="B8" s="364"/>
      <x:c r="C8" s="364"/>
      <x:c r="D8" s="364"/>
      <x:c r="E8" s="364"/>
      <x:c r="F8" s="364"/>
      <x:c r="G8" s="364"/>
    </x:row>
    <x:row r="9" ht="19.5" customHeight="1">
      <x:c r="A9" s="364"/>
      <x:c r="B9" s="373" t="str">
        <x:v>② Upstream Latency Consumers  (before ASCR-16 controls execute)</x:v>
      </x:c>
      <x:c r="C9" s="373"/>
      <x:c r="D9" s="373"/>
      <x:c r="E9" s="373"/>
      <x:c r="F9" s="373"/>
      <x:c r="G9" s="373"/>
    </x:row>
    <x:row r="10" ht="27.75" customHeight="1">
      <x:c r="A10" s="364"/>
      <x:c r="B10" s="376" t="str">
        <x:v>Component</x:v>
      </x:c>
      <x:c r="C10" s="376" t="str">
        <x:v>Your Measured P95 (ms)</x:v>
      </x:c>
      <x:c r="D10" s="376" t="str">
        <x:v>Spec Limit (ms)</x:v>
      </x:c>
      <x:c r="E10" s="376" t="str">
        <x:v>Status</x:v>
      </x:c>
      <x:c r="F10" s="376" t="str">
        <x:v>Spec Source</x:v>
      </x:c>
      <x:c r="G10" s="376" t="str">
        <x:v>Notes / Source</x:v>
      </x:c>
    </x:row>
    <x:row r="11" ht="42.75" customHeight="1">
      <x:c r="A11" s="364"/>
      <x:c r="B11" s="380" t="str">
        <x:v>ASCR-04 Layers 1–5 enforcement (TEE attestation, behavioral monitoring stack)</x:v>
      </x:c>
      <x:c r="C11" s="430"/>
      <x:c r="D11" s="380" t="str">
        <x:v>—</x:v>
      </x:c>
      <x:c r="E11" s="380" t="str">
        <x:v>—</x:v>
      </x:c>
      <x:c r="F11" s="380" t="str">
        <x:v>No fixed spec — budget share</x:v>
      </x:c>
      <x:c r="G11" s="380" t="str">
        <x:v>Source: ASCR-04 instrumentation</x:v>
      </x:c>
    </x:row>
    <x:row r="12" ht="32.25" customHeight="1">
      <x:c r="A12" s="364"/>
      <x:c r="B12" s="382" t="str">
        <x:v>ASCR-06 step-ahead verification (pre-actuation safety check)</x:v>
      </x:c>
      <x:c r="C12" s="430"/>
      <x:c r="D12" s="382" t="str">
        <x:v>—</x:v>
      </x:c>
      <x:c r="E12" s="382" t="str">
        <x:v>—</x:v>
      </x:c>
      <x:c r="F12" s="382" t="str">
        <x:v>No fixed spec — budget share</x:v>
      </x:c>
      <x:c r="G12" s="382" t="str">
        <x:v>Source: ASCR-06 step-ahead telemetry</x:v>
      </x:c>
    </x:row>
    <x:row r="13" ht="27" customHeight="1">
      <x:c r="A13" s="364"/>
      <x:c r="B13" s="380" t="str">
        <x:v>OT protocol translation (cloud-to-OT bridge, e.g. REST → OPC-UA)</x:v>
      </x:c>
      <x:c r="C13" s="430"/>
      <x:c r="D13" s="380" t="str">
        <x:v>—</x:v>
      </x:c>
      <x:c r="E13" s="380" t="str">
        <x:v>—</x:v>
      </x:c>
      <x:c r="F13" s="380" t="str">
        <x:v>No fixed spec — budget share</x:v>
      </x:c>
      <x:c r="G13" s="380" t="str">
        <x:v>Source: OT gateway performance logs</x:v>
      </x:c>
    </x:row>
    <x:row r="14" ht="29.25" customHeight="1">
      <x:c r="A14" s="364"/>
      <x:c r="B14" s="382" t="str">
        <x:v>Other upstream overhead (logging, routing, queuing, etc.)</x:v>
      </x:c>
      <x:c r="C14" s="430"/>
      <x:c r="D14" s="382" t="str">
        <x:v>—</x:v>
      </x:c>
      <x:c r="E14" s="382" t="str">
        <x:v>—</x:v>
      </x:c>
      <x:c r="F14" s="382" t="str">
        <x:v>No fixed spec — budget share</x:v>
      </x:c>
      <x:c r="G14" s="382" t="str">
        <x:v>Source: Infrastructure telemetry</x:v>
      </x:c>
    </x:row>
    <x:row r="15" ht="19.5" customHeight="1">
      <x:c r="A15" s="364"/>
      <x:c r="B15" s="383" t="str">
        <x:v>TOTAL upstream consumption</x:v>
      </x:c>
      <x:c r="C15" s="383" t="str">
        <x:f>IF(COUNT(C11:C14)&lt;4,"",SUM(C11:C14))</x:f>
      </x:c>
      <x:c r="D15" s="383" t="str">
        <x:v>—</x:v>
      </x:c>
      <x:c r="E15" s="383" t="str">
        <x:f>IF(C15="","—","Info only")</x:f>
        <x:v>—</x:v>
      </x:c>
      <x:c r="F15" s="383" t="str">
        <x:v>Informational only</x:v>
      </x:c>
      <x:c r="G15" s="383"/>
    </x:row>
    <x:row r="16">
      <x:c r="A16" s="364"/>
      <x:c r="B16" s="364"/>
      <x:c r="C16" s="364"/>
      <x:c r="D16" s="364"/>
      <x:c r="E16" s="364"/>
      <x:c r="F16" s="364"/>
      <x:c r="G16" s="364"/>
    </x:row>
    <x:row r="17" ht="19.5" customHeight="1">
      <x:c r="A17" s="364"/>
      <x:c r="B17" s="373" t="str">
        <x:v>③A ASCR-16 Runtime / Context-Path Controls  (enter measured P95 and deployment-validated target)</x:v>
      </x:c>
      <x:c r="C17" s="373"/>
      <x:c r="D17" s="373"/>
      <x:c r="E17" s="373"/>
      <x:c r="F17" s="373"/>
      <x:c r="G17" s="373"/>
    </x:row>
    <x:row r="18" ht="27.75" customHeight="1">
      <x:c r="A18" s="364"/>
      <x:c r="B18" s="376" t="str">
        <x:v>Control</x:v>
      </x:c>
      <x:c r="C18" s="376" t="str">
        <x:v>Your Measured P95 (ms)</x:v>
      </x:c>
      <x:c r="D18" s="376" t="str">
        <x:v>Deployment-Validated P95 Target (ms)</x:v>
      </x:c>
      <x:c r="E18" s="376" t="str">
        <x:v>Status</x:v>
      </x:c>
      <x:c r="F18" s="376" t="str">
        <x:v>Spec Source</x:v>
      </x:c>
      <x:c r="G18" s="376" t="str">
        <x:v>Notes / Source</x:v>
      </x:c>
    </x:row>
    <x:row r="19" ht="33" customHeight="1">
      <x:c r="A19" s="364"/>
      <x:c r="B19" s="385" t="str">
        <x:v>EP-17 boundary-envelope signing per context integrity unit</x:v>
      </x:c>
      <x:c r="C19" s="430"/>
      <x:c r="D19" s="430"/>
      <x:c r="E19" s="385" t="str">
        <x:f>IF(OR(C19="",D19=""),"—",IF(C19&lt;=D19*0.8,"✓ OK",IF(C19&lt;=D19,"⚠ Near limit","✗ Over spec")))</x:f>
        <x:v>—</x:v>
      </x:c>
      <x:c r="F19" s="385" t="str">
        <x:v>Deployment-specific; validate against the deployment-approved runtime timing profile</x:v>
      </x:c>
      <x:c r="G19" s="385" t="str">
        <x:v>Source: cloud egress instrumentation</x:v>
      </x:c>
    </x:row>
    <x:row r="20" ht="25.5" customHeight="1">
      <x:c r="A20" s="364"/>
      <x:c r="B20" s="385" t="str">
        <x:v>EP-18 boundary-envelope verification, payload-hash recomputation, and signed handoff generation</x:v>
      </x:c>
      <x:c r="C20" s="430"/>
      <x:c r="D20" s="430"/>
      <x:c r="E20" s="385" t="str">
        <x:f>IF(OR(C20="",D20=""),"—",IF(C20&lt;=D20*0.8,"✓ OK",IF(C20&lt;=D20,"⚠ Near limit","✗ Over spec")))</x:f>
        <x:v>—</x:v>
      </x:c>
      <x:c r="F20" s="385" t="str">
        <x:v>Deployment-specific; validate against the deployment-approved runtime timing profile</x:v>
      </x:c>
      <x:c r="G20" s="385" t="str">
        <x:v>Source: EP-18 admission and handoff telemetry</x:v>
      </x:c>
    </x:row>
    <x:row r="21" ht="18" customHeight="1">
      <x:c r="A21" s="364"/>
      <x:c r="B21" s="385" t="str">
        <x:v>EP-19 boundary-hash verification per context integrity unit</x:v>
      </x:c>
      <x:c r="C21" s="430"/>
      <x:c r="D21" s="430"/>
      <x:c r="E21" s="385" t="str">
        <x:f>IF(OR(C21="",D21=""),"—",IF(C21&lt;=D21*0.8,"✓ OK",IF(C21&lt;=D21,"⚠ Near limit","✗ Over spec")))</x:f>
        <x:v>—</x:v>
      </x:c>
      <x:c r="F21" s="385" t="str">
        <x:v>Reference target ≤ 10 ms P95 / ≤ 50 ms P99</x:v>
      </x:c>
      <x:c r="G21" s="385" t="str">
        <x:v>Source: context-ingestion telemetry</x:v>
      </x:c>
    </x:row>
    <x:row r="22" ht="31.5" customHeight="1">
      <x:c r="A22" s="364"/>
      <x:c r="B22" s="386" t="str">
        <x:v>EP-19 boundary-hash verification P99</x:v>
      </x:c>
      <x:c r="C22" s="432"/>
      <x:c r="D22" s="432"/>
      <x:c r="E22" s="386" t="str">
        <x:f>IF(OR(C22="",D22=""),"INCOMPLETE",IF(C22&lt;=D22,"PASS","FAIL"))</x:f>
        <x:v>INCOMPLETE</x:v>
      </x:c>
      <x:c r="F22" s="386" t="str">
        <x:v>Reference implementation target: 50 ms P99 where adopted</x:v>
      </x:c>
      <x:c r="G22" s="386" t="str">
        <x:v>P99 is evaluated independently and is not added to the P95 component total.</x:v>
      </x:c>
    </x:row>
    <x:row r="23" ht="19.5" customHeight="1">
      <x:c r="A23" s="364"/>
      <x:c r="B23" s="373" t="str">
        <x:v>③B ASCR-16 Deployment-Event Controls  (not added to the runtime P95 component total)</x:v>
      </x:c>
      <x:c r="C23" s="373"/>
      <x:c r="D23" s="373"/>
      <x:c r="E23" s="373"/>
      <x:c r="F23" s="373"/>
      <x:c r="G23" s="373"/>
    </x:row>
    <x:row r="24" ht="15.75" customHeight="1">
      <x:c r="A24" s="364"/>
      <x:c r="B24" s="376" t="str">
        <x:v>Control</x:v>
      </x:c>
      <x:c r="C24" s="376" t="str">
        <x:v>Your Measured P95 (ms)</x:v>
      </x:c>
      <x:c r="D24" s="376" t="str">
        <x:v>Deployment-Validated P95 Target (ms)</x:v>
      </x:c>
      <x:c r="E24" s="376" t="str">
        <x:v>Status</x:v>
      </x:c>
      <x:c r="F24" s="376" t="str">
        <x:v>Spec Source</x:v>
      </x:c>
      <x:c r="G24" s="376" t="str">
        <x:v>Notes / Source</x:v>
      </x:c>
    </x:row>
    <x:row r="25" ht="34" customHeight="1">
      <x:c r="A25" s="364"/>
      <x:c r="B25" s="378" t="str">
        <x:v>Cross-attestation verification at model instantiation (EP-19)</x:v>
      </x:c>
      <x:c r="C25" s="430"/>
      <x:c r="D25" s="430"/>
      <x:c r="E25" s="378" t="str">
        <x:f>IF(OR(C25="",D25=""),"—",IF(C25&lt;=D25*0.8,"✓ OK",IF(C25&lt;=D25,"⚠ Near limit","✗ Over spec")))</x:f>
        <x:v>—</x:v>
      </x:c>
      <x:c r="F25" s="378" t="str">
        <x:v>Reference target ≤ 50 ms P95 for local-verifier deployments</x:v>
      </x:c>
      <x:c r="G25" s="378" t="str">
        <x:v>Source: ASCR-16 cross-attestation verification evidence objects</x:v>
      </x:c>
    </x:row>
    <x:row r="26" ht="34" customHeight="1">
      <x:c r="A26" s="364"/>
      <x:c r="B26" s="378" t="str">
        <x:v>Lineage-token verification for model deployment</x:v>
      </x:c>
      <x:c r="C26" s="430"/>
      <x:c r="D26" s="430"/>
      <x:c r="E26" s="378" t="str">
        <x:f>IF(OR(C26="",D26=""),"—",IF(C26&lt;=D26*0.8,"✓ OK",IF(C26&lt;=D26,"⚠ Near limit","✗ Over spec")))</x:f>
        <x:v>—</x:v>
      </x:c>
      <x:c r="F26" s="378" t="str">
        <x:v>Reference target ≤ 20 ms P95 for local-verifier deployments</x:v>
      </x:c>
      <x:c r="G26" s="378" t="str">
        <x:v>Source: edge TEE instantiation telemetry</x:v>
      </x:c>
    </x:row>
    <x:row r="27" ht="42" customHeight="1">
      <x:c r="A27" s="364"/>
      <x:c r="B27" s="378" t="str">
        <x:v>Chain-of-custody completeness check (EP-18 delivery attestation)</x:v>
      </x:c>
      <x:c r="C27" s="430"/>
      <x:c r="D27" s="430"/>
      <x:c r="E27" s="378" t="str">
        <x:f>IF(OR(C27="",D27=""),"—",IF(C27&lt;=D27*0.8,"✓ OK",IF(C27&lt;=D27,"⚠ Near limit","✗ Over spec")))</x:f>
        <x:v>—</x:v>
      </x:c>
      <x:c r="F27" s="378" t="str">
        <x:v>Reference target ≤ 100 ms P95</x:v>
      </x:c>
      <x:c r="G27" s="378" t="str">
        <x:v>Source: EP-18 delivery-attestation telemetry</x:v>
      </x:c>
    </x:row>
    <x:row r="28" ht="56" customHeight="1">
      <x:c r="A28" s="364"/>
      <x:c r="B28" s="378" t="str">
        <x:v>EP-17 lineage-token generation and signing per model-artifact dispatch</x:v>
      </x:c>
      <x:c r="C28" s="430"/>
      <x:c r="D28" s="430"/>
      <x:c r="E28" s="378" t="str">
        <x:f>IF(OR(C28="",D28=""),"—",IF(C28&lt;=D28*0.8,"✓ OK",IF(C28&lt;=D28,"⚠ Near limit","✗ Over spec")))</x:f>
        <x:v>—</x:v>
      </x:c>
      <x:c r="F28" s="378" t="str">
        <x:v>Deployment-specific; validate against the authorized model-update window and deployment-approved timing profile</x:v>
      </x:c>
      <x:c r="G28" s="378" t="str">
        <x:v>Source: cloud model-registry dispatch instrumentation</x:v>
      </x:c>
    </x:row>
    <x:row r="29" ht="32" customHeight="1">
      <x:c r="A29" s="364"/>
      <x:c r="B29" s="389" t="str">
        <x:v>TOTAL deployment-event P95 (reference only)</x:v>
      </x:c>
      <x:c r="C29" s="389" t="str">
        <x:f>IF(COUNT(C25:C28)&lt;4,"",SUM(C25:C28))</x:f>
      </x:c>
      <x:c r="D29" s="389"/>
      <x:c r="E29" s="389" t="str">
        <x:v>See rows</x:v>
      </x:c>
      <x:c r="F29" s="389" t="str">
        <x:v>Do not add mechanically to runtime path</x:v>
      </x:c>
      <x:c r="G29" s="389"/>
    </x:row>
    <x:row r="30" ht="24" customHeight="1">
      <x:c r="A30" s="364"/>
      <x:c r="B30" s="373" t="str">
        <x:v>④ Runtime Compliance Summary</x:v>
      </x:c>
      <x:c r="C30" s="373"/>
      <x:c r="D30" s="373"/>
      <x:c r="E30" s="373"/>
      <x:c r="F30" s="373"/>
      <x:c r="G30" s="373"/>
    </x:row>
    <x:row r="31" ht="28" customHeight="1">
      <x:c r="A31" s="364"/>
      <x:c r="B31" s="392" t="str">
        <x:v>Metric</x:v>
      </x:c>
      <x:c r="C31" s="389" t="str">
        <x:v>Measured / Value</x:v>
      </x:c>
      <x:c r="D31" s="389" t="str">
        <x:v>Limit / Target</x:v>
      </x:c>
      <x:c r="E31" s="389" t="str">
        <x:v>Status</x:v>
      </x:c>
      <x:c r="F31" s="389" t="str">
        <x:v>Source</x:v>
      </x:c>
      <x:c r="G31" s="389" t="str">
        <x:v>Notes</x:v>
      </x:c>
    </x:row>
    <x:row r="32" ht="34" customHeight="1">
      <x:c r="A32" s="364"/>
      <x:c r="B32" s="382" t="str">
        <x:v>Measured end-to-end runtime P95 (ms)</x:v>
      </x:c>
      <x:c r="C32" s="430"/>
      <x:c r="D32" s="382" t="str">
        <x:f>IF(C7="","",C7)</x:f>
      </x:c>
      <x:c r="E32" s="382" t="str">
        <x:f>IF(C32="","—",IF(C32&lt;=D32,"✓ OK","✗ Over limit"))</x:f>
        <x:v>—</x:v>
      </x:c>
      <x:c r="F32" s="382" t="str">
        <x:v>Direct end-to-end runtime telemetry</x:v>
      </x:c>
      <x:c r="G32" s="382" t="str">
        <x:v>Must use the same defined runtime-path population documented for validation.</x:v>
      </x:c>
    </x:row>
    <x:row r="33" ht="34" customHeight="1">
      <x:c r="A33" s="364"/>
      <x:c r="B33" s="380" t="str">
        <x:v>Measured end-to-end runtime P99 (ms)</x:v>
      </x:c>
      <x:c r="C33" s="430"/>
      <x:c r="D33" s="430"/>
      <x:c r="E33" s="380" t="str">
        <x:f>IF(OR(C33="",D33=""),"—",IF(C33&lt;=D33,"✓ OK","✗ Over target"))</x:f>
        <x:v>—</x:v>
      </x:c>
      <x:c r="F33" s="380" t="str">
        <x:v>Direct end-to-end runtime telemetry</x:v>
      </x:c>
      <x:c r="G33" s="380" t="str">
        <x:v>Enter the deployment-approved P99 performance target. The ASCR-04 hard execution deadline and any ASCR-06 residual hard-timeout allocation are separate per-command gates recorded in Deployment Parameters.</x:v>
      </x:c>
    </x:row>
    <x:row r="34" ht="34" customHeight="1">
      <x:c r="A34" s="364"/>
      <x:c r="B34" s="382" t="str">
        <x:v>Diagnostic component P95 planning headroom (ms)</x:v>
      </x:c>
      <x:c r="C34" s="382" t="str">
        <x:f>IF(OR(C15="",COUNT(C19:C21)&lt;3),"",C7-C15-SUM(C19:C21))</x:f>
      </x:c>
      <x:c r="D34" s="382" t="str">
        <x:v>Informational</x:v>
      </x:c>
      <x:c r="E34" s="382" t="str">
        <x:f>IF(C34="","—",IF(C34&lt;0,"⚠ Negative estimate","Info only"))</x:f>
        <x:v>—</x:v>
      </x:c>
      <x:c r="F34" s="382" t="str">
        <x:v>Component attribution only</x:v>
      </x:c>
      <x:c r="G34" s="382" t="str">
        <x:v>Component percentiles are allocation diagnostics only; runtime P95 planning total = SUM(rows 19–21).</x:v>
      </x:c>
    </x:row>
    <x:row r="35" ht="34" customHeight="1">
      <x:c r="A35" s="364"/>
      <x:c r="B35" s="380" t="str">
        <x:v>Required control-target completeness</x:v>
      </x:c>
      <x:c r="C35" s="380" t="str">
        <x:f>IF(OR(C22="",D22="",COUNT(C25:C28)&lt;4,COUNT(D25:D28)&lt;4),"INCOMPLETE",IF(COUNTIF(E22,"FAIL")+COUNTIF(E25:E28,"✗ Over spec")&gt;0,"OVER TARGET","COMPLETE"))</x:f>
        <x:v>INCOMPLETE</x:v>
      </x:c>
      <x:c r="D35" s="380" t="str">
        <x:v>All required</x:v>
      </x:c>
      <x:c r="E35" s="380" t="str">
        <x:f>C35</x:f>
        <x:v>INCOMPLETE</x:v>
      </x:c>
      <x:c r="F35" s="380" t="str">
        <x:v>Rows 22, 25–28</x:v>
      </x:c>
      <x:c r="G35" s="380" t="str">
        <x:v>Pass/fail is per control target; the EP-19 P99 row is evaluated independently and deployment-event P95 values are not summed into the runtime path.</x:v>
      </x:c>
    </x:row>
    <x:row r="36" ht="44" customHeight="1">
      <x:c r="A36" s="364"/>
      <x:c r="B36" s="396" t="str">
        <x:f>IF(OR(C7="",COUNT(C11:C14)&lt;4,COUNT(C19:C21)&lt;3,COUNT(D19:D21)&lt;3,C22="",D22="",COUNT(C25:C28)&lt;4,COUNT(D25:D28)&lt;4,C32="",C33="",D33=""),"⚠ INCOMPLETE — enter all required upstream, runtime P95/P99, deployment-event, deployment-target, and direct end-to-end P95/P99 performance inputs.",IF(C32&gt;D32,"❌ P95 PERFORMANCE TARGET EXCEEDED — remediation required before production.",IF(C33&gt;D33,"❌ P99 PERFORMANCE TARGET EXCEEDED — remediation required before production.",IF(COUNTIF(E19:E21,"✗ Over spec")+COUNTIF(E22,"FAIL")+COUNTIF(E25:E28,"✗ Over spec")&gt;0,"❌ CONTROL TARGET EXCEEDED — remediate the failing control before production.",IF(COUNTIF(E19:E21,"⚠ Near limit")+COUNTIF(E25:E28,"⚠ Near limit")&gt;0,"⚠ WITHIN END-TO-END PERFORMANCE TARGETS — one or more controls are near their deployment target.","✅ HEALTHY — directly measured end-to-end P95/P99 and all required control targets are within approved performance targets.")))))</x:f>
        <x:v>⚠ INCOMPLETE — enter all required upstream, runtime P95/P99, deployment-event, deployment-target, and direct end-to-end P95/P99 performance inputs.</x:v>
      </x:c>
      <x:c r="C36" s="396"/>
      <x:c r="D36" s="396"/>
      <x:c r="E36" s="396"/>
      <x:c r="F36" s="396"/>
      <x:c r="G36" s="396"/>
    </x:row>
    <x:row r="37" ht="46" customHeight="1">
      <x:c r="A37" s="364"/>
      <x:c r="B37" s="380" t="str">
        <x:v>Measurement rule: direct end-to-end P95 and P99 must be derived from the same defined runtime-path population and documented validation/commissioning window. Record the measurement source, start/end points, observation window, sample count, authenticated clock source, and timestamp precision. Component percentiles are for allocation and bottleneck analysis only.</x:v>
      </x:c>
      <x:c r="C37" s="380"/>
      <x:c r="D37" s="380"/>
      <x:c r="E37" s="380"/>
      <x:c r="F37" s="380"/>
      <x:c r="G37" s="380"/>
    </x:row>
    <x:row r="38" ht="27.75" customHeight="1">
      <x:c r="A38" s="364"/>
      <x:c r="B38" s="364"/>
      <x:c r="C38" s="364"/>
      <x:c r="D38" s="364"/>
      <x:c r="E38" s="364"/>
      <x:c r="F38" s="364"/>
      <x:c r="G38" s="364"/>
    </x:row>
    <x:row r="39" ht="24" customHeight="1">
      <x:c r="A39" s="364"/>
      <x:c r="B39" s="373" t="str">
        <x:v>⑤ Context Feed Transit Latency Thresholds  (ASCR-16 §5 — reference)</x:v>
      </x:c>
      <x:c r="C39" s="373"/>
      <x:c r="D39" s="373"/>
      <x:c r="E39" s="373"/>
      <x:c r="F39" s="373"/>
      <x:c r="G39" s="373"/>
    </x:row>
    <x:row r="40" ht="26" customHeight="1">
      <x:c r="A40" s="364"/>
      <x:c r="B40" s="376" t="str">
        <x:v>Feed Classification</x:v>
      </x:c>
      <x:c r="C40" s="376" t="str">
        <x:v>Max Transit Latency</x:v>
      </x:c>
      <x:c r="D40" s="376" t="str">
        <x:v>Notes</x:v>
      </x:c>
      <x:c r="E40" s="376"/>
      <x:c r="F40" s="376"/>
      <x:c r="G40" s="376"/>
    </x:row>
    <x:row r="41" ht="35.25" customHeight="1">
      <x:c r="A41" s="364"/>
      <x:c r="B41" s="382" t="str">
        <x:v>Non-actuation-relevant</x:v>
      </x:c>
      <x:c r="C41" s="382" t="str">
        <x:v>30,000 ms (30 s)</x:v>
      </x:c>
      <x:c r="D41" s="382" t="str">
        <x:v>Daily demand forecasts, weekly logistics schedules</x:v>
      </x:c>
      <x:c r="E41" s="382"/>
      <x:c r="F41" s="382"/>
      <x:c r="G41" s="382"/>
    </x:row>
    <x:row r="42" ht="27.75" customHeight="1">
      <x:c r="A42" s="364"/>
      <x:c r="B42" s="398" t="str">
        <x:v>Inter-cycle real-time</x:v>
      </x:c>
      <x:c r="C42" s="398" t="str">
        <x:v>500 ms</x:v>
      </x:c>
      <x:c r="D42" s="398" t="str">
        <x:v>Planning cycle inputs updated between cycles</x:v>
      </x:c>
      <x:c r="E42" s="398"/>
      <x:c r="F42" s="398"/>
      <x:c r="G42" s="398"/>
    </x:row>
    <x:row r="43" ht="18" customHeight="1">
      <x:c r="A43" s="364"/>
      <x:c r="B43" s="382" t="str">
        <x:v>Intra-cycle real-time</x:v>
      </x:c>
      <x:c r="C43" s="382" t="str">
        <x:v>50 ms</x:v>
      </x:c>
      <x:c r="D43" s="382" t="str">
        <x:v>Sensor signals consumed within a single planning cycle</x:v>
      </x:c>
      <x:c r="E43" s="382"/>
      <x:c r="F43" s="382"/>
      <x:c r="G43" s="382"/>
    </x:row>
    <x:row r="44" ht="42" customHeight="1">
      <x:c r="A44" s="364"/>
      <x:c r="B44" s="378" t="str">
        <x:v>⚠  Any context feed contributing to actuation decisions MUST be classified as inter-cycle or intra-cycle real-time. Classification must be validated per feed source in ASCR-11 scope review — it may not be assumed at system level.</x:v>
      </x:c>
      <x:c r="C44" s="378"/>
      <x:c r="D44" s="378"/>
      <x:c r="E44" s="378"/>
      <x:c r="F44" s="378"/>
      <x:c r="G44" s="378"/>
    </x:row>
    <x:row r="45" ht="15.75" customHeight="1">
      <x:c r="A45" s="364"/>
      <x:c r="B45" s="364"/>
      <x:c r="C45" s="364"/>
      <x:c r="D45" s="364"/>
      <x:c r="E45" s="364"/>
      <x:c r="F45" s="364"/>
      <x:c r="G45" s="364"/>
    </x:row>
    <x:row r="46" ht="24" customHeight="1">
      <x:c r="A46" s="364"/>
      <x:c r="B46" s="373" t="str">
        <x:v>⑥ ASCR-12 Quarterly Review Flags  (auto-generated — do not edit)</x:v>
      </x:c>
      <x:c r="C46" s="373"/>
      <x:c r="D46" s="373"/>
      <x:c r="E46" s="373"/>
      <x:c r="F46" s="373"/>
      <x:c r="G46" s="373"/>
    </x:row>
    <x:row r="47" ht="38" customHeight="1">
      <x:c r="A47" s="364"/>
      <x:c r="B47" s="399" t="str">
        <x:v>P95 end-to-end flag</x:v>
      </x:c>
      <x:c r="C47" s="399" t="str">
        <x:v>A directly measured end-to-end runtime P95 above the configured deployment-approved P95 limit is an ASCR-12 capacity-planning and control-performance finding.</x:v>
      </x:c>
      <x:c r="D47" s="399"/>
      <x:c r="E47" s="399"/>
      <x:c r="F47" s="399"/>
      <x:c r="G47" s="399"/>
    </x:row>
    <x:row r="48" ht="38" customHeight="1">
      <x:c r="A48" s="364"/>
      <x:c r="B48" s="399" t="str">
        <x:v>P99 performance flag</x:v>
      </x:c>
      <x:c r="C48" s="399" t="str">
        <x:v>A directly measured end-to-end runtime P99 above the configured deployment-approved P99 performance target is an ASCR-12 capacity-planning and control-performance finding. Per-command hard-deadline or residual-allocation breaches follow the separately governed ASCR-04 / ASCR-06 timeout path.</x:v>
      </x:c>
      <x:c r="D48" s="399"/>
      <x:c r="E48" s="399"/>
      <x:c r="F48" s="399"/>
      <x:c r="G48" s="399"/>
    </x:row>
    <x:row r="49" ht="38" customHeight="1">
      <x:c r="A49" s="364"/>
      <x:c r="B49" s="399" t="str">
        <x:v>Deployment-event/control-target flag</x:v>
      </x:c>
      <x:c r="C49" s="399" t="str">
        <x:v>Missing required EP-19 P99 or deployment-event measurements or targets keep the worksheet INCOMPLETE. Any required runtime/deployment control above its approved target requires remediation before production.</x:v>
      </x:c>
      <x:c r="D49" s="399"/>
      <x:c r="E49" s="399"/>
      <x:c r="F49" s="399"/>
      <x:c r="G49" s="399"/>
    </x:row>
    <x:row r="50" ht="38" customHeight="1">
      <x:c r="A50" s="364"/>
      <x:c r="B50" s="399" t="str">
        <x:v>Worksheet result</x:v>
      </x:c>
      <x:c r="C50" s="399" t="str">
        <x:f>B36</x:f>
        <x:v>⚠ INCOMPLETE — enter all required upstream, runtime P95/P99, deployment-event, deployment-target, and direct end-to-end P95/P99 performance inputs.</x:v>
      </x:c>
      <x:c r="D50" s="399"/>
      <x:c r="E50" s="399"/>
      <x:c r="F50" s="399"/>
      <x:c r="G50" s="399"/>
    </x:row>
  </x:sheetData>
  <x:mergeCells>
    <x:mergeCell ref="B1:G1"/>
    <x:mergeCell ref="B2:G2"/>
    <x:mergeCell ref="B3:G3"/>
    <x:mergeCell ref="B5:G5"/>
    <x:mergeCell ref="B9:G9"/>
    <x:mergeCell ref="B17:G17"/>
    <x:mergeCell ref="B23:G23"/>
    <x:mergeCell ref="B30:G30"/>
    <x:mergeCell ref="B36:G36"/>
    <x:mergeCell ref="B37:G37"/>
    <x:mergeCell ref="B39:G39"/>
    <x:mergeCell ref="B44:G44"/>
    <x:mergeCell ref="B46:G46"/>
    <x:mergeCell ref="C47:G47"/>
    <x:mergeCell ref="C48:G48"/>
    <x:mergeCell ref="C49:G49"/>
    <x:mergeCell ref="C50:G50"/>
  </x:mergeCells>
  <x:conditionalFormatting sqref="E19:E21">
    <x:cfRule type="expression" dxfId="3" priority="1">
      <x:formula>E19="✓ OK"</x:formula>
    </x:cfRule>
    <x:cfRule type="expression" dxfId="4" priority="2">
      <x:formula>E19="⚠ Near limit"</x:formula>
    </x:cfRule>
    <x:cfRule type="expression" dxfId="5" priority="3">
      <x:formula>LEFT(E19,1)="✗"</x:formula>
    </x:cfRule>
  </x:conditionalFormatting>
  <x:conditionalFormatting sqref="E25:E28">
    <x:cfRule type="expression" dxfId="6" priority="4">
      <x:formula>E25="✓ OK"</x:formula>
    </x:cfRule>
    <x:cfRule type="expression" dxfId="7" priority="5">
      <x:formula>E25="⚠ Near limit"</x:formula>
    </x:cfRule>
    <x:cfRule type="expression" dxfId="8" priority="6">
      <x:formula>LEFT(E25,1)="✗"</x:formula>
    </x:cfRule>
  </x:conditionalFormatting>
  <x:conditionalFormatting sqref="E32:E33">
    <x:cfRule type="expression" dxfId="9" priority="7">
      <x:formula>LEFT(E32,1)="✓"</x:formula>
    </x:cfRule>
    <x:cfRule type="expression" dxfId="10" priority="8">
      <x:formula>LEFT(E32,1)="✗"</x:formula>
    </x:cfRule>
  </x:conditionalFormatting>
  <x:conditionalFormatting sqref="E35:E35">
    <x:cfRule type="expression" dxfId="11" priority="9">
      <x:formula>E35="COMPLETE"</x:formula>
    </x:cfRule>
    <x:cfRule type="expression" dxfId="12" priority="10">
      <x:formula>E35="INCOMPLETE"</x:formula>
    </x:cfRule>
    <x:cfRule type="expression" dxfId="13" priority="11">
      <x:formula>E35="OVER TARGET"</x:formula>
    </x:cfRule>
  </x:conditionalFormatting>
  <x:conditionalFormatting sqref="B36:B36">
    <x:cfRule type="expression" dxfId="14" priority="12">
      <x:formula>LEFT(B36,1)="✅"</x:formula>
    </x:cfRule>
    <x:cfRule type="expression" dxfId="15" priority="13">
      <x:formula>LEFT(B36,1)="⚠"</x:formula>
    </x:cfRule>
    <x:cfRule type="expression" dxfId="16" priority="14">
      <x:formula>LEFT(B36,1)="❌"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3864"/>
  </x:sheetPr>
  <x:sheetViews>
    <x:sheetView showGridLines="1" workbookViewId="0"/>
  </x:sheetViews>
  <x:sheetFormatPr defaultColWidth="14.43359375" defaultRowHeight="15"/>
  <x:cols>
    <x:col min="1" max="1" width="4" style="1" hidden="0" customWidth="1"/>
    <x:col min="2" max="2" width="42" style="1" hidden="0" customWidth="1"/>
    <x:col min="3" max="5" width="20" style="1" hidden="0" customWidth="1"/>
    <x:col min="6" max="6" width="42" style="1" hidden="0" customWidth="1"/>
    <x:col min="7" max="26" width="8.710000038146973" style="1" hidden="0" customWidth="1"/>
    <x:col min="3" max="3" width="28" hidden="0" customWidth="1"/>
    <x:col min="4" max="4" width="20" hidden="0" customWidth="1"/>
    <x:col min="5" max="5" width="20" hidden="0" customWidth="1"/>
  </x:cols>
  <x:sheetData>
    <x:row r="1" ht="27.75" hidden="0" customHeight="1">
      <x:c r="B1" s="155" t="str">
        <x:v>ASCR-16 Section 5 — Runtime and Deployment-Event Reference Targets</x:v>
      </x:c>
      <x:c r="C1" s="155"/>
      <x:c r="D1" s="155"/>
      <x:c r="E1" s="155"/>
      <x:c r="F1" s="155"/>
    </x:row>
    <x:row r="2" ht="13.5" hidden="0" customHeight="1">
      <x:c r="B2" s="156" t="str">
        <x:v>Reference implementation values are illustrative. Actual thresholds must be validated against the deployment-approved timing profile and applicable ASCR-11-governed terms. Runtime and deployment-event controls are not summed into one path.</x:v>
      </x:c>
      <x:c r="C2" s="156"/>
      <x:c r="D2" s="156"/>
      <x:c r="E2" s="156"/>
      <x:c r="F2" s="156"/>
    </x:row>
    <x:row r="3">
      <x:c r="B3" s="133"/>
      <x:c r="C3" s="133"/>
      <x:c r="D3" s="133"/>
      <x:c r="E3" s="133"/>
      <x:c r="F3" s="133"/>
    </x:row>
    <x:row r="4" ht="27.75" hidden="0" customHeight="1">
      <x:c r="B4" s="122" t="str">
        <x:v>Control</x:v>
      </x:c>
      <x:c r="C4" s="122" t="str">
        <x:v>Execution Path</x:v>
      </x:c>
      <x:c r="D4" s="122" t="str">
        <x:v>P95 Target</x:v>
      </x:c>
      <x:c r="E4" s="122" t="str">
        <x:v>P99 Target</x:v>
      </x:c>
      <x:c r="F4" s="122" t="str">
        <x:v>Reference / Measurement</x:v>
      </x:c>
    </x:row>
    <x:row r="5" ht="21.75" hidden="0" customHeight="1">
      <x:c r="B5" s="157" t="str">
        <x:v>EP-17 boundary-envelope signing</x:v>
      </x:c>
      <x:c r="C5" s="158" t="str">
        <x:v>Runtime / per integrity unit</x:v>
      </x:c>
      <x:c r="D5" s="158" t="str">
        <x:v>Deployment-specific</x:v>
      </x:c>
      <x:c r="E5" s="158" t="str">
        <x:v>Deployment-specific</x:v>
      </x:c>
      <x:c r="F5" s="157" t="str">
        <x:v>Cloud egress instrumentation; deployment-approved runtime timing profile</x:v>
      </x:c>
    </x:row>
    <x:row r="6" ht="21.75" hidden="0" customHeight="1">
      <x:c r="B6" s="159" t="str">
        <x:v>EP-18 boundary-envelope verification + payload-hash recomputation + signed handoff generation</x:v>
      </x:c>
      <x:c r="C6" s="160" t="str">
        <x:v>Runtime / per integrity unit</x:v>
      </x:c>
      <x:c r="D6" s="160" t="str">
        <x:v>Deployment-specific</x:v>
      </x:c>
      <x:c r="E6" s="160" t="str">
        <x:v>Deployment-specific</x:v>
      </x:c>
      <x:c r="F6" s="159" t="str">
        <x:v>EP-18 admission and handoff telemetry; deployment-approved runtime timing profile</x:v>
      </x:c>
    </x:row>
    <x:row r="7" ht="21.75" hidden="0" customHeight="1">
      <x:c r="B7" s="157" t="str">
        <x:v>EP-19 boundary-hash verification</x:v>
      </x:c>
      <x:c r="C7" s="158" t="str">
        <x:v>Runtime / per integrity unit</x:v>
      </x:c>
      <x:c r="D7" s="158" t="str">
        <x:v>10 ms reference</x:v>
      </x:c>
      <x:c r="E7" s="158" t="str">
        <x:v>50 ms reference</x:v>
      </x:c>
      <x:c r="F7" s="157" t="str">
        <x:v>Context-ingestion telemetry</x:v>
      </x:c>
    </x:row>
    <x:row r="8" ht="21.75" hidden="0" customHeight="1">
      <x:c r="B8" s="159" t="str">
        <x:v>Cross-attestation verification (EP-19)</x:v>
      </x:c>
      <x:c r="C8" s="160" t="str">
        <x:v>Deployment event</x:v>
      </x:c>
      <x:c r="D8" s="160" t="str">
        <x:v>50 ms reference</x:v>
      </x:c>
      <x:c r="E8" s="160" t="str">
        <x:v>—</x:v>
      </x:c>
      <x:c r="F8" s="159" t="str">
        <x:v>ASCR-16 cross-attestation verification evidence object</x:v>
      </x:c>
    </x:row>
    <x:row r="9" ht="21.75" hidden="0" customHeight="1">
      <x:c r="B9" s="157" t="str">
        <x:v>Lineage-token verification</x:v>
      </x:c>
      <x:c r="C9" s="158" t="str">
        <x:v>Deployment event</x:v>
      </x:c>
      <x:c r="D9" s="158" t="str">
        <x:v>20 ms reference</x:v>
      </x:c>
      <x:c r="E9" s="158" t="str">
        <x:v>—</x:v>
      </x:c>
      <x:c r="F9" s="157" t="str">
        <x:v>Edge TEE instantiation telemetry</x:v>
      </x:c>
    </x:row>
    <x:row r="10">
      <x:c r="B10" s="133" t="str">
        <x:v>Chain-of-custody completeness check (EP-18)</x:v>
      </x:c>
      <x:c r="C10" s="133" t="str">
        <x:v>Deployment event</x:v>
      </x:c>
      <x:c r="D10" s="133" t="str">
        <x:v>100 ms reference</x:v>
      </x:c>
      <x:c r="E10" s="133" t="str">
        <x:v>—</x:v>
      </x:c>
      <x:c r="F10" s="133" t="str">
        <x:v>EP-18 delivery-attestation telemetry</x:v>
      </x:c>
    </x:row>
    <x:row r="11" ht="27.75" hidden="0" customHeight="1">
      <x:c r="B11" s="161" t="str">
        <x:v>End-to-end runtime performance targets</x:v>
      </x:c>
      <x:c r="C11" s="161" t="str">
        <x:v>Runtime / measured end to end</x:v>
      </x:c>
      <x:c r="D11" s="161" t="str">
        <x:v>Deployment-approved (500 ms reference)</x:v>
      </x:c>
      <x:c r="E11" s="161" t="str">
        <x:v>Deployment-approved</x:v>
      </x:c>
      <x:c r="F11" s="161" t="str">
        <x:v>P95/P99 are performance-distribution targets; they are not universal per-command hard deadlines.</x:v>
      </x:c>
    </x:row>
    <x:row r="12">
      <x:c r="B12" s="133" t="str">
        <x:v>Runtime hard deadline / ASCR-06 residual allocation</x:v>
      </x:c>
      <x:c r="C12" s="133" t="str">
        <x:v>Per-command runtime gate</x:v>
      </x:c>
      <x:c r="D12" s="133" t="str">
        <x:v>Not percentile-based</x:v>
      </x:c>
      <x:c r="E12" s="133" t="str">
        <x:v>Not percentile-based</x:v>
      </x:c>
      <x:c r="F12" s="133" t="str">
        <x:v>Record the ASCR-04 end-to-end hard execution deadline and any ASCR-06 residual hard-timeout allocation in Deployment Parameters.</x:v>
      </x:c>
    </x:row>
    <x:row r="13">
      <x:c r="B13" s="133" t="str">
        <x:v>EP-17 lineage-token generation and signing</x:v>
      </x:c>
      <x:c r="C13" s="133" t="str">
        <x:v>Deployment event</x:v>
      </x:c>
      <x:c r="D13" s="133" t="str">
        <x:v>Deployment-specific</x:v>
      </x:c>
      <x:c r="E13" s="133" t="str">
        <x:v>Deployment-specific</x:v>
      </x:c>
      <x:c r="F13" s="133" t="str">
        <x:v>Cloud model-registry dispatch instrumentation; authorized model-update window</x:v>
      </x:c>
    </x:row>
    <x:row r="14">
      <x:c r="B14" s="133" t="str">
        <x:v>Note: Do not add deployment-event P95 values mechanically to the runtime P95 component total. Component percentiles are not a substitute for direct end-to-end runtime measurement.</x:v>
      </x:c>
      <x:c r="C14" s="133"/>
      <x:c r="D14" s="133"/>
      <x:c r="E14" s="133"/>
      <x:c r="F14" s="133"/>
    </x:row>
    <x:row r="21" ht="15.75" hidden="0" customHeight="1"/>
    <x:row r="22" ht="15.75" hidden="0" customHeight="1"/>
    <x:row r="23" ht="15.75" hidden="0" customHeight="1"/>
    <x:row r="24" ht="15.75" hidden="0" customHeight="1"/>
    <x:row r="25" ht="15.75" hidden="0" customHeight="1"/>
    <x:row r="26" ht="15.75" hidden="0" customHeight="1"/>
    <x:row r="27" ht="15.75" hidden="0" customHeight="1"/>
    <x:row r="28" ht="15.75" hidden="0" customHeight="1"/>
    <x:row r="29" ht="15.75" hidden="0" customHeight="1"/>
    <x:row r="30" ht="15.75" hidden="0" customHeight="1"/>
    <x:row r="31" ht="15.75" hidden="0" customHeight="1"/>
    <x:row r="32" ht="15.75" hidden="0" customHeight="1"/>
    <x:row r="33" ht="15.75" hidden="0" customHeight="1"/>
    <x:row r="34" ht="15.75" hidden="0" customHeight="1"/>
    <x:row r="35" ht="15.75" hidden="0" customHeight="1"/>
    <x:row r="36" ht="15.75" hidden="0" customHeight="1"/>
    <x:row r="37" ht="15.75" hidden="0" customHeight="1"/>
    <x:row r="38" ht="15.75" hidden="0" customHeight="1"/>
    <x:row r="39" ht="15.75" hidden="0" customHeight="1"/>
    <x:row r="40" ht="15.75" hidden="0" customHeight="1"/>
    <x:row r="41" ht="15.75" hidden="0" customHeight="1"/>
    <x:row r="42" ht="15.75" hidden="0" customHeight="1"/>
    <x:row r="43" ht="15.75" hidden="0" customHeight="1"/>
    <x:row r="44" ht="15.75" hidden="0" customHeight="1"/>
    <x:row r="45" ht="15.75" hidden="0" customHeight="1"/>
    <x:row r="46" ht="15.75" hidden="0" customHeight="1"/>
    <x:row r="47" ht="15.75" hidden="0" customHeight="1"/>
    <x:row r="48" ht="15.75" hidden="0" customHeight="1"/>
    <x:row r="49" ht="15.75" hidden="0" customHeight="1"/>
    <x:row r="50" ht="15.75" hidden="0" customHeight="1"/>
    <x:row r="51" ht="15.75" hidden="0" customHeight="1"/>
    <x:row r="52" ht="15.75" hidden="0" customHeight="1"/>
    <x:row r="53" ht="15.75" hidden="0" customHeight="1"/>
    <x:row r="54" ht="15.75" hidden="0" customHeight="1"/>
    <x:row r="55" ht="15.75" hidden="0" customHeight="1"/>
    <x:row r="56" ht="15.75" hidden="0" customHeight="1"/>
    <x:row r="57" ht="15.75" hidden="0" customHeight="1"/>
    <x:row r="58" ht="15.75" hidden="0" customHeight="1"/>
    <x:row r="59" ht="15.75" hidden="0" customHeight="1"/>
    <x:row r="60" ht="15.75" hidden="0" customHeight="1"/>
    <x:row r="61" ht="15.75" hidden="0" customHeight="1"/>
    <x:row r="62" ht="15.75" hidden="0" customHeight="1"/>
    <x:row r="63" ht="15.75" hidden="0" customHeight="1"/>
    <x:row r="64" ht="15.75" hidden="0" customHeight="1"/>
    <x:row r="65" ht="15.75" hidden="0" customHeight="1"/>
    <x:row r="66" ht="15.75" hidden="0" customHeight="1"/>
    <x:row r="67" ht="15.75" hidden="0" customHeight="1"/>
    <x:row r="68" ht="15.75" hidden="0" customHeight="1"/>
    <x:row r="69" ht="15.75" hidden="0" customHeight="1"/>
    <x:row r="70" ht="15.75" hidden="0" customHeight="1"/>
    <x:row r="71" ht="15.75" hidden="0" customHeight="1"/>
    <x:row r="72" ht="15.75" hidden="0" customHeight="1"/>
    <x:row r="73" ht="15.75" hidden="0" customHeight="1"/>
    <x:row r="74" ht="15.75" hidden="0" customHeight="1"/>
    <x:row r="75" ht="15.75" hidden="0" customHeight="1"/>
    <x:row r="76" ht="15.75" hidden="0" customHeight="1"/>
    <x:row r="77" ht="15.75" hidden="0" customHeight="1"/>
    <x:row r="78" ht="15.75" hidden="0" customHeight="1"/>
    <x:row r="79" ht="15.75" hidden="0" customHeight="1"/>
    <x:row r="80" ht="15.75" hidden="0" customHeight="1"/>
    <x:row r="81" ht="15.75" hidden="0" customHeight="1"/>
    <x:row r="82" ht="15.75" hidden="0" customHeight="1"/>
    <x:row r="83" ht="15.75" hidden="0" customHeight="1"/>
    <x:row r="84" ht="15.75" hidden="0" customHeight="1"/>
    <x:row r="85" ht="15.75" hidden="0" customHeight="1"/>
    <x:row r="86" ht="15.75" hidden="0" customHeight="1"/>
    <x:row r="87" ht="15.75" hidden="0" customHeight="1"/>
    <x:row r="88" ht="15.75" hidden="0" customHeight="1"/>
    <x:row r="89" ht="15.75" hidden="0" customHeight="1"/>
    <x:row r="90" ht="15.75" hidden="0" customHeight="1"/>
    <x:row r="91" ht="15.75" hidden="0" customHeight="1"/>
    <x:row r="92" ht="15.75" hidden="0" customHeight="1"/>
    <x:row r="93" ht="15.75" hidden="0" customHeight="1"/>
    <x:row r="94" ht="15.75" hidden="0" customHeight="1"/>
    <x:row r="95" ht="15.75" hidden="0" customHeight="1"/>
    <x:row r="96" ht="15.75" hidden="0" customHeight="1"/>
    <x:row r="97" ht="15.75" hidden="0" customHeight="1"/>
    <x:row r="98" ht="15.75" hidden="0" customHeight="1"/>
    <x:row r="99" ht="15.75" hidden="0" customHeight="1"/>
    <x:row r="100" ht="15.75" hidden="0" customHeight="1"/>
    <x:row r="101" ht="15.75" hidden="0" customHeight="1"/>
    <x:row r="102" ht="15.75" hidden="0" customHeight="1"/>
    <x:row r="103" ht="15.75" hidden="0" customHeight="1"/>
    <x:row r="104" ht="15.75" hidden="0" customHeight="1"/>
    <x:row r="105" ht="15.75" hidden="0" customHeight="1"/>
    <x:row r="106" ht="15.75" hidden="0" customHeight="1"/>
    <x:row r="107" ht="15.75" hidden="0" customHeight="1"/>
    <x:row r="108" ht="15.75" hidden="0" customHeight="1"/>
    <x:row r="109" ht="15.75" hidden="0" customHeight="1"/>
    <x:row r="110" ht="15.75" hidden="0" customHeight="1"/>
    <x:row r="111" ht="15.75" hidden="0" customHeight="1"/>
    <x:row r="112" ht="15.75" hidden="0" customHeight="1"/>
    <x:row r="113" ht="15.75" hidden="0" customHeight="1"/>
    <x:row r="114" ht="15.75" hidden="0" customHeight="1"/>
    <x:row r="115" ht="15.75" hidden="0" customHeight="1"/>
    <x:row r="116" ht="15.75" hidden="0" customHeight="1"/>
    <x:row r="117" ht="15.75" hidden="0" customHeight="1"/>
    <x:row r="118" ht="15.75" hidden="0" customHeight="1"/>
    <x:row r="119" ht="15.75" hidden="0" customHeight="1"/>
    <x:row r="120" ht="15.75" hidden="0" customHeight="1"/>
    <x:row r="121" ht="15.75" hidden="0" customHeight="1"/>
    <x:row r="122" ht="15.75" hidden="0" customHeight="1"/>
    <x:row r="123" ht="15.75" hidden="0" customHeight="1"/>
    <x:row r="124" ht="15.75" hidden="0" customHeight="1"/>
    <x:row r="125" ht="15.75" hidden="0" customHeight="1"/>
    <x:row r="126" ht="15.75" hidden="0" customHeight="1"/>
    <x:row r="127" ht="15.75" hidden="0" customHeight="1"/>
    <x:row r="128" ht="15.75" hidden="0" customHeight="1"/>
    <x:row r="129" ht="15.75" hidden="0" customHeight="1"/>
    <x:row r="130" ht="15.75" hidden="0" customHeight="1"/>
    <x:row r="131" ht="15.75" hidden="0" customHeight="1"/>
    <x:row r="132" ht="15.75" hidden="0" customHeight="1"/>
    <x:row r="133" ht="15.75" hidden="0" customHeight="1"/>
    <x:row r="134" ht="15.75" hidden="0" customHeight="1"/>
    <x:row r="135" ht="15.75" hidden="0" customHeight="1"/>
    <x:row r="136" ht="15.75" hidden="0" customHeight="1"/>
    <x:row r="137" ht="15.75" hidden="0" customHeight="1"/>
    <x:row r="138" ht="15.75" hidden="0" customHeight="1"/>
    <x:row r="139" ht="15.75" hidden="0" customHeight="1"/>
    <x:row r="140" ht="15.75" hidden="0" customHeight="1"/>
    <x:row r="141" ht="15.75" hidden="0" customHeight="1"/>
    <x:row r="142" ht="15.75" hidden="0" customHeight="1"/>
    <x:row r="143" ht="15.75" hidden="0" customHeight="1"/>
    <x:row r="144" ht="15.75" hidden="0" customHeight="1"/>
    <x:row r="145" ht="15.75" hidden="0" customHeight="1"/>
    <x:row r="146" ht="15.75" hidden="0" customHeight="1"/>
    <x:row r="147" ht="15.75" hidden="0" customHeight="1"/>
    <x:row r="148" ht="15.75" hidden="0" customHeight="1"/>
    <x:row r="149" ht="15.75" hidden="0" customHeight="1"/>
    <x:row r="150" ht="15.75" hidden="0" customHeight="1"/>
    <x:row r="151" ht="15.75" hidden="0" customHeight="1"/>
    <x:row r="152" ht="15.75" hidden="0" customHeight="1"/>
    <x:row r="153" ht="15.75" hidden="0" customHeight="1"/>
    <x:row r="154" ht="15.75" hidden="0" customHeight="1"/>
    <x:row r="155" ht="15.75" hidden="0" customHeight="1"/>
    <x:row r="156" ht="15.75" hidden="0" customHeight="1"/>
    <x:row r="157" ht="15.75" hidden="0" customHeight="1"/>
    <x:row r="158" ht="15.75" hidden="0" customHeight="1"/>
    <x:row r="159" ht="15.75" hidden="0" customHeight="1"/>
    <x:row r="160" ht="15.75" hidden="0" customHeight="1"/>
    <x:row r="161" ht="15.75" hidden="0" customHeight="1"/>
    <x:row r="162" ht="15.75" hidden="0" customHeight="1"/>
    <x:row r="163" ht="15.75" hidden="0" customHeight="1"/>
    <x:row r="164" ht="15.75" hidden="0" customHeight="1"/>
    <x:row r="165" ht="15.75" hidden="0" customHeight="1"/>
    <x:row r="166" ht="15.75" hidden="0" customHeight="1"/>
    <x:row r="167" ht="15.75" hidden="0" customHeight="1"/>
    <x:row r="168" ht="15.75" hidden="0" customHeight="1"/>
    <x:row r="169" ht="15.75" hidden="0" customHeight="1"/>
    <x:row r="170" ht="15.75" hidden="0" customHeight="1"/>
    <x:row r="171" ht="15.75" hidden="0" customHeight="1"/>
    <x:row r="172" ht="15.75" hidden="0" customHeight="1"/>
    <x:row r="173" ht="15.75" hidden="0" customHeight="1"/>
    <x:row r="174" ht="15.75" hidden="0" customHeight="1"/>
    <x:row r="175" ht="15.75" hidden="0" customHeight="1"/>
    <x:row r="176" ht="15.75" hidden="0" customHeight="1"/>
    <x:row r="177" ht="15.75" hidden="0" customHeight="1"/>
    <x:row r="178" ht="15.75" hidden="0" customHeight="1"/>
    <x:row r="179" ht="15.75" hidden="0" customHeight="1"/>
    <x:row r="180" ht="15.75" hidden="0" customHeight="1"/>
    <x:row r="181" ht="15.75" hidden="0" customHeight="1"/>
    <x:row r="182" ht="15.75" hidden="0" customHeight="1"/>
    <x:row r="183" ht="15.75" hidden="0" customHeight="1"/>
    <x:row r="184" ht="15.75" hidden="0" customHeight="1"/>
    <x:row r="185" ht="15.75" hidden="0" customHeight="1"/>
    <x:row r="186" ht="15.75" hidden="0" customHeight="1"/>
    <x:row r="187" ht="15.75" hidden="0" customHeight="1"/>
    <x:row r="188" ht="15.75" hidden="0" customHeight="1"/>
    <x:row r="189" ht="15.75" hidden="0" customHeight="1"/>
    <x:row r="190" ht="15.75" hidden="0" customHeight="1"/>
    <x:row r="191" ht="15.75" hidden="0" customHeight="1"/>
    <x:row r="192" ht="15.75" hidden="0" customHeight="1"/>
    <x:row r="193" ht="15.75" hidden="0" customHeight="1"/>
    <x:row r="194" ht="15.75" hidden="0" customHeight="1"/>
    <x:row r="195" ht="15.75" hidden="0" customHeight="1"/>
    <x:row r="196" ht="15.75" hidden="0" customHeight="1"/>
    <x:row r="197" ht="15.75" hidden="0" customHeight="1"/>
    <x:row r="198" ht="15.75" hidden="0" customHeight="1"/>
    <x:row r="199" ht="15.75" hidden="0" customHeight="1"/>
    <x:row r="200" ht="15.75" hidden="0" customHeight="1"/>
    <x:row r="201" ht="15.75" hidden="0" customHeight="1"/>
    <x:row r="202" ht="15.75" hidden="0" customHeight="1"/>
    <x:row r="203" ht="15.75" hidden="0" customHeight="1"/>
    <x:row r="204" ht="15.75" hidden="0" customHeight="1"/>
    <x:row r="205" ht="15.75" hidden="0" customHeight="1"/>
    <x:row r="206" ht="15.75" hidden="0" customHeight="1"/>
    <x:row r="207" ht="15.75" hidden="0" customHeight="1"/>
    <x:row r="208" ht="15.75" hidden="0" customHeight="1"/>
    <x:row r="209" ht="15.75" hidden="0" customHeight="1"/>
    <x:row r="210" ht="15.75" hidden="0" customHeight="1"/>
    <x:row r="211" ht="15.75" hidden="0" customHeight="1"/>
    <x:row r="212" ht="15.75" hidden="0" customHeight="1"/>
    <x:row r="213" ht="15.75" hidden="0" customHeight="1"/>
    <x:row r="214" ht="15.75" hidden="0" customHeight="1"/>
    <x:row r="215" ht="15.75" hidden="0" customHeight="1"/>
    <x:row r="216" ht="15.75" hidden="0" customHeight="1"/>
    <x:row r="217" ht="15.75" hidden="0" customHeight="1"/>
    <x:row r="218" ht="15.75" hidden="0" customHeight="1"/>
    <x:row r="219" ht="15.75" hidden="0" customHeight="1"/>
    <x:row r="220" ht="15.75" hidden="0" customHeight="1"/>
    <x:row r="221" ht="15.75" hidden="0" customHeight="1"/>
    <x:row r="222" ht="15.75" hidden="0" customHeight="1"/>
    <x:row r="223" ht="15.75" hidden="0" customHeight="1"/>
    <x:row r="224" ht="15.75" hidden="0" customHeight="1"/>
    <x:row r="225" ht="15.75" hidden="0" customHeight="1"/>
    <x:row r="226" ht="15.75" hidden="0" customHeight="1"/>
    <x:row r="227" ht="15.75" hidden="0" customHeight="1"/>
    <x:row r="228" ht="15.75" hidden="0" customHeight="1"/>
    <x:row r="229" ht="15.75" hidden="0" customHeight="1"/>
    <x:row r="230" ht="15.75" hidden="0" customHeight="1"/>
    <x:row r="231" ht="15.75" hidden="0" customHeight="1"/>
    <x:row r="232" ht="15.75" hidden="0" customHeight="1"/>
    <x:row r="233" ht="15.75" hidden="0" customHeight="1"/>
    <x:row r="234" ht="15.75" hidden="0" customHeight="1"/>
    <x:row r="235" ht="15.75" hidden="0" customHeight="1"/>
    <x:row r="236" ht="15.75" hidden="0" customHeight="1"/>
    <x:row r="237" ht="15.75" hidden="0" customHeight="1"/>
    <x:row r="238" ht="15.75" hidden="0" customHeight="1"/>
    <x:row r="239" ht="15.75" hidden="0" customHeight="1"/>
    <x:row r="240" ht="15.75" hidden="0" customHeight="1"/>
    <x:row r="241" ht="15.75" hidden="0" customHeight="1"/>
    <x:row r="242" ht="15.75" hidden="0" customHeight="1"/>
    <x:row r="243" ht="15.75" hidden="0" customHeight="1"/>
    <x:row r="244" ht="15.75" hidden="0" customHeight="1"/>
    <x:row r="245" ht="15.75" hidden="0" customHeight="1"/>
    <x:row r="246" ht="15.75" hidden="0" customHeight="1"/>
    <x:row r="247" ht="15.75" hidden="0" customHeight="1"/>
    <x:row r="248" ht="15.75" hidden="0" customHeight="1"/>
    <x:row r="249" ht="15.75" hidden="0" customHeight="1"/>
    <x:row r="250" ht="15.75" hidden="0" customHeight="1"/>
    <x:row r="251" ht="15.75" hidden="0" customHeight="1"/>
    <x:row r="252" ht="15.75" hidden="0" customHeight="1"/>
    <x:row r="253" ht="15.75" hidden="0" customHeight="1"/>
    <x:row r="254" ht="15.75" hidden="0" customHeight="1"/>
    <x:row r="255" ht="15.75" hidden="0" customHeight="1"/>
    <x:row r="256" ht="15.75" hidden="0" customHeight="1"/>
    <x:row r="257" ht="15.75" hidden="0" customHeight="1"/>
    <x:row r="258" ht="15.75" hidden="0" customHeight="1"/>
    <x:row r="259" ht="15.75" hidden="0" customHeight="1"/>
    <x:row r="260" ht="15.75" hidden="0" customHeight="1"/>
    <x:row r="261" ht="15.75" hidden="0" customHeight="1"/>
    <x:row r="262" ht="15.75" hidden="0" customHeight="1"/>
    <x:row r="263" ht="15.75" hidden="0" customHeight="1"/>
    <x:row r="264" ht="15.75" hidden="0" customHeight="1"/>
    <x:row r="265" ht="15.75" hidden="0" customHeight="1"/>
    <x:row r="266" ht="15.75" hidden="0" customHeight="1"/>
    <x:row r="267" ht="15.75" hidden="0" customHeight="1"/>
    <x:row r="268" ht="15.75" hidden="0" customHeight="1"/>
    <x:row r="269" ht="15.75" hidden="0" customHeight="1"/>
    <x:row r="270" ht="15.75" hidden="0" customHeight="1"/>
    <x:row r="271" ht="15.75" hidden="0" customHeight="1"/>
    <x:row r="272" ht="15.75" hidden="0" customHeight="1"/>
    <x:row r="273" ht="15.75" hidden="0" customHeight="1"/>
    <x:row r="274" ht="15.75" hidden="0" customHeight="1"/>
    <x:row r="275" ht="15.75" hidden="0" customHeight="1"/>
    <x:row r="276" ht="15.75" hidden="0" customHeight="1"/>
    <x:row r="277" ht="15.75" hidden="0" customHeight="1"/>
    <x:row r="278" ht="15.75" hidden="0" customHeight="1"/>
    <x:row r="279" ht="15.75" hidden="0" customHeight="1"/>
    <x:row r="280" ht="15.75" hidden="0" customHeight="1"/>
    <x:row r="281" ht="15.75" hidden="0" customHeight="1"/>
    <x:row r="282" ht="15.75" hidden="0" customHeight="1"/>
    <x:row r="283" ht="15.75" hidden="0" customHeight="1"/>
    <x:row r="284" ht="15.75" hidden="0" customHeight="1"/>
    <x:row r="285" ht="15.75" hidden="0" customHeight="1"/>
    <x:row r="286" ht="15.75" hidden="0" customHeight="1"/>
    <x:row r="287" ht="15.75" hidden="0" customHeight="1"/>
    <x:row r="288" ht="15.75" hidden="0" customHeight="1"/>
    <x:row r="289" ht="15.75" hidden="0" customHeight="1"/>
    <x:row r="290" ht="15.75" hidden="0" customHeight="1"/>
    <x:row r="291" ht="15.75" hidden="0" customHeight="1"/>
    <x:row r="292" ht="15.75" hidden="0" customHeight="1"/>
    <x:row r="293" ht="15.75" hidden="0" customHeight="1"/>
    <x:row r="294" ht="15.75" hidden="0" customHeight="1"/>
    <x:row r="295" ht="15.75" hidden="0" customHeight="1"/>
    <x:row r="296" ht="15.75" hidden="0" customHeight="1"/>
    <x:row r="297" ht="15.75" hidden="0" customHeight="1"/>
    <x:row r="298" ht="15.75" hidden="0" customHeight="1"/>
    <x:row r="299" ht="15.75" hidden="0" customHeight="1"/>
    <x:row r="300" ht="15.75" hidden="0" customHeight="1"/>
    <x:row r="301" ht="15.75" hidden="0" customHeight="1"/>
    <x:row r="302" ht="15.75" hidden="0" customHeight="1"/>
    <x:row r="303" ht="15.75" hidden="0" customHeight="1"/>
    <x:row r="304" ht="15.75" hidden="0" customHeight="1"/>
    <x:row r="305" ht="15.75" hidden="0" customHeight="1"/>
    <x:row r="306" ht="15.75" hidden="0" customHeight="1"/>
    <x:row r="307" ht="15.75" hidden="0" customHeight="1"/>
    <x:row r="308" ht="15.75" hidden="0" customHeight="1"/>
    <x:row r="309" ht="15.75" hidden="0" customHeight="1"/>
    <x:row r="310" ht="15.75" hidden="0" customHeight="1"/>
    <x:row r="311" ht="15.75" hidden="0" customHeight="1"/>
    <x:row r="312" ht="15.75" hidden="0" customHeight="1"/>
    <x:row r="313" ht="15.75" hidden="0" customHeight="1"/>
    <x:row r="314" ht="15.75" hidden="0" customHeight="1"/>
    <x:row r="315" ht="15.75" hidden="0" customHeight="1"/>
    <x:row r="316" ht="15.75" hidden="0" customHeight="1"/>
    <x:row r="317" ht="15.75" hidden="0" customHeight="1"/>
    <x:row r="318" ht="15.75" hidden="0" customHeight="1"/>
    <x:row r="319" ht="15.75" hidden="0" customHeight="1"/>
    <x:row r="320" ht="15.75" hidden="0" customHeight="1"/>
    <x:row r="321" ht="15.75" hidden="0" customHeight="1"/>
    <x:row r="322" ht="15.75" hidden="0" customHeight="1"/>
    <x:row r="323" ht="15.75" hidden="0" customHeight="1"/>
    <x:row r="324" ht="15.75" hidden="0" customHeight="1"/>
    <x:row r="325" ht="15.75" hidden="0" customHeight="1"/>
    <x:row r="326" ht="15.75" hidden="0" customHeight="1"/>
    <x:row r="327" ht="15.75" hidden="0" customHeight="1"/>
    <x:row r="328" ht="15.75" hidden="0" customHeight="1"/>
    <x:row r="329" ht="15.75" hidden="0" customHeight="1"/>
    <x:row r="330" ht="15.75" hidden="0" customHeight="1"/>
    <x:row r="331" ht="15.75" hidden="0" customHeight="1"/>
    <x:row r="332" ht="15.75" hidden="0" customHeight="1"/>
    <x:row r="333" ht="15.75" hidden="0" customHeight="1"/>
    <x:row r="334" ht="15.75" hidden="0" customHeight="1"/>
    <x:row r="335" ht="15.75" hidden="0" customHeight="1"/>
    <x:row r="336" ht="15.75" hidden="0" customHeight="1"/>
    <x:row r="337" ht="15.75" hidden="0" customHeight="1"/>
    <x:row r="338" ht="15.75" hidden="0" customHeight="1"/>
    <x:row r="339" ht="15.75" hidden="0" customHeight="1"/>
    <x:row r="340" ht="15.75" hidden="0" customHeight="1"/>
    <x:row r="341" ht="15.75" hidden="0" customHeight="1"/>
    <x:row r="342" ht="15.75" hidden="0" customHeight="1"/>
    <x:row r="343" ht="15.75" hidden="0" customHeight="1"/>
    <x:row r="344" ht="15.75" hidden="0" customHeight="1"/>
    <x:row r="345" ht="15.75" hidden="0" customHeight="1"/>
    <x:row r="346" ht="15.75" hidden="0" customHeight="1"/>
    <x:row r="347" ht="15.75" hidden="0" customHeight="1"/>
    <x:row r="348" ht="15.75" hidden="0" customHeight="1"/>
    <x:row r="349" ht="15.75" hidden="0" customHeight="1"/>
    <x:row r="350" ht="15.75" hidden="0" customHeight="1"/>
    <x:row r="351" ht="15.75" hidden="0" customHeight="1"/>
    <x:row r="352" ht="15.75" hidden="0" customHeight="1"/>
    <x:row r="353" ht="15.75" hidden="0" customHeight="1"/>
    <x:row r="354" ht="15.75" hidden="0" customHeight="1"/>
    <x:row r="355" ht="15.75" hidden="0" customHeight="1"/>
    <x:row r="356" ht="15.75" hidden="0" customHeight="1"/>
    <x:row r="357" ht="15.75" hidden="0" customHeight="1"/>
    <x:row r="358" ht="15.75" hidden="0" customHeight="1"/>
    <x:row r="359" ht="15.75" hidden="0" customHeight="1"/>
    <x:row r="360" ht="15.75" hidden="0" customHeight="1"/>
    <x:row r="361" ht="15.75" hidden="0" customHeight="1"/>
    <x:row r="362" ht="15.75" hidden="0" customHeight="1"/>
    <x:row r="363" ht="15.75" hidden="0" customHeight="1"/>
    <x:row r="364" ht="15.75" hidden="0" customHeight="1"/>
    <x:row r="365" ht="15.75" hidden="0" customHeight="1"/>
    <x:row r="366" ht="15.75" hidden="0" customHeight="1"/>
    <x:row r="367" ht="15.75" hidden="0" customHeight="1"/>
    <x:row r="368" ht="15.75" hidden="0" customHeight="1"/>
    <x:row r="369" ht="15.75" hidden="0" customHeight="1"/>
    <x:row r="370" ht="15.75" hidden="0" customHeight="1"/>
    <x:row r="371" ht="15.75" hidden="0" customHeight="1"/>
    <x:row r="372" ht="15.75" hidden="0" customHeight="1"/>
    <x:row r="373" ht="15.75" hidden="0" customHeight="1"/>
    <x:row r="374" ht="15.75" hidden="0" customHeight="1"/>
    <x:row r="375" ht="15.75" hidden="0" customHeight="1"/>
    <x:row r="376" ht="15.75" hidden="0" customHeight="1"/>
    <x:row r="377" ht="15.75" hidden="0" customHeight="1"/>
    <x:row r="378" ht="15.75" hidden="0" customHeight="1"/>
    <x:row r="379" ht="15.75" hidden="0" customHeight="1"/>
    <x:row r="380" ht="15.75" hidden="0" customHeight="1"/>
    <x:row r="381" ht="15.75" hidden="0" customHeight="1"/>
    <x:row r="382" ht="15.75" hidden="0" customHeight="1"/>
    <x:row r="383" ht="15.75" hidden="0" customHeight="1"/>
    <x:row r="384" ht="15.75" hidden="0" customHeight="1"/>
    <x:row r="385" ht="15.75" hidden="0" customHeight="1"/>
    <x:row r="386" ht="15.75" hidden="0" customHeight="1"/>
    <x:row r="387" ht="15.75" hidden="0" customHeight="1"/>
    <x:row r="388" ht="15.75" hidden="0" customHeight="1"/>
    <x:row r="389" ht="15.75" hidden="0" customHeight="1"/>
    <x:row r="390" ht="15.75" hidden="0" customHeight="1"/>
    <x:row r="391" ht="15.75" hidden="0" customHeight="1"/>
    <x:row r="392" ht="15.75" hidden="0" customHeight="1"/>
    <x:row r="393" ht="15.75" hidden="0" customHeight="1"/>
    <x:row r="394" ht="15.75" hidden="0" customHeight="1"/>
    <x:row r="395" ht="15.75" hidden="0" customHeight="1"/>
    <x:row r="396" ht="15.75" hidden="0" customHeight="1"/>
    <x:row r="397" ht="15.75" hidden="0" customHeight="1"/>
    <x:row r="398" ht="15.75" hidden="0" customHeight="1"/>
    <x:row r="399" ht="15.75" hidden="0" customHeight="1"/>
    <x:row r="400" ht="15.75" hidden="0" customHeight="1"/>
    <x:row r="401" ht="15.75" hidden="0" customHeight="1"/>
    <x:row r="402" ht="15.75" hidden="0" customHeight="1"/>
    <x:row r="403" ht="15.75" hidden="0" customHeight="1"/>
    <x:row r="404" ht="15.75" hidden="0" customHeight="1"/>
    <x:row r="405" ht="15.75" hidden="0" customHeight="1"/>
    <x:row r="406" ht="15.75" hidden="0" customHeight="1"/>
    <x:row r="407" ht="15.75" hidden="0" customHeight="1"/>
    <x:row r="408" ht="15.75" hidden="0" customHeight="1"/>
    <x:row r="409" ht="15.75" hidden="0" customHeight="1"/>
    <x:row r="410" ht="15.75" hidden="0" customHeight="1"/>
    <x:row r="411" ht="15.75" hidden="0" customHeight="1"/>
    <x:row r="412" ht="15.75" hidden="0" customHeight="1"/>
    <x:row r="413" ht="15.75" hidden="0" customHeight="1"/>
    <x:row r="414" ht="15.75" hidden="0" customHeight="1"/>
    <x:row r="415" ht="15.75" hidden="0" customHeight="1"/>
    <x:row r="416" ht="15.75" hidden="0" customHeight="1"/>
    <x:row r="417" ht="15.75" hidden="0" customHeight="1"/>
    <x:row r="418" ht="15.75" hidden="0" customHeight="1"/>
    <x:row r="419" ht="15.75" hidden="0" customHeight="1"/>
    <x:row r="420" ht="15.75" hidden="0" customHeight="1"/>
    <x:row r="421" ht="15.75" hidden="0" customHeight="1"/>
    <x:row r="422" ht="15.75" hidden="0" customHeight="1"/>
    <x:row r="423" ht="15.75" hidden="0" customHeight="1"/>
    <x:row r="424" ht="15.75" hidden="0" customHeight="1"/>
    <x:row r="425" ht="15.75" hidden="0" customHeight="1"/>
    <x:row r="426" ht="15.75" hidden="0" customHeight="1"/>
    <x:row r="427" ht="15.75" hidden="0" customHeight="1"/>
    <x:row r="428" ht="15.75" hidden="0" customHeight="1"/>
    <x:row r="429" ht="15.75" hidden="0" customHeight="1"/>
    <x:row r="430" ht="15.75" hidden="0" customHeight="1"/>
    <x:row r="431" ht="15.75" hidden="0" customHeight="1"/>
    <x:row r="432" ht="15.75" hidden="0" customHeight="1"/>
    <x:row r="433" ht="15.75" hidden="0" customHeight="1"/>
    <x:row r="434" ht="15.75" hidden="0" customHeight="1"/>
    <x:row r="435" ht="15.75" hidden="0" customHeight="1"/>
    <x:row r="436" ht="15.75" hidden="0" customHeight="1"/>
    <x:row r="437" ht="15.75" hidden="0" customHeight="1"/>
    <x:row r="438" ht="15.75" hidden="0" customHeight="1"/>
    <x:row r="439" ht="15.75" hidden="0" customHeight="1"/>
    <x:row r="440" ht="15.75" hidden="0" customHeight="1"/>
    <x:row r="441" ht="15.75" hidden="0" customHeight="1"/>
    <x:row r="442" ht="15.75" hidden="0" customHeight="1"/>
    <x:row r="443" ht="15.75" hidden="0" customHeight="1"/>
    <x:row r="444" ht="15.75" hidden="0" customHeight="1"/>
    <x:row r="445" ht="15.75" hidden="0" customHeight="1"/>
    <x:row r="446" ht="15.75" hidden="0" customHeight="1"/>
    <x:row r="447" ht="15.75" hidden="0" customHeight="1"/>
    <x:row r="448" ht="15.75" hidden="0" customHeight="1"/>
    <x:row r="449" ht="15.75" hidden="0" customHeight="1"/>
    <x:row r="450" ht="15.75" hidden="0" customHeight="1"/>
    <x:row r="451" ht="15.75" hidden="0" customHeight="1"/>
    <x:row r="452" ht="15.75" hidden="0" customHeight="1"/>
    <x:row r="453" ht="15.75" hidden="0" customHeight="1"/>
    <x:row r="454" ht="15.75" hidden="0" customHeight="1"/>
    <x:row r="455" ht="15.75" hidden="0" customHeight="1"/>
    <x:row r="456" ht="15.75" hidden="0" customHeight="1"/>
    <x:row r="457" ht="15.75" hidden="0" customHeight="1"/>
    <x:row r="458" ht="15.75" hidden="0" customHeight="1"/>
    <x:row r="459" ht="15.75" hidden="0" customHeight="1"/>
    <x:row r="460" ht="15.75" hidden="0" customHeight="1"/>
    <x:row r="461" ht="15.75" hidden="0" customHeight="1"/>
    <x:row r="462" ht="15.75" hidden="0" customHeight="1"/>
    <x:row r="463" ht="15.75" hidden="0" customHeight="1"/>
    <x:row r="464" ht="15.75" hidden="0" customHeight="1"/>
    <x:row r="465" ht="15.75" hidden="0" customHeight="1"/>
    <x:row r="466" ht="15.75" hidden="0" customHeight="1"/>
    <x:row r="467" ht="15.75" hidden="0" customHeight="1"/>
    <x:row r="468" ht="15.75" hidden="0" customHeight="1"/>
    <x:row r="469" ht="15.75" hidden="0" customHeight="1"/>
    <x:row r="470" ht="15.75" hidden="0" customHeight="1"/>
    <x:row r="471" ht="15.75" hidden="0" customHeight="1"/>
    <x:row r="472" ht="15.75" hidden="0" customHeight="1"/>
    <x:row r="473" ht="15.75" hidden="0" customHeight="1"/>
    <x:row r="474" ht="15.75" hidden="0" customHeight="1"/>
    <x:row r="475" ht="15.75" hidden="0" customHeight="1"/>
    <x:row r="476" ht="15.75" hidden="0" customHeight="1"/>
    <x:row r="477" ht="15.75" hidden="0" customHeight="1"/>
    <x:row r="478" ht="15.75" hidden="0" customHeight="1"/>
    <x:row r="479" ht="15.75" hidden="0" customHeight="1"/>
    <x:row r="480" ht="15.75" hidden="0" customHeight="1"/>
    <x:row r="481" ht="15.75" hidden="0" customHeight="1"/>
    <x:row r="482" ht="15.75" hidden="0" customHeight="1"/>
    <x:row r="483" ht="15.75" hidden="0" customHeight="1"/>
    <x:row r="484" ht="15.75" hidden="0" customHeight="1"/>
    <x:row r="485" ht="15.75" hidden="0" customHeight="1"/>
    <x:row r="486" ht="15.75" hidden="0" customHeight="1"/>
    <x:row r="487" ht="15.75" hidden="0" customHeight="1"/>
    <x:row r="488" ht="15.75" hidden="0" customHeight="1"/>
    <x:row r="489" ht="15.75" hidden="0" customHeight="1"/>
    <x:row r="490" ht="15.75" hidden="0" customHeight="1"/>
    <x:row r="491" ht="15.75" hidden="0" customHeight="1"/>
    <x:row r="492" ht="15.75" hidden="0" customHeight="1"/>
    <x:row r="493" ht="15.75" hidden="0" customHeight="1"/>
    <x:row r="494" ht="15.75" hidden="0" customHeight="1"/>
    <x:row r="495" ht="15.75" hidden="0" customHeight="1"/>
    <x:row r="496" ht="15.75" hidden="0" customHeight="1"/>
    <x:row r="497" ht="15.75" hidden="0" customHeight="1"/>
    <x:row r="498" ht="15.75" hidden="0" customHeight="1"/>
    <x:row r="499" ht="15.75" hidden="0" customHeight="1"/>
    <x:row r="500" ht="15.75" hidden="0" customHeight="1"/>
    <x:row r="501" ht="15.75" hidden="0" customHeight="1"/>
    <x:row r="502" ht="15.75" hidden="0" customHeight="1"/>
    <x:row r="503" ht="15.75" hidden="0" customHeight="1"/>
    <x:row r="504" ht="15.75" hidden="0" customHeight="1"/>
    <x:row r="505" ht="15.75" hidden="0" customHeight="1"/>
    <x:row r="506" ht="15.75" hidden="0" customHeight="1"/>
    <x:row r="507" ht="15.75" hidden="0" customHeight="1"/>
    <x:row r="508" ht="15.75" hidden="0" customHeight="1"/>
    <x:row r="509" ht="15.75" hidden="0" customHeight="1"/>
    <x:row r="510" ht="15.75" hidden="0" customHeight="1"/>
    <x:row r="511" ht="15.75" hidden="0" customHeight="1"/>
    <x:row r="512" ht="15.75" hidden="0" customHeight="1"/>
    <x:row r="513" ht="15.75" hidden="0" customHeight="1"/>
    <x:row r="514" ht="15.75" hidden="0" customHeight="1"/>
    <x:row r="515" ht="15.75" hidden="0" customHeight="1"/>
    <x:row r="516" ht="15.75" hidden="0" customHeight="1"/>
    <x:row r="517" ht="15.75" hidden="0" customHeight="1"/>
    <x:row r="518" ht="15.75" hidden="0" customHeight="1"/>
    <x:row r="519" ht="15.75" hidden="0" customHeight="1"/>
    <x:row r="520" ht="15.75" hidden="0" customHeight="1"/>
    <x:row r="521" ht="15.75" hidden="0" customHeight="1"/>
    <x:row r="522" ht="15.75" hidden="0" customHeight="1"/>
    <x:row r="523" ht="15.75" hidden="0" customHeight="1"/>
    <x:row r="524" ht="15.75" hidden="0" customHeight="1"/>
    <x:row r="525" ht="15.75" hidden="0" customHeight="1"/>
    <x:row r="526" ht="15.75" hidden="0" customHeight="1"/>
    <x:row r="527" ht="15.75" hidden="0" customHeight="1"/>
    <x:row r="528" ht="15.75" hidden="0" customHeight="1"/>
    <x:row r="529" ht="15.75" hidden="0" customHeight="1"/>
    <x:row r="530" ht="15.75" hidden="0" customHeight="1"/>
    <x:row r="531" ht="15.75" hidden="0" customHeight="1"/>
    <x:row r="532" ht="15.75" hidden="0" customHeight="1"/>
    <x:row r="533" ht="15.75" hidden="0" customHeight="1"/>
    <x:row r="534" ht="15.75" hidden="0" customHeight="1"/>
    <x:row r="535" ht="15.75" hidden="0" customHeight="1"/>
    <x:row r="536" ht="15.75" hidden="0" customHeight="1"/>
    <x:row r="537" ht="15.75" hidden="0" customHeight="1"/>
    <x:row r="538" ht="15.75" hidden="0" customHeight="1"/>
    <x:row r="539" ht="15.75" hidden="0" customHeight="1"/>
    <x:row r="540" ht="15.75" hidden="0" customHeight="1"/>
    <x:row r="541" ht="15.75" hidden="0" customHeight="1"/>
    <x:row r="542" ht="15.75" hidden="0" customHeight="1"/>
    <x:row r="543" ht="15.75" hidden="0" customHeight="1"/>
    <x:row r="544" ht="15.75" hidden="0" customHeight="1"/>
    <x:row r="545" ht="15.75" hidden="0" customHeight="1"/>
    <x:row r="546" ht="15.75" hidden="0" customHeight="1"/>
    <x:row r="547" ht="15.75" hidden="0" customHeight="1"/>
    <x:row r="548" ht="15.75" hidden="0" customHeight="1"/>
    <x:row r="549" ht="15.75" hidden="0" customHeight="1"/>
    <x:row r="550" ht="15.75" hidden="0" customHeight="1"/>
    <x:row r="551" ht="15.75" hidden="0" customHeight="1"/>
    <x:row r="552" ht="15.75" hidden="0" customHeight="1"/>
    <x:row r="553" ht="15.75" hidden="0" customHeight="1"/>
    <x:row r="554" ht="15.75" hidden="0" customHeight="1"/>
    <x:row r="555" ht="15.75" hidden="0" customHeight="1"/>
    <x:row r="556" ht="15.75" hidden="0" customHeight="1"/>
    <x:row r="557" ht="15.75" hidden="0" customHeight="1"/>
    <x:row r="558" ht="15.75" hidden="0" customHeight="1"/>
    <x:row r="559" ht="15.75" hidden="0" customHeight="1"/>
    <x:row r="560" ht="15.75" hidden="0" customHeight="1"/>
    <x:row r="561" ht="15.75" hidden="0" customHeight="1"/>
    <x:row r="562" ht="15.75" hidden="0" customHeight="1"/>
    <x:row r="563" ht="15.75" hidden="0" customHeight="1"/>
    <x:row r="564" ht="15.75" hidden="0" customHeight="1"/>
    <x:row r="565" ht="15.75" hidden="0" customHeight="1"/>
    <x:row r="566" ht="15.75" hidden="0" customHeight="1"/>
    <x:row r="567" ht="15.75" hidden="0" customHeight="1"/>
    <x:row r="568" ht="15.75" hidden="0" customHeight="1"/>
    <x:row r="569" ht="15.75" hidden="0" customHeight="1"/>
    <x:row r="570" ht="15.75" hidden="0" customHeight="1"/>
    <x:row r="571" ht="15.75" hidden="0" customHeight="1"/>
    <x:row r="572" ht="15.75" hidden="0" customHeight="1"/>
    <x:row r="573" ht="15.75" hidden="0" customHeight="1"/>
    <x:row r="574" ht="15.75" hidden="0" customHeight="1"/>
    <x:row r="575" ht="15.75" hidden="0" customHeight="1"/>
    <x:row r="576" ht="15.75" hidden="0" customHeight="1"/>
    <x:row r="577" ht="15.75" hidden="0" customHeight="1"/>
    <x:row r="578" ht="15.75" hidden="0" customHeight="1"/>
    <x:row r="579" ht="15.75" hidden="0" customHeight="1"/>
    <x:row r="580" ht="15.75" hidden="0" customHeight="1"/>
    <x:row r="581" ht="15.75" hidden="0" customHeight="1"/>
    <x:row r="582" ht="15.75" hidden="0" customHeight="1"/>
    <x:row r="583" ht="15.75" hidden="0" customHeight="1"/>
    <x:row r="584" ht="15.75" hidden="0" customHeight="1"/>
    <x:row r="585" ht="15.75" hidden="0" customHeight="1"/>
    <x:row r="586" ht="15.75" hidden="0" customHeight="1"/>
    <x:row r="587" ht="15.75" hidden="0" customHeight="1"/>
    <x:row r="588" ht="15.75" hidden="0" customHeight="1"/>
    <x:row r="589" ht="15.75" hidden="0" customHeight="1"/>
    <x:row r="590" ht="15.75" hidden="0" customHeight="1"/>
    <x:row r="591" ht="15.75" hidden="0" customHeight="1"/>
    <x:row r="592" ht="15.75" hidden="0" customHeight="1"/>
    <x:row r="593" ht="15.75" hidden="0" customHeight="1"/>
    <x:row r="594" ht="15.75" hidden="0" customHeight="1"/>
    <x:row r="595" ht="15.75" hidden="0" customHeight="1"/>
    <x:row r="596" ht="15.75" hidden="0" customHeight="1"/>
    <x:row r="597" ht="15.75" hidden="0" customHeight="1"/>
    <x:row r="598" ht="15.75" hidden="0" customHeight="1"/>
    <x:row r="599" ht="15.75" hidden="0" customHeight="1"/>
    <x:row r="600" ht="15.75" hidden="0" customHeight="1"/>
    <x:row r="601" ht="15.75" hidden="0" customHeight="1"/>
    <x:row r="602" ht="15.75" hidden="0" customHeight="1"/>
    <x:row r="603" ht="15.75" hidden="0" customHeight="1"/>
    <x:row r="604" ht="15.75" hidden="0" customHeight="1"/>
    <x:row r="605" ht="15.75" hidden="0" customHeight="1"/>
    <x:row r="606" ht="15.75" hidden="0" customHeight="1"/>
    <x:row r="607" ht="15.75" hidden="0" customHeight="1"/>
    <x:row r="608" ht="15.75" hidden="0" customHeight="1"/>
    <x:row r="609" ht="15.75" hidden="0" customHeight="1"/>
    <x:row r="610" ht="15.75" hidden="0" customHeight="1"/>
    <x:row r="611" ht="15.75" hidden="0" customHeight="1"/>
    <x:row r="612" ht="15.75" hidden="0" customHeight="1"/>
    <x:row r="613" ht="15.75" hidden="0" customHeight="1"/>
    <x:row r="614" ht="15.75" hidden="0" customHeight="1"/>
    <x:row r="615" ht="15.75" hidden="0" customHeight="1"/>
    <x:row r="616" ht="15.75" hidden="0" customHeight="1"/>
    <x:row r="617" ht="15.75" hidden="0" customHeight="1"/>
    <x:row r="618" ht="15.75" hidden="0" customHeight="1"/>
    <x:row r="619" ht="15.75" hidden="0" customHeight="1"/>
    <x:row r="620" ht="15.75" hidden="0" customHeight="1"/>
    <x:row r="621" ht="15.75" hidden="0" customHeight="1"/>
    <x:row r="622" ht="15.75" hidden="0" customHeight="1"/>
    <x:row r="623" ht="15.75" hidden="0" customHeight="1"/>
    <x:row r="624" ht="15.75" hidden="0" customHeight="1"/>
    <x:row r="625" ht="15.75" hidden="0" customHeight="1"/>
    <x:row r="626" ht="15.75" hidden="0" customHeight="1"/>
    <x:row r="627" ht="15.75" hidden="0" customHeight="1"/>
    <x:row r="628" ht="15.75" hidden="0" customHeight="1"/>
    <x:row r="629" ht="15.75" hidden="0" customHeight="1"/>
    <x:row r="630" ht="15.75" hidden="0" customHeight="1"/>
    <x:row r="631" ht="15.75" hidden="0" customHeight="1"/>
    <x:row r="632" ht="15.75" hidden="0" customHeight="1"/>
    <x:row r="633" ht="15.75" hidden="0" customHeight="1"/>
    <x:row r="634" ht="15.75" hidden="0" customHeight="1"/>
    <x:row r="635" ht="15.75" hidden="0" customHeight="1"/>
    <x:row r="636" ht="15.75" hidden="0" customHeight="1"/>
    <x:row r="637" ht="15.75" hidden="0" customHeight="1"/>
    <x:row r="638" ht="15.75" hidden="0" customHeight="1"/>
    <x:row r="639" ht="15.75" hidden="0" customHeight="1"/>
    <x:row r="640" ht="15.75" hidden="0" customHeight="1"/>
    <x:row r="641" ht="15.75" hidden="0" customHeight="1"/>
    <x:row r="642" ht="15.75" hidden="0" customHeight="1"/>
    <x:row r="643" ht="15.75" hidden="0" customHeight="1"/>
    <x:row r="644" ht="15.75" hidden="0" customHeight="1"/>
    <x:row r="645" ht="15.75" hidden="0" customHeight="1"/>
    <x:row r="646" ht="15.75" hidden="0" customHeight="1"/>
    <x:row r="647" ht="15.75" hidden="0" customHeight="1"/>
    <x:row r="648" ht="15.75" hidden="0" customHeight="1"/>
    <x:row r="649" ht="15.75" hidden="0" customHeight="1"/>
    <x:row r="650" ht="15.75" hidden="0" customHeight="1"/>
    <x:row r="651" ht="15.75" hidden="0" customHeight="1"/>
    <x:row r="652" ht="15.75" hidden="0" customHeight="1"/>
    <x:row r="653" ht="15.75" hidden="0" customHeight="1"/>
    <x:row r="654" ht="15.75" hidden="0" customHeight="1"/>
    <x:row r="655" ht="15.75" hidden="0" customHeight="1"/>
    <x:row r="656" ht="15.75" hidden="0" customHeight="1"/>
    <x:row r="657" ht="15.75" hidden="0" customHeight="1"/>
    <x:row r="658" ht="15.75" hidden="0" customHeight="1"/>
    <x:row r="659" ht="15.75" hidden="0" customHeight="1"/>
    <x:row r="660" ht="15.75" hidden="0" customHeight="1"/>
    <x:row r="661" ht="15.75" hidden="0" customHeight="1"/>
    <x:row r="662" ht="15.75" hidden="0" customHeight="1"/>
    <x:row r="663" ht="15.75" hidden="0" customHeight="1"/>
    <x:row r="664" ht="15.75" hidden="0" customHeight="1"/>
    <x:row r="665" ht="15.75" hidden="0" customHeight="1"/>
    <x:row r="666" ht="15.75" hidden="0" customHeight="1"/>
    <x:row r="667" ht="15.75" hidden="0" customHeight="1"/>
    <x:row r="668" ht="15.75" hidden="0" customHeight="1"/>
    <x:row r="669" ht="15.75" hidden="0" customHeight="1"/>
    <x:row r="670" ht="15.75" hidden="0" customHeight="1"/>
    <x:row r="671" ht="15.75" hidden="0" customHeight="1"/>
    <x:row r="672" ht="15.75" hidden="0" customHeight="1"/>
    <x:row r="673" ht="15.75" hidden="0" customHeight="1"/>
    <x:row r="674" ht="15.75" hidden="0" customHeight="1"/>
    <x:row r="675" ht="15.75" hidden="0" customHeight="1"/>
    <x:row r="676" ht="15.75" hidden="0" customHeight="1"/>
    <x:row r="677" ht="15.75" hidden="0" customHeight="1"/>
    <x:row r="678" ht="15.75" hidden="0" customHeight="1"/>
    <x:row r="679" ht="15.75" hidden="0" customHeight="1"/>
    <x:row r="680" ht="15.75" hidden="0" customHeight="1"/>
    <x:row r="681" ht="15.75" hidden="0" customHeight="1"/>
    <x:row r="682" ht="15.75" hidden="0" customHeight="1"/>
    <x:row r="683" ht="15.75" hidden="0" customHeight="1"/>
    <x:row r="684" ht="15.75" hidden="0" customHeight="1"/>
    <x:row r="685" ht="15.75" hidden="0" customHeight="1"/>
    <x:row r="686" ht="15.75" hidden="0" customHeight="1"/>
    <x:row r="687" ht="15.75" hidden="0" customHeight="1"/>
    <x:row r="688" ht="15.75" hidden="0" customHeight="1"/>
    <x:row r="689" ht="15.75" hidden="0" customHeight="1"/>
    <x:row r="690" ht="15.75" hidden="0" customHeight="1"/>
    <x:row r="691" ht="15.75" hidden="0" customHeight="1"/>
    <x:row r="692" ht="15.75" hidden="0" customHeight="1"/>
    <x:row r="693" ht="15.75" hidden="0" customHeight="1"/>
    <x:row r="694" ht="15.75" hidden="0" customHeight="1"/>
    <x:row r="695" ht="15.75" hidden="0" customHeight="1"/>
    <x:row r="696" ht="15.75" hidden="0" customHeight="1"/>
    <x:row r="697" ht="15.75" hidden="0" customHeight="1"/>
    <x:row r="698" ht="15.75" hidden="0" customHeight="1"/>
    <x:row r="699" ht="15.75" hidden="0" customHeight="1"/>
    <x:row r="700" ht="15.75" hidden="0" customHeight="1"/>
    <x:row r="701" ht="15.75" hidden="0" customHeight="1"/>
    <x:row r="702" ht="15.75" hidden="0" customHeight="1"/>
    <x:row r="703" ht="15.75" hidden="0" customHeight="1"/>
    <x:row r="704" ht="15.75" hidden="0" customHeight="1"/>
    <x:row r="705" ht="15.75" hidden="0" customHeight="1"/>
    <x:row r="706" ht="15.75" hidden="0" customHeight="1"/>
    <x:row r="707" ht="15.75" hidden="0" customHeight="1"/>
    <x:row r="708" ht="15.75" hidden="0" customHeight="1"/>
    <x:row r="709" ht="15.75" hidden="0" customHeight="1"/>
    <x:row r="710" ht="15.75" hidden="0" customHeight="1"/>
    <x:row r="711" ht="15.75" hidden="0" customHeight="1"/>
    <x:row r="712" ht="15.75" hidden="0" customHeight="1"/>
    <x:row r="713" ht="15.75" hidden="0" customHeight="1"/>
    <x:row r="714" ht="15.75" hidden="0" customHeight="1"/>
    <x:row r="715" ht="15.75" hidden="0" customHeight="1"/>
    <x:row r="716" ht="15.75" hidden="0" customHeight="1"/>
    <x:row r="717" ht="15.75" hidden="0" customHeight="1"/>
    <x:row r="718" ht="15.75" hidden="0" customHeight="1"/>
    <x:row r="719" ht="15.75" hidden="0" customHeight="1"/>
    <x:row r="720" ht="15.75" hidden="0" customHeight="1"/>
    <x:row r="721" ht="15.75" hidden="0" customHeight="1"/>
    <x:row r="722" ht="15.75" hidden="0" customHeight="1"/>
    <x:row r="723" ht="15.75" hidden="0" customHeight="1"/>
    <x:row r="724" ht="15.75" hidden="0" customHeight="1"/>
    <x:row r="725" ht="15.75" hidden="0" customHeight="1"/>
    <x:row r="726" ht="15.75" hidden="0" customHeight="1"/>
    <x:row r="727" ht="15.75" hidden="0" customHeight="1"/>
    <x:row r="728" ht="15.75" hidden="0" customHeight="1"/>
    <x:row r="729" ht="15.75" hidden="0" customHeight="1"/>
    <x:row r="730" ht="15.75" hidden="0" customHeight="1"/>
    <x:row r="731" ht="15.75" hidden="0" customHeight="1"/>
    <x:row r="732" ht="15.75" hidden="0" customHeight="1"/>
    <x:row r="733" ht="15.75" hidden="0" customHeight="1"/>
    <x:row r="734" ht="15.75" hidden="0" customHeight="1"/>
    <x:row r="735" ht="15.75" hidden="0" customHeight="1"/>
    <x:row r="736" ht="15.75" hidden="0" customHeight="1"/>
    <x:row r="737" ht="15.75" hidden="0" customHeight="1"/>
    <x:row r="738" ht="15.75" hidden="0" customHeight="1"/>
    <x:row r="739" ht="15.75" hidden="0" customHeight="1"/>
    <x:row r="740" ht="15.75" hidden="0" customHeight="1"/>
    <x:row r="741" ht="15.75" hidden="0" customHeight="1"/>
    <x:row r="742" ht="15.75" hidden="0" customHeight="1"/>
    <x:row r="743" ht="15.75" hidden="0" customHeight="1"/>
    <x:row r="744" ht="15.75" hidden="0" customHeight="1"/>
    <x:row r="745" ht="15.75" hidden="0" customHeight="1"/>
    <x:row r="746" ht="15.75" hidden="0" customHeight="1"/>
    <x:row r="747" ht="15.75" hidden="0" customHeight="1"/>
    <x:row r="748" ht="15.75" hidden="0" customHeight="1"/>
    <x:row r="749" ht="15.75" hidden="0" customHeight="1"/>
    <x:row r="750" ht="15.75" hidden="0" customHeight="1"/>
    <x:row r="751" ht="15.75" hidden="0" customHeight="1"/>
    <x:row r="752" ht="15.75" hidden="0" customHeight="1"/>
    <x:row r="753" ht="15.75" hidden="0" customHeight="1"/>
    <x:row r="754" ht="15.75" hidden="0" customHeight="1"/>
    <x:row r="755" ht="15.75" hidden="0" customHeight="1"/>
    <x:row r="756" ht="15.75" hidden="0" customHeight="1"/>
    <x:row r="757" ht="15.75" hidden="0" customHeight="1"/>
    <x:row r="758" ht="15.75" hidden="0" customHeight="1"/>
    <x:row r="759" ht="15.75" hidden="0" customHeight="1"/>
    <x:row r="760" ht="15.75" hidden="0" customHeight="1"/>
    <x:row r="761" ht="15.75" hidden="0" customHeight="1"/>
    <x:row r="762" ht="15.75" hidden="0" customHeight="1"/>
    <x:row r="763" ht="15.75" hidden="0" customHeight="1"/>
    <x:row r="764" ht="15.75" hidden="0" customHeight="1"/>
    <x:row r="765" ht="15.75" hidden="0" customHeight="1"/>
    <x:row r="766" ht="15.75" hidden="0" customHeight="1"/>
    <x:row r="767" ht="15.75" hidden="0" customHeight="1"/>
    <x:row r="768" ht="15.75" hidden="0" customHeight="1"/>
    <x:row r="769" ht="15.75" hidden="0" customHeight="1"/>
    <x:row r="770" ht="15.75" hidden="0" customHeight="1"/>
    <x:row r="771" ht="15.75" hidden="0" customHeight="1"/>
    <x:row r="772" ht="15.75" hidden="0" customHeight="1"/>
    <x:row r="773" ht="15.75" hidden="0" customHeight="1"/>
    <x:row r="774" ht="15.75" hidden="0" customHeight="1"/>
    <x:row r="775" ht="15.75" hidden="0" customHeight="1"/>
    <x:row r="776" ht="15.75" hidden="0" customHeight="1"/>
    <x:row r="777" ht="15.75" hidden="0" customHeight="1"/>
    <x:row r="778" ht="15.75" hidden="0" customHeight="1"/>
    <x:row r="779" ht="15.75" hidden="0" customHeight="1"/>
    <x:row r="780" ht="15.75" hidden="0" customHeight="1"/>
    <x:row r="781" ht="15.75" hidden="0" customHeight="1"/>
    <x:row r="782" ht="15.75" hidden="0" customHeight="1"/>
    <x:row r="783" ht="15.75" hidden="0" customHeight="1"/>
    <x:row r="784" ht="15.75" hidden="0" customHeight="1"/>
    <x:row r="785" ht="15.75" hidden="0" customHeight="1"/>
    <x:row r="786" ht="15.75" hidden="0" customHeight="1"/>
    <x:row r="787" ht="15.75" hidden="0" customHeight="1"/>
    <x:row r="788" ht="15.75" hidden="0" customHeight="1"/>
    <x:row r="789" ht="15.75" hidden="0" customHeight="1"/>
    <x:row r="790" ht="15.75" hidden="0" customHeight="1"/>
    <x:row r="791" ht="15.75" hidden="0" customHeight="1"/>
    <x:row r="792" ht="15.75" hidden="0" customHeight="1"/>
    <x:row r="793" ht="15.75" hidden="0" customHeight="1"/>
    <x:row r="794" ht="15.75" hidden="0" customHeight="1"/>
    <x:row r="795" ht="15.75" hidden="0" customHeight="1"/>
    <x:row r="796" ht="15.75" hidden="0" customHeight="1"/>
    <x:row r="797" ht="15.75" hidden="0" customHeight="1"/>
    <x:row r="798" ht="15.75" hidden="0" customHeight="1"/>
    <x:row r="799" ht="15.75" hidden="0" customHeight="1"/>
    <x:row r="800" ht="15.75" hidden="0" customHeight="1"/>
    <x:row r="801" ht="15.75" hidden="0" customHeight="1"/>
    <x:row r="802" ht="15.75" hidden="0" customHeight="1"/>
    <x:row r="803" ht="15.75" hidden="0" customHeight="1"/>
    <x:row r="804" ht="15.75" hidden="0" customHeight="1"/>
    <x:row r="805" ht="15.75" hidden="0" customHeight="1"/>
    <x:row r="806" ht="15.75" hidden="0" customHeight="1"/>
    <x:row r="807" ht="15.75" hidden="0" customHeight="1"/>
    <x:row r="808" ht="15.75" hidden="0" customHeight="1"/>
    <x:row r="809" ht="15.75" hidden="0" customHeight="1"/>
    <x:row r="810" ht="15.75" hidden="0" customHeight="1"/>
    <x:row r="811" ht="15.75" hidden="0" customHeight="1"/>
    <x:row r="812" ht="15.75" hidden="0" customHeight="1"/>
    <x:row r="813" ht="15.75" hidden="0" customHeight="1"/>
    <x:row r="814" ht="15.75" hidden="0" customHeight="1"/>
    <x:row r="815" ht="15.75" hidden="0" customHeight="1"/>
    <x:row r="816" ht="15.75" hidden="0" customHeight="1"/>
    <x:row r="817" ht="15.75" hidden="0" customHeight="1"/>
    <x:row r="818" ht="15.75" hidden="0" customHeight="1"/>
    <x:row r="819" ht="15.75" hidden="0" customHeight="1"/>
    <x:row r="820" ht="15.75" hidden="0" customHeight="1"/>
    <x:row r="821" ht="15.75" hidden="0" customHeight="1"/>
    <x:row r="822" ht="15.75" hidden="0" customHeight="1"/>
    <x:row r="823" ht="15.75" hidden="0" customHeight="1"/>
    <x:row r="824" ht="15.75" hidden="0" customHeight="1"/>
    <x:row r="825" ht="15.75" hidden="0" customHeight="1"/>
    <x:row r="826" ht="15.75" hidden="0" customHeight="1"/>
    <x:row r="827" ht="15.75" hidden="0" customHeight="1"/>
    <x:row r="828" ht="15.75" hidden="0" customHeight="1"/>
    <x:row r="829" ht="15.75" hidden="0" customHeight="1"/>
    <x:row r="830" ht="15.75" hidden="0" customHeight="1"/>
    <x:row r="831" ht="15.75" hidden="0" customHeight="1"/>
    <x:row r="832" ht="15.75" hidden="0" customHeight="1"/>
    <x:row r="833" ht="15.75" hidden="0" customHeight="1"/>
    <x:row r="834" ht="15.75" hidden="0" customHeight="1"/>
    <x:row r="835" ht="15.75" hidden="0" customHeight="1"/>
    <x:row r="836" ht="15.75" hidden="0" customHeight="1"/>
    <x:row r="837" ht="15.75" hidden="0" customHeight="1"/>
    <x:row r="838" ht="15.75" hidden="0" customHeight="1"/>
    <x:row r="839" ht="15.75" hidden="0" customHeight="1"/>
    <x:row r="840" ht="15.75" hidden="0" customHeight="1"/>
    <x:row r="841" ht="15.75" hidden="0" customHeight="1"/>
    <x:row r="842" ht="15.75" hidden="0" customHeight="1"/>
    <x:row r="843" ht="15.75" hidden="0" customHeight="1"/>
    <x:row r="844" ht="15.75" hidden="0" customHeight="1"/>
    <x:row r="845" ht="15.75" hidden="0" customHeight="1"/>
    <x:row r="846" ht="15.75" hidden="0" customHeight="1"/>
    <x:row r="847" ht="15.75" hidden="0" customHeight="1"/>
    <x:row r="848" ht="15.75" hidden="0" customHeight="1"/>
    <x:row r="849" ht="15.75" hidden="0" customHeight="1"/>
    <x:row r="850" ht="15.75" hidden="0" customHeight="1"/>
    <x:row r="851" ht="15.75" hidden="0" customHeight="1"/>
    <x:row r="852" ht="15.75" hidden="0" customHeight="1"/>
    <x:row r="853" ht="15.75" hidden="0" customHeight="1"/>
    <x:row r="854" ht="15.75" hidden="0" customHeight="1"/>
    <x:row r="855" ht="15.75" hidden="0" customHeight="1"/>
    <x:row r="856" ht="15.75" hidden="0" customHeight="1"/>
    <x:row r="857" ht="15.75" hidden="0" customHeight="1"/>
    <x:row r="858" ht="15.75" hidden="0" customHeight="1"/>
    <x:row r="859" ht="15.75" hidden="0" customHeight="1"/>
    <x:row r="860" ht="15.75" hidden="0" customHeight="1"/>
    <x:row r="861" ht="15.75" hidden="0" customHeight="1"/>
    <x:row r="862" ht="15.75" hidden="0" customHeight="1"/>
    <x:row r="863" ht="15.75" hidden="0" customHeight="1"/>
    <x:row r="864" ht="15.75" hidden="0" customHeight="1"/>
    <x:row r="865" ht="15.75" hidden="0" customHeight="1"/>
    <x:row r="866" ht="15.75" hidden="0" customHeight="1"/>
    <x:row r="867" ht="15.75" hidden="0" customHeight="1"/>
    <x:row r="868" ht="15.75" hidden="0" customHeight="1"/>
    <x:row r="869" ht="15.75" hidden="0" customHeight="1"/>
    <x:row r="870" ht="15.75" hidden="0" customHeight="1"/>
    <x:row r="871" ht="15.75" hidden="0" customHeight="1"/>
    <x:row r="872" ht="15.75" hidden="0" customHeight="1"/>
    <x:row r="873" ht="15.75" hidden="0" customHeight="1"/>
    <x:row r="874" ht="15.75" hidden="0" customHeight="1"/>
    <x:row r="875" ht="15.75" hidden="0" customHeight="1"/>
    <x:row r="876" ht="15.75" hidden="0" customHeight="1"/>
    <x:row r="877" ht="15.75" hidden="0" customHeight="1"/>
    <x:row r="878" ht="15.75" hidden="0" customHeight="1"/>
    <x:row r="879" ht="15.75" hidden="0" customHeight="1"/>
    <x:row r="880" ht="15.75" hidden="0" customHeight="1"/>
    <x:row r="881" ht="15.75" hidden="0" customHeight="1"/>
    <x:row r="882" ht="15.75" hidden="0" customHeight="1"/>
    <x:row r="883" ht="15.75" hidden="0" customHeight="1"/>
    <x:row r="884" ht="15.75" hidden="0" customHeight="1"/>
    <x:row r="885" ht="15.75" hidden="0" customHeight="1"/>
    <x:row r="886" ht="15.75" hidden="0" customHeight="1"/>
    <x:row r="887" ht="15.75" hidden="0" customHeight="1"/>
    <x:row r="888" ht="15.75" hidden="0" customHeight="1"/>
    <x:row r="889" ht="15.75" hidden="0" customHeight="1"/>
    <x:row r="890" ht="15.75" hidden="0" customHeight="1"/>
    <x:row r="891" ht="15.75" hidden="0" customHeight="1"/>
    <x:row r="892" ht="15.75" hidden="0" customHeight="1"/>
    <x:row r="893" ht="15.75" hidden="0" customHeight="1"/>
    <x:row r="894" ht="15.75" hidden="0" customHeight="1"/>
    <x:row r="895" ht="15.75" hidden="0" customHeight="1"/>
    <x:row r="896" ht="15.75" hidden="0" customHeight="1"/>
    <x:row r="897" ht="15.75" hidden="0" customHeight="1"/>
    <x:row r="898" ht="15.75" hidden="0" customHeight="1"/>
    <x:row r="899" ht="15.75" hidden="0" customHeight="1"/>
    <x:row r="900" ht="15.75" hidden="0" customHeight="1"/>
    <x:row r="901" ht="15.75" hidden="0" customHeight="1"/>
    <x:row r="902" ht="15.75" hidden="0" customHeight="1"/>
    <x:row r="903" ht="15.75" hidden="0" customHeight="1"/>
    <x:row r="904" ht="15.75" hidden="0" customHeight="1"/>
    <x:row r="905" ht="15.75" hidden="0" customHeight="1"/>
    <x:row r="906" ht="15.75" hidden="0" customHeight="1"/>
    <x:row r="907" ht="15.75" hidden="0" customHeight="1"/>
    <x:row r="908" ht="15.75" hidden="0" customHeight="1"/>
    <x:row r="909" ht="15.75" hidden="0" customHeight="1"/>
    <x:row r="910" ht="15.75" hidden="0" customHeight="1"/>
    <x:row r="911" ht="15.75" hidden="0" customHeight="1"/>
    <x:row r="912" ht="15.75" hidden="0" customHeight="1"/>
    <x:row r="913" ht="15.75" hidden="0" customHeight="1"/>
    <x:row r="914" ht="15.75" hidden="0" customHeight="1"/>
    <x:row r="915" ht="15.75" hidden="0" customHeight="1"/>
    <x:row r="916" ht="15.75" hidden="0" customHeight="1"/>
    <x:row r="917" ht="15.75" hidden="0" customHeight="1"/>
    <x:row r="918" ht="15.75" hidden="0" customHeight="1"/>
    <x:row r="919" ht="15.75" hidden="0" customHeight="1"/>
    <x:row r="920" ht="15.75" hidden="0" customHeight="1"/>
    <x:row r="921" ht="15.75" hidden="0" customHeight="1"/>
    <x:row r="922" ht="15.75" hidden="0" customHeight="1"/>
    <x:row r="923" ht="15.75" hidden="0" customHeight="1"/>
    <x:row r="924" ht="15.75" hidden="0" customHeight="1"/>
    <x:row r="925" ht="15.75" hidden="0" customHeight="1"/>
    <x:row r="926" ht="15.75" hidden="0" customHeight="1"/>
    <x:row r="927" ht="15.75" hidden="0" customHeight="1"/>
    <x:row r="928" ht="15.75" hidden="0" customHeight="1"/>
    <x:row r="929" ht="15.75" hidden="0" customHeight="1"/>
    <x:row r="930" ht="15.75" hidden="0" customHeight="1"/>
    <x:row r="931" ht="15.75" hidden="0" customHeight="1"/>
    <x:row r="932" ht="15.75" hidden="0" customHeight="1"/>
    <x:row r="933" ht="15.75" hidden="0" customHeight="1"/>
    <x:row r="934" ht="15.75" hidden="0" customHeight="1"/>
    <x:row r="935" ht="15.75" hidden="0" customHeight="1"/>
    <x:row r="936" ht="15.75" hidden="0" customHeight="1"/>
    <x:row r="937" ht="15.75" hidden="0" customHeight="1"/>
    <x:row r="938" ht="15.75" hidden="0" customHeight="1"/>
    <x:row r="939" ht="15.75" hidden="0" customHeight="1"/>
    <x:row r="940" ht="15.75" hidden="0" customHeight="1"/>
    <x:row r="941" ht="15.75" hidden="0" customHeight="1"/>
    <x:row r="942" ht="15.75" hidden="0" customHeight="1"/>
    <x:row r="943" ht="15.75" hidden="0" customHeight="1"/>
    <x:row r="944" ht="15.75" hidden="0" customHeight="1"/>
    <x:row r="945" ht="15.75" hidden="0" customHeight="1"/>
    <x:row r="946" ht="15.75" hidden="0" customHeight="1"/>
    <x:row r="947" ht="15.75" hidden="0" customHeight="1"/>
    <x:row r="948" ht="15.75" hidden="0" customHeight="1"/>
    <x:row r="949" ht="15.75" hidden="0" customHeight="1"/>
    <x:row r="950" ht="15.75" hidden="0" customHeight="1"/>
    <x:row r="951" ht="15.75" hidden="0" customHeight="1"/>
    <x:row r="952" ht="15.75" hidden="0" customHeight="1"/>
    <x:row r="953" ht="15.75" hidden="0" customHeight="1"/>
    <x:row r="954" ht="15.75" hidden="0" customHeight="1"/>
    <x:row r="955" ht="15.75" hidden="0" customHeight="1"/>
    <x:row r="956" ht="15.75" hidden="0" customHeight="1"/>
    <x:row r="957" ht="15.75" hidden="0" customHeight="1"/>
    <x:row r="958" ht="15.75" hidden="0" customHeight="1"/>
    <x:row r="959" ht="15.75" hidden="0" customHeight="1"/>
    <x:row r="960" ht="15.75" hidden="0" customHeight="1"/>
    <x:row r="961" ht="15.75" hidden="0" customHeight="1"/>
    <x:row r="962" ht="15.75" hidden="0" customHeight="1"/>
    <x:row r="963" ht="15.75" hidden="0" customHeight="1"/>
    <x:row r="964" ht="15.75" hidden="0" customHeight="1"/>
    <x:row r="965" ht="15.75" hidden="0" customHeight="1"/>
    <x:row r="966" ht="15.75" hidden="0" customHeight="1"/>
    <x:row r="967" ht="15.75" hidden="0" customHeight="1"/>
    <x:row r="968" ht="15.75" hidden="0" customHeight="1"/>
    <x:row r="969" ht="15.75" hidden="0" customHeight="1"/>
    <x:row r="970" ht="15.75" hidden="0" customHeight="1"/>
    <x:row r="971" ht="15.75" hidden="0" customHeight="1"/>
    <x:row r="972" ht="15.75" hidden="0" customHeight="1"/>
    <x:row r="973" ht="15.75" hidden="0" customHeight="1"/>
    <x:row r="974" ht="15.75" hidden="0" customHeight="1"/>
    <x:row r="975" ht="15.75" hidden="0" customHeight="1"/>
    <x:row r="976" ht="15.75" hidden="0" customHeight="1"/>
    <x:row r="977" ht="15.75" hidden="0" customHeight="1"/>
    <x:row r="978" ht="15.75" hidden="0" customHeight="1"/>
    <x:row r="979" ht="15.75" hidden="0" customHeight="1"/>
    <x:row r="980" ht="15.75" hidden="0" customHeight="1"/>
    <x:row r="981" ht="15.75" hidden="0" customHeight="1"/>
    <x:row r="982" ht="15.75" hidden="0" customHeight="1"/>
    <x:row r="983" ht="15.75" hidden="0" customHeight="1"/>
    <x:row r="984" ht="15.75" hidden="0" customHeight="1"/>
    <x:row r="985" ht="15.75" hidden="0" customHeight="1"/>
    <x:row r="986" ht="15.75" hidden="0" customHeight="1"/>
    <x:row r="987" ht="15.75" hidden="0" customHeight="1"/>
    <x:row r="988" ht="15.75" hidden="0" customHeight="1"/>
    <x:row r="989" ht="15.75" hidden="0" customHeight="1"/>
    <x:row r="990" ht="15.75" hidden="0" customHeight="1"/>
    <x:row r="991" ht="15.75" hidden="0" customHeight="1"/>
    <x:row r="992" ht="15.75" hidden="0" customHeight="1"/>
    <x:row r="993" ht="15.75" hidden="0" customHeight="1"/>
    <x:row r="994" ht="15.75" hidden="0" customHeight="1"/>
    <x:row r="995" ht="15.75" hidden="0" customHeight="1"/>
    <x:row r="996" ht="15.75" hidden="0" customHeight="1"/>
    <x:row r="997" ht="15.75" hidden="0" customHeight="1"/>
    <x:row r="998" ht="15.75" hidden="0" customHeight="1"/>
    <x:row r="999" ht="15.75" hidden="0" customHeight="1"/>
    <x:row r="1000" ht="15.75" hidden="0" customHeight="1"/>
  </x:sheetData>
  <x:mergeCells>
    <x:mergeCell ref="B1:F1"/>
    <x:mergeCell ref="B2:F2"/>
    <x:mergeCell ref="B11:F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4" style="1" hidden="0" customWidth="1"/>
    <x:col min="2" max="2" width="90" style="1" hidden="0" customWidth="1"/>
  </x:cols>
  <x:sheetData>
    <x:row r="1" ht="21.75" hidden="0" customHeight="1">
      <x:c r="B1" s="2" t="str">
        <x:v>ASCR-16-OE02-Latency-Budget-and-Deployment-Worksheet.xlsx — How to Use the Deployment Checklist</x:v>
      </x:c>
    </x:row>
    <x:row r="2" ht="15" hidden="0" customHeight="1">
      <x:c r="B2" s="47" t="str">
        <x:v>Cloud-to-Edge Trust Chain  ·  Companion to ASCR-16 v1.0 Section 6  ·  Version 1.0 — June 2026</x:v>
      </x:c>
    </x:row>
    <x:row r="4" ht="15" hidden="0" customHeight="1">
      <x:c r="B4" s="48" t="s">
        <x:v>0</x:v>
      </x:c>
    </x:row>
    <x:row r="6" ht="102" hidden="0" customHeight="1">
      <x:c r="B6" s="49" t="str">
        <x:v>This checklist must be completed before any model artifact update traverses the cloud-to-edge boundary in a deployment with physical actuation authority. Each item must be verified and signed off by the responsible role. Cross-attestation, boundary-verification, EP-18 admission/delivery, transit-custody, re-attestation, and failure-verification records referenced by this workbook are ASCR-16 evidence objects retained in the deployment's governed evidence repository; where a corresponding ASCR-07 planning-cycle record exists, preserve the deployment-governed correlation. They are not ASCR-07 §1.2 storage-layer records. For Part 10, record raw results in ASCR-09-OE01 §5 and any resulting gaps in §6; attach or reference the ASCR-16 evidence as a cloud-to-edge trust-chain validation annex. This ASCR-16 validation is not ASCR-09 TVA-01 and does not create a new ASCR-09 TVA identifier.</x:v>
      </x:c>
    </x:row>
    <x:row r="8" ht="15" hidden="0" customHeight="1">
      <x:c r="B8" s="48" t="s">
        <x:v>8</x:v>
      </x:c>
    </x:row>
    <x:row r="10" ht="45" hidden="0" customHeight="1">
      <x:c r="B10" s="49" t="str">
        <x:v>Go to the 'Deployment Checklist' sheet. Complete Part 1 item 1d first and record whether the cloud inference and aggregation pipeline is Vendor-supplied or Operator-managed. Complete the Deployment Parameters sheet for all applicable cross-cutting values and authority references. Complete the authenticated feed_id / pipeline_svid binding in the Context Feed Registry, the device-class attestation reference profile branch (Part 3), EP-18/EP-19 signed-handoff checks (Part 4), direct end-to-end P95/P99 and deployment-event completeness checks (Part 7), and evidence-based ASCR-08 routing entries (Part 8).</x:v>
      </x:c>
    </x:row>
    <x:row r="12" ht="15" hidden="0" customHeight="1">
      <x:c r="B12" s="48" t="s">
        <x:v>9</x:v>
      </x:c>
    </x:row>
    <x:row r="14" ht="45" hidden="0" customHeight="1">
      <x:c r="B14" s="49" t="s">
        <x:v>10</x:v>
      </x:c>
    </x:row>
    <x:row r="16" ht="15" hidden="0" customHeight="1">
      <x:c r="B16" s="48" t="s">
        <x:v>11</x:v>
      </x:c>
    </x:row>
    <x:row r="18" ht="92" hidden="0" customHeight="1">
      <x:c r="B18" s="197" t="str">
        <x:v>Item numbers in Parts 8-10 are non-sequential by design and are inherited unchanged from the original standalone checklist: Part 8 (Alert Routing) uses 8a-8h with no standalone item 8; Part 9 (Physical Tamper Controls) uses items 11-13; Part 10 (Cloud-to-Edge Trust Validation) uses item 10 and appears after Part 9 despite the lower number. Canonical ASCR-16 Section 6 item 9, the emergency-update procedure, is implemented in this workbook as Part 6 item 6d, "Emergency update path configured: Tier 3 authorization workflow tested per ASCR-03 §4.3 and the ASCR-10 §6.1 emergency-change path." For the canonical sequential order (1 through 13) and the single-line description of each item, see ASCR-16 Section 6, which is authoritative for item sequence. Do not renumber this sheet to "fix" the inherited numbering without also updating ASCR-16 Section 6 and completed sign-off records that cite the existing numbers.</x:v>
      </x:c>
    </x:row>
    <x:row r="20" ht="15" hidden="0" customHeight="1">
      <x:c r="B20" s="48" t="s">
        <x:v>12</x:v>
      </x:c>
    </x:row>
    <x:row r="22" ht="45" hidden="0" customHeight="1">
      <x:c r="B22" s="49" t="str">
        <x:v>All items in Parts 1-10 must be marked Verified or N/A (with documented justification reviewed by the Security/IR Lead) before physical actuation authority is granted. Framed-feed controls are mandatory only for feeds classified Framed; Atomic feeds may mark framing-only registry fields N/A with documented transport evidence. Items marked N/A must be reflected in ASCR-12 as residual risk where they represent a control gap rather than a genuinely inapplicable condition.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4" style="1" hidden="0" customWidth="1"/>
    <x:col min="2" max="2" width="5" style="1" hidden="0" customWidth="1"/>
    <x:col min="3" max="3" width="46" style="1" hidden="0" customWidth="1"/>
    <x:col min="4" max="4" width="20" style="1" hidden="0" customWidth="1"/>
    <x:col min="5" max="5" width="14" style="1" hidden="0" customWidth="1"/>
    <x:col min="6" max="6" width="13" style="1" hidden="0" customWidth="1"/>
    <x:col min="7" max="7" width="14" style="1" hidden="0" customWidth="1"/>
    <x:col min="8" max="8" width="11" style="1" hidden="0" customWidth="1"/>
    <x:col min="9" max="9" width="30" style="1" hidden="0" customWidth="1"/>
  </x:cols>
  <x:sheetData>
    <x:row r="1" ht="21.75" hidden="0" customHeight="1">
      <x:c r="B1" s="50" t="str">
        <x:v>ASCR-16-OE02-Latency-Budget-and-Deployment-Worksheet.xlsx — Deployment Checklist</x:v>
      </x:c>
      <x:c r="C1" s="50"/>
      <x:c r="D1" s="50"/>
      <x:c r="E1" s="50"/>
      <x:c r="F1" s="50"/>
      <x:c r="G1" s="50"/>
      <x:c r="H1" s="50"/>
      <x:c r="I1" s="50"/>
    </x:row>
    <x:row r="2" ht="15" hidden="0" customHeight="1">
      <x:c r="B2" s="51" t="str">
        <x:v>Cloud-to-Edge Trust Chain · Companion to ASCR-16 v1.0 Section 6 · Version 1.0 — June 2026 · See 'Checklist Instructions' tab before use</x:v>
      </x:c>
      <x:c r="C2" s="51"/>
      <x:c r="D2" s="51"/>
      <x:c r="E2" s="51"/>
      <x:c r="F2" s="51"/>
      <x:c r="G2" s="51"/>
      <x:c r="H2" s="51"/>
      <x:c r="I2" s="51"/>
    </x:row>
    <x:row r="4" ht="15" hidden="0" customHeight="1">
      <x:c r="B4" s="52" t="s">
        <x:v>13</x:v>
      </x:c>
      <x:c r="C4" s="52"/>
      <x:c r="D4" s="52"/>
      <x:c r="E4" s="52"/>
      <x:c r="F4" s="52"/>
      <x:c r="G4" s="52"/>
      <x:c r="H4" s="52"/>
      <x:c r="I4" s="52"/>
    </x:row>
    <x:row r="5" ht="15" hidden="0" customHeight="1">
      <x:c r="B5" s="198" t="s">
        <x:v>14</x:v>
      </x:c>
      <x:c r="C5" s="198" t="s">
        <x:v>15</x:v>
      </x:c>
      <x:c r="D5" s="198" t="s">
        <x:v>16</x:v>
      </x:c>
      <x:c r="E5" s="198" t="s">
        <x:v>17</x:v>
      </x:c>
      <x:c r="F5" s="198" t="s">
        <x:v>18</x:v>
      </x:c>
      <x:c r="G5" s="198" t="s">
        <x:v>19</x:v>
      </x:c>
      <x:c r="H5" s="198" t="s">
        <x:v>20</x:v>
      </x:c>
      <x:c r="I5" s="198" t="s">
        <x:v>21</x:v>
      </x:c>
    </x:row>
    <x:row r="6" ht="32.400001525878906" hidden="0" customHeight="1">
      <x:c r="B6" s="199" t="s">
        <x:v>22</x:v>
      </x:c>
      <x:c r="C6" s="199" t="str">
        <x:v>Cloud-to-edge conduit documented as Conduit C7 in the ASCR-05 deployment instance; EP-17/18/19 specifications represented in the deployment enforcement-point register</x:v>
      </x:c>
      <x:c r="D6" s="199" t="s">
        <x:v>23</x:v>
      </x:c>
      <x:c r="E6" s="199" t="s">
        <x:v>24</x:v>
      </x:c>
      <x:c r="F6" s="199" t="s">
        <x:v>25</x:v>
      </x:c>
      <x:c r="G6" s="199"/>
      <x:c r="H6" s="199"/>
      <x:c r="I6" s="340"/>
    </x:row>
    <x:row r="7" ht="32.400001525878906" hidden="0" customHeight="1">
      <x:c r="B7" s="200" t="s">
        <x:v>26</x:v>
      </x:c>
      <x:c r="C7" s="200" t="str">
        <x:v>EP-17 scope confirmed: lineage-token/dispatch evidence for model artifacts and signed boundary-envelope generation for context integrity units</x:v>
      </x:c>
      <x:c r="D7" s="200" t="s">
        <x:v>23</x:v>
      </x:c>
      <x:c r="E7" s="200" t="s">
        <x:v>24</x:v>
      </x:c>
      <x:c r="F7" s="200" t="s">
        <x:v>25</x:v>
      </x:c>
      <x:c r="G7" s="200"/>
      <x:c r="H7" s="200"/>
      <x:c r="I7" s="340"/>
    </x:row>
    <x:row r="8" ht="32.400001525878906" hidden="0" customHeight="1">
      <x:c r="B8" s="199" t="s">
        <x:v>27</x:v>
      </x:c>
      <x:c r="C8" s="199" t="str">
        <x:v>EP-18 scope confirmed: token/key validation, artifact/custody validation, boundary-envelope signature and payload-hash verification before OT admission, and signed EP-18 handoff generation for verified context integrity units</x:v>
      </x:c>
      <x:c r="D8" s="199" t="s">
        <x:v>23</x:v>
      </x:c>
      <x:c r="E8" s="199" t="s">
        <x:v>24</x:v>
      </x:c>
      <x:c r="F8" s="199" t="s">
        <x:v>25</x:v>
      </x:c>
      <x:c r="G8" s="199"/>
      <x:c r="H8" s="199"/>
      <x:c r="I8" s="340"/>
    </x:row>
    <x:row r="9" ht="58" hidden="0" customHeight="1">
      <x:c r="B9" s="200" t="s">
        <x:v>28</x:v>
      </x:c>
      <x:c r="C9" s="200" t="str">
        <x:v>EP-19 scope confirmed: exact cloud-attestation binding verification, fresh device-class attestation, authorization/reference-state appraisal, signed EP-18 handoff verification, independent EP-17 envelope signature/hash verification, replay/freshness checks, and on-demand recovery re-attestation</x:v>
      </x:c>
      <x:c r="D9" s="200" t="s">
        <x:v>23</x:v>
      </x:c>
      <x:c r="E9" s="200" t="s">
        <x:v>24</x:v>
      </x:c>
      <x:c r="F9" s="200" t="s">
        <x:v>25</x:v>
      </x:c>
      <x:c r="G9" s="200"/>
      <x:c r="H9" s="200"/>
      <x:c r="I9" s="349"/>
    </x:row>
    <x:row r="10" ht="64" hidden="0" customHeight="1">
      <x:c r="B10" s="133" t="str">
        <x:v>1d</x:v>
      </x:c>
      <x:c r="C10" s="133" t="str">
        <x:v>Cloud inference and aggregation pipeline ownership classified and documented as Vendor-supplied or Operator-managed; downstream ASCR-11 versus ASCR-01/ASCR-03 remediation routing confirmed for the selected ownership model</x:v>
      </x:c>
      <x:c r="D10" s="133" t="str">
        <x:v>AI/ML Eng Lead + Security/IR Lead</x:v>
      </x:c>
      <x:c r="E10" s="133" t="str">
        <x:v>ASCR-16 Before You Operationalize / Section 7</x:v>
      </x:c>
      <x:c r="F10" s="133" t="str">
        <x:v>Not Verified</x:v>
      </x:c>
      <x:c r="G10" s="133"/>
      <x:c r="H10" s="133"/>
      <x:c r="I10" s="313" t="str">
        <x:v>Record selected ownership model here: Vendor-supplied / Operator-managed</x:v>
      </x:c>
    </x:row>
    <x:row r="11" ht="15" hidden="0" customHeight="1">
      <x:c r="B11" s="242" t="s">
        <x:v>29</x:v>
      </x:c>
      <x:c r="C11" s="242"/>
      <x:c r="D11" s="242"/>
      <x:c r="E11" s="242"/>
      <x:c r="F11" s="242"/>
      <x:c r="G11" s="242"/>
      <x:c r="H11" s="242"/>
      <x:c r="I11" s="242"/>
    </x:row>
    <x:row r="12" ht="15" hidden="0" customHeight="1">
      <x:c r="B12" s="198" t="s">
        <x:v>14</x:v>
      </x:c>
      <x:c r="C12" s="198" t="s">
        <x:v>15</x:v>
      </x:c>
      <x:c r="D12" s="198" t="s">
        <x:v>16</x:v>
      </x:c>
      <x:c r="E12" s="198" t="s">
        <x:v>17</x:v>
      </x:c>
      <x:c r="F12" s="198" t="s">
        <x:v>18</x:v>
      </x:c>
      <x:c r="G12" s="198" t="s">
        <x:v>19</x:v>
      </x:c>
      <x:c r="H12" s="198" t="s">
        <x:v>20</x:v>
      </x:c>
      <x:c r="I12" s="198" t="s">
        <x:v>21</x:v>
      </x:c>
    </x:row>
    <x:row r="13" ht="21.600000381469727" hidden="0" customHeight="1">
      <x:c r="B13" s="200" t="s">
        <x:v>30</x:v>
      </x:c>
      <x:c r="C13" s="200" t="str">
        <x:v>Cloud-pipeline SPIFFE SVID authenticated through the deployment-approved SPIFFE trust bundle; lineage-token application-signing keys separately registered and bound to that authorized SVID; applicable vendor obligations reflected in the executed ASCR-11 terms where the pipeline is vendor-supplied</x:v>
      </x:c>
      <x:c r="D13" s="200" t="s">
        <x:v>31</x:v>
      </x:c>
      <x:c r="E13" s="200" t="str">
        <x:v>ASCR-11 Section 11.3 / applicable executed contractual terms</x:v>
      </x:c>
      <x:c r="F13" s="200" t="s">
        <x:v>25</x:v>
      </x:c>
      <x:c r="G13" s="200"/>
      <x:c r="H13" s="200"/>
      <x:c r="I13" s="340"/>
    </x:row>
    <x:row r="14" ht="32.400001525878906" hidden="0" customHeight="1">
      <x:c r="B14" s="199" t="s">
        <x:v>32</x:v>
      </x:c>
      <x:c r="C14" s="199" t="str">
        <x:v>Lineage token generation deployed; generated tokens validate against current OE03, include exact cloud-attestation binding fields and dispatch_timestamp, and use signing_profile=RFC8785-JCS-v1 before EP-17 production activation</x:v>
      </x:c>
      <x:c r="D14" s="199" t="s">
        <x:v>31</x:v>
      </x:c>
      <x:c r="E14" s="199" t="str">
        <x:v>ASCR-11 Section 11.3 / applicable executed contractual terms</x:v>
      </x:c>
      <x:c r="F14" s="199" t="s">
        <x:v>25</x:v>
      </x:c>
      <x:c r="G14" s="199"/>
      <x:c r="H14" s="199"/>
      <x:c r="I14" s="340"/>
    </x:row>
    <x:row r="15" ht="32.400001525878906" hidden="0" customHeight="1">
      <x:c r="B15" s="200" t="s">
        <x:v>33</x:v>
      </x:c>
      <x:c r="C15" s="200" t="str">
        <x:v>Four distinct cloud signing keys registered as separate application-key entries: lineage classical, lineage PQC, boundary-hash classical, boundary-hash PQC</x:v>
      </x:c>
      <x:c r="D15" s="200" t="s">
        <x:v>31</x:v>
      </x:c>
      <x:c r="E15" s="200" t="str">
        <x:v>ASCR-16 §2.1 / ASCR-16-OE01 §A.4</x:v>
      </x:c>
      <x:c r="F15" s="200" t="s">
        <x:v>25</x:v>
      </x:c>
      <x:c r="G15" s="200"/>
      <x:c r="H15" s="200"/>
      <x:c r="I15" s="340"/>
    </x:row>
    <x:row r="16" ht="21.600000381469727" hidden="0" customHeight="1">
      <x:c r="B16" s="199" t="s">
        <x:v>34</x:v>
      </x:c>
      <x:c r="C16" s="199" t="str">
        <x:v>Deployment-approved cryptographic-transition profile documented, including which signature set is required during the governed transition state</x:v>
      </x:c>
      <x:c r="D16" s="199" t="s">
        <x:v>31</x:v>
      </x:c>
      <x:c r="E16" s="199" t="str">
        <x:v>ASCR-16 §2.1</x:v>
      </x:c>
      <x:c r="F16" s="199" t="s">
        <x:v>25</x:v>
      </x:c>
      <x:c r="G16" s="199"/>
      <x:c r="H16" s="199"/>
      <x:c r="I16" s="340"/>
    </x:row>
    <x:row r="17" ht="44" hidden="0" customHeight="1">
      <x:c r="B17" s="241" t="str">
        <x:v>2d</x:v>
      </x:c>
      <x:c r="C17" s="241" t="str">
        <x:v>Distinct key_id values, HSM custody, activation/retirement times, verifier overlap, and retired-public-key retention are documented for all ASCR-16 application-signing keys</x:v>
      </x:c>
      <x:c r="D17" s="241" t="str">
        <x:v>AI/ML Eng Lead</x:v>
      </x:c>
      <x:c r="E17" s="241" t="str">
        <x:v>ASCR-16 OE01 §A.4</x:v>
      </x:c>
      <x:c r="F17" s="241" t="str">
        <x:v>Not Verified</x:v>
      </x:c>
      <x:c r="G17" s="241"/>
      <x:c r="H17" s="241"/>
      <x:c r="I17" s="342"/>
    </x:row>
    <x:row r="18" ht="15" hidden="0" customHeight="1">
      <x:c r="B18" s="242" t="str">
        <x:v>Part 3: Edge Device Attestation Reference Profiles</x:v>
      </x:c>
      <x:c r="C18" s="242"/>
      <x:c r="D18" s="242"/>
      <x:c r="E18" s="242"/>
      <x:c r="F18" s="242"/>
      <x:c r="G18" s="242"/>
      <x:c r="H18" s="242"/>
      <x:c r="I18" s="242"/>
    </x:row>
    <x:row r="19" ht="15" hidden="0" customHeight="1">
      <x:c r="B19" s="198" t="s">
        <x:v>14</x:v>
      </x:c>
      <x:c r="C19" s="198" t="s">
        <x:v>15</x:v>
      </x:c>
      <x:c r="D19" s="198" t="s">
        <x:v>16</x:v>
      </x:c>
      <x:c r="E19" s="198" t="s">
        <x:v>17</x:v>
      </x:c>
      <x:c r="F19" s="198" t="s">
        <x:v>18</x:v>
      </x:c>
      <x:c r="G19" s="198" t="s">
        <x:v>19</x:v>
      </x:c>
      <x:c r="H19" s="198" t="s">
        <x:v>20</x:v>
      </x:c>
      <x:c r="I19" s="198" t="s">
        <x:v>21</x:v>
      </x:c>
    </x:row>
    <x:row r="20" ht="44" hidden="0" customHeight="1">
      <x:c r="B20" s="199" t="str">
        <x:v>3</x:v>
      </x:c>
      <x:c r="C20" s="199" t="str">
        <x:v>Device-class attestation reference profiles registered for every in-scope edge inference device; each profile identifies tpm_pcr or platform_attestation and exact approved reference values</x:v>
      </x:c>
      <x:c r="D20" s="199" t="str">
        <x:v>OT Eng Lead</x:v>
      </x:c>
      <x:c r="E20" s="199" t="str">
        <x:v>ASCR-04 §3.5</x:v>
      </x:c>
      <x:c r="F20" s="199" t="str">
        <x:v>Not Verified</x:v>
      </x:c>
      <x:c r="G20" s="199"/>
      <x:c r="H20" s="199"/>
      <x:c r="I20" s="349"/>
    </x:row>
    <x:row r="21" ht="48" hidden="0" customHeight="1">
      <x:c r="B21" s="200" t="str">
        <x:v>3a</x:v>
      </x:c>
      <x:c r="C21" s="200" t="str">
        <x:v>Cloud-to-edge attestation reference chain established from the exact retained cloud provisioning attestation to the authorized edge device-class reference profile and signed lineage token</x:v>
      </x:c>
      <x:c r="D21" s="200" t="str">
        <x:v>OT Eng Lead + AI/ML Eng Lead</x:v>
      </x:c>
      <x:c r="E21" s="200" t="str">
        <x:v>ASCR-16 §2.1 / OE03</x:v>
      </x:c>
      <x:c r="F21" s="200" t="str">
        <x:v>Not Verified</x:v>
      </x:c>
      <x:c r="G21" s="200"/>
      <x:c r="H21" s="200"/>
      <x:c r="I21" s="349"/>
    </x:row>
    <x:row r="22" ht="52" hidden="0" customHeight="1">
      <x:c r="B22" s="199" t="str">
        <x:v>3b</x:v>
      </x:c>
      <x:c r="C22" s="199" t="str">
        <x:v>Security-relevant measurement set and exact approved reference values defined for each device-class profile: expected_pcrs plus pcr_bank for tpm_pcr, or expected_measurements for platform_attestation</x:v>
      </x:c>
      <x:c r="D22" s="199" t="str">
        <x:v>AI/ML Eng Lead</x:v>
      </x:c>
      <x:c r="E22" s="199" t="str">
        <x:v>ASCR-16 §2.1 / OE03</x:v>
      </x:c>
      <x:c r="F22" s="199" t="str">
        <x:v>Not Verified</x:v>
      </x:c>
      <x:c r="G22" s="199"/>
      <x:c r="H22" s="199"/>
      <x:c r="I22" s="349"/>
    </x:row>
    <x:row r="23" ht="64" hidden="0" customHeight="1">
      <x:c r="B23" s="133" t="str">
        <x:v>3c</x:v>
      </x:c>
      <x:c r="C23" s="133" t="str">
        <x:v>Configured attestation branch tested before production for valid evidence, missing/stale/invalid evidence, and a deliberate required-measurement mismatch; non-TPM platform_attestation branch tested where such device classes are in deployment scope</x:v>
      </x:c>
      <x:c r="D23" s="133" t="str">
        <x:v>OT Eng Lead + Security/IR Lead</x:v>
      </x:c>
      <x:c r="E23" s="133" t="str">
        <x:v>ASCR-16 §2.2 / OE01 §A.5</x:v>
      </x:c>
      <x:c r="F23" s="133" t="str">
        <x:v>Not Verified</x:v>
      </x:c>
      <x:c r="G23" s="133"/>
      <x:c r="H23" s="133"/>
      <x:c r="I23" s="313"/>
    </x:row>
    <x:row r="24" ht="15" hidden="0" customHeight="1">
      <x:c r="B24" s="242" t="s">
        <x:v>35</x:v>
      </x:c>
      <x:c r="C24" s="242"/>
      <x:c r="D24" s="242"/>
      <x:c r="E24" s="242"/>
      <x:c r="F24" s="242"/>
      <x:c r="G24" s="242"/>
      <x:c r="H24" s="242"/>
      <x:c r="I24" s="242"/>
    </x:row>
    <x:row r="25" ht="15" hidden="0" customHeight="1">
      <x:c r="B25" s="198" t="s">
        <x:v>14</x:v>
      </x:c>
      <x:c r="C25" s="198" t="s">
        <x:v>15</x:v>
      </x:c>
      <x:c r="D25" s="198" t="s">
        <x:v>16</x:v>
      </x:c>
      <x:c r="E25" s="198" t="s">
        <x:v>17</x:v>
      </x:c>
      <x:c r="F25" s="198" t="s">
        <x:v>18</x:v>
      </x:c>
      <x:c r="G25" s="198" t="s">
        <x:v>19</x:v>
      </x:c>
      <x:c r="H25" s="198" t="s">
        <x:v>20</x:v>
      </x:c>
      <x:c r="I25" s="198" t="s">
        <x:v>21</x:v>
      </x:c>
    </x:row>
    <x:row r="26" ht="21.600000381469727" hidden="0" customHeight="1">
      <x:c r="B26" s="199" t="s">
        <x:v>36</x:v>
      </x:c>
      <x:c r="C26" s="199" t="str">
        <x:v>Boundary-hash envelope generation deployed at cloud egress (EP-17) for all registered context feeds; every envelope carries an authenticated feed_id bound to the authorized pipeline_svid.</x:v>
      </x:c>
      <x:c r="D26" s="199" t="s">
        <x:v>31</x:v>
      </x:c>
      <x:c r="E26" s="199" t="s">
        <x:v>37</x:v>
      </x:c>
      <x:c r="F26" s="199" t="s">
        <x:v>25</x:v>
      </x:c>
      <x:c r="G26" s="199"/>
      <x:c r="H26" s="199"/>
      <x:c r="I26" s="340"/>
    </x:row>
    <x:row r="27" ht="54" hidden="0" customHeight="1">
      <x:c r="B27" s="200" t="s">
        <x:v>38</x:v>
      </x:c>
      <x:c r="C27" s="200" t="str">
        <x:v>EP-18 verifies the EP-17 boundary-envelope signature/key binding, verifies feed_id-to-pipeline_svid registry binding, recomputes the boundary hash, atomically consumes the EP-18 envelope nonce, generates a signed handoff receipt bound to the exact verified integrity unit, records admission/handoff evidence, and forwards the original EP-17 envelope unchanged.</x:v>
      </x:c>
      <x:c r="D27" s="200" t="s">
        <x:v>31</x:v>
      </x:c>
      <x:c r="E27" s="200" t="s">
        <x:v>37</x:v>
      </x:c>
      <x:c r="F27" s="200" t="s">
        <x:v>25</x:v>
      </x:c>
      <x:c r="G27" s="200"/>
      <x:c r="H27" s="200"/>
      <x:c r="I27" s="349"/>
    </x:row>
    <x:row r="28" ht="52" hidden="0" customHeight="1">
      <x:c r="B28" s="199" t="s">
        <x:v>39</x:v>
      </x:c>
      <x:c r="C28" s="199" t="str">
        <x:v>EP-19 verifies the signed EP-18 handoff receipt and exact EP-17-envelope binding, independently re-verifies the EP-17 signature set and boundary hash, resolves the per-feed policy by authenticated feed_id, then enforces framing, freshness, and EP-19 replay state before planning-cycle context admission.</x:v>
      </x:c>
      <x:c r="D28" s="199" t="s">
        <x:v>31</x:v>
      </x:c>
      <x:c r="E28" s="199" t="s">
        <x:v>37</x:v>
      </x:c>
      <x:c r="F28" s="199" t="s">
        <x:v>25</x:v>
      </x:c>
      <x:c r="G28" s="199"/>
      <x:c r="H28" s="199"/>
      <x:c r="I28" s="349"/>
    </x:row>
    <x:row r="29" ht="21.600000381469727" hidden="0" customHeight="1">
      <x:c r="B29" s="200" t="s">
        <x:v>40</x:v>
      </x:c>
      <x:c r="C29" s="200" t="str">
        <x:v>All context feed sources classified by actuation relevance and as Atomic or Framed in the Context Feed Registry; each Feed ID is bound to an authorized pipeline_svid / identity.</x:v>
      </x:c>
      <x:c r="D29" s="200" t="s">
        <x:v>31</x:v>
      </x:c>
      <x:c r="E29" s="200" t="s">
        <x:v>41</x:v>
      </x:c>
      <x:c r="F29" s="200" t="s">
        <x:v>25</x:v>
      </x:c>
      <x:c r="G29" s="200"/>
      <x:c r="H29" s="200"/>
      <x:c r="I29" s="340"/>
    </x:row>
    <x:row r="30" ht="21.600000381469727" hidden="0" customHeight="1">
      <x:c r="B30" s="199" t="s">
        <x:v>42</x:v>
      </x:c>
      <x:c r="C30" s="199" t="str">
        <x:v>Transit latency thresholds configured per feed classification; actuation-relevant feeds fail closed on freshness breach</x:v>
      </x:c>
      <x:c r="D30" s="199" t="s">
        <x:v>31</x:v>
      </x:c>
      <x:c r="E30" s="199" t="s">
        <x:v>41</x:v>
      </x:c>
      <x:c r="F30" s="199" t="s">
        <x:v>25</x:v>
      </x:c>
      <x:c r="G30" s="199"/>
      <x:c r="H30" s="199"/>
      <x:c r="I30" s="340"/>
    </x:row>
    <x:row r="31" ht="120" hidden="0" customHeight="1">
      <x:c r="A31" s="133"/>
      <x:c r="B31" s="200" t="s">
        <x:v>43</x:v>
      </x:c>
      <x:c r="C31" s="200" t="str">
        <x:v>Canonical boundary-hash byte contract is identical at EP-17, EP-18, and EP-19: ASCR16_BOUNDARY_HASH_V1 is the separate ASCR-07 §§4.5-4.6 canonical-serialization domain prefix; the ordered fields are schema_version, feed_id, context_payload_or_frame, cloud_timestamp, pipeline_svid, nonce, framing, with schema_version=ascr16-boundary-v1.0; the recomputed SHA-256 digest is compared to envelope.boundary_hash as a 64-character lowercase hexadecimal string. For Framed feeds, configured in-window reordering succeeds; duplicate frames, missing frames, out-of-window reordering, and incomplete reassembly at the freshness deadline fail closed.</x:v>
      </x:c>
      <x:c r="D31" s="200" t="str">
        <x:v>AI/ML Eng Lead</x:v>
      </x:c>
      <x:c r="E31" s="200" t="str">
        <x:v>ASCR-16 §3.2 / ASCR-07 §§4.5-4.6</x:v>
      </x:c>
      <x:c r="F31" s="200" t="str">
        <x:v>Not Verified</x:v>
      </x:c>
      <x:c r="G31" s="200"/>
      <x:c r="H31" s="200"/>
      <x:c r="I31" s="349"/>
    </x:row>
    <x:row r="32" ht="15" hidden="0" customHeight="1">
      <x:c r="B32" s="133"/>
      <x:c r="C32" s="133"/>
      <x:c r="D32" s="133"/>
      <x:c r="E32" s="133"/>
      <x:c r="F32" s="133"/>
      <x:c r="G32" s="133"/>
      <x:c r="H32" s="133"/>
      <x:c r="I32" s="342"/>
    </x:row>
    <x:row r="33" ht="15" hidden="0" customHeight="1">
      <x:c r="B33" s="242" t="s">
        <x:v>44</x:v>
      </x:c>
      <x:c r="C33" s="242"/>
      <x:c r="D33" s="242"/>
      <x:c r="E33" s="242"/>
      <x:c r="F33" s="242"/>
      <x:c r="G33" s="242"/>
      <x:c r="H33" s="242"/>
      <x:c r="I33" s="242"/>
    </x:row>
    <x:row r="34" ht="15" hidden="0" customHeight="1">
      <x:c r="B34" s="198" t="s">
        <x:v>14</x:v>
      </x:c>
      <x:c r="C34" s="198" t="s">
        <x:v>15</x:v>
      </x:c>
      <x:c r="D34" s="198" t="s">
        <x:v>16</x:v>
      </x:c>
      <x:c r="E34" s="198" t="s">
        <x:v>17</x:v>
      </x:c>
      <x:c r="F34" s="198" t="s">
        <x:v>18</x:v>
      </x:c>
      <x:c r="G34" s="198" t="s">
        <x:v>19</x:v>
      </x:c>
      <x:c r="H34" s="198" t="s">
        <x:v>20</x:v>
      </x:c>
      <x:c r="I34" s="198" t="s">
        <x:v>21</x:v>
      </x:c>
    </x:row>
    <x:row r="35" ht="48" hidden="0" customHeight="1">
      <x:c r="A35" s="133"/>
      <x:c r="B35" s="200" t="s">
        <x:v>45</x:v>
      </x:c>
      <x:c r="C35" s="200" t="s">
        <x:v>46</x:v>
      </x:c>
      <x:c r="D35" s="200" t="s">
        <x:v>47</x:v>
      </x:c>
      <x:c r="E35" s="200" t="str">
        <x:v>ASCR-16 §4.1</x:v>
      </x:c>
      <x:c r="F35" s="200" t="s">
        <x:v>25</x:v>
      </x:c>
      <x:c r="G35" s="200"/>
      <x:c r="H35" s="200"/>
      <x:c r="I35" s="349"/>
    </x:row>
    <x:row r="36" ht="21.600000381469727" hidden="0" customHeight="1">
      <x:c r="A36" s="133"/>
      <x:c r="B36" s="199" t="s">
        <x:v>48</x:v>
      </x:c>
      <x:c r="C36" s="199" t="s">
        <x:v>49</x:v>
      </x:c>
      <x:c r="D36" s="199" t="s">
        <x:v>47</x:v>
      </x:c>
      <x:c r="E36" s="199" t="s">
        <x:v>24</x:v>
      </x:c>
      <x:c r="F36" s="199" t="s">
        <x:v>25</x:v>
      </x:c>
      <x:c r="G36" s="199"/>
      <x:c r="H36" s="199"/>
      <x:c r="I36" s="349"/>
    </x:row>
    <x:row r="37" ht="21.600000381469727" hidden="0" customHeight="1">
      <x:c r="A37" s="133"/>
      <x:c r="B37" s="200" t="s">
        <x:v>50</x:v>
      </x:c>
      <x:c r="C37" s="200" t="s">
        <x:v>51</x:v>
      </x:c>
      <x:c r="D37" s="200" t="s">
        <x:v>31</x:v>
      </x:c>
      <x:c r="E37" s="200" t="s">
        <x:v>52</x:v>
      </x:c>
      <x:c r="F37" s="200" t="s">
        <x:v>25</x:v>
      </x:c>
      <x:c r="G37" s="200"/>
      <x:c r="H37" s="200"/>
      <x:c r="I37" s="349"/>
    </x:row>
    <x:row r="38" ht="58" hidden="0" customHeight="1">
      <x:c r="A38" s="133"/>
      <x:c r="B38" s="199" t="s">
        <x:v>53</x:v>
      </x:c>
      <x:c r="C38" s="199" t="str">
        <x:v>ASCR-16 transit-custody evidence objects conform to the §4.1.1 custody-record contract and are retained with signed records for each governed hop; artifact-hash and custody-sequence continuity are verified.</x:v>
      </x:c>
      <x:c r="D38" s="199" t="s">
        <x:v>31</x:v>
      </x:c>
      <x:c r="E38" s="199" t="str">
        <x:v>ASCR-16 §4.1.1 / Evidence ownership and persistence boundary</x:v>
      </x:c>
      <x:c r="F38" s="199" t="s">
        <x:v>25</x:v>
      </x:c>
      <x:c r="G38" s="199"/>
      <x:c r="H38" s="199"/>
      <x:c r="I38" s="349"/>
    </x:row>
    <x:row r="39" ht="15" hidden="0" customHeight="1">
      <x:c r="B39" s="133"/>
      <x:c r="C39" s="133"/>
      <x:c r="D39" s="133"/>
      <x:c r="E39" s="133"/>
      <x:c r="F39" s="133"/>
      <x:c r="G39" s="133"/>
      <x:c r="H39" s="133"/>
      <x:c r="I39" s="342"/>
    </x:row>
    <x:row r="40" ht="15" hidden="0" customHeight="1">
      <x:c r="B40" s="242" t="s">
        <x:v>54</x:v>
      </x:c>
      <x:c r="C40" s="242"/>
      <x:c r="D40" s="242"/>
      <x:c r="E40" s="242"/>
      <x:c r="F40" s="242"/>
      <x:c r="G40" s="242"/>
      <x:c r="H40" s="242"/>
      <x:c r="I40" s="242"/>
    </x:row>
    <x:row r="41" ht="15" hidden="0" customHeight="1">
      <x:c r="B41" s="198" t="s">
        <x:v>14</x:v>
      </x:c>
      <x:c r="C41" s="198" t="s">
        <x:v>15</x:v>
      </x:c>
      <x:c r="D41" s="198" t="s">
        <x:v>16</x:v>
      </x:c>
      <x:c r="E41" s="198" t="s">
        <x:v>17</x:v>
      </x:c>
      <x:c r="F41" s="198" t="s">
        <x:v>18</x:v>
      </x:c>
      <x:c r="G41" s="198" t="s">
        <x:v>19</x:v>
      </x:c>
      <x:c r="H41" s="198" t="s">
        <x:v>20</x:v>
      </x:c>
      <x:c r="I41" s="198" t="s">
        <x:v>21</x:v>
      </x:c>
    </x:row>
    <x:row r="42" ht="44" hidden="0" customHeight="1">
      <x:c r="B42" s="199" t="s">
        <x:v>55</x:v>
      </x:c>
      <x:c r="C42" s="199" t="str">
        <x:v>Planning-cycle inhibit/interlock active: inhibit acquired before cycle-state check and held through update completion or abort; bounded wait and maintenance-window expiry behavior configured</x:v>
      </x:c>
      <x:c r="D42" s="199" t="s">
        <x:v>56</x:v>
      </x:c>
      <x:c r="E42" s="199" t="s">
        <x:v>57</x:v>
      </x:c>
      <x:c r="F42" s="199" t="s">
        <x:v>25</x:v>
      </x:c>
      <x:c r="G42" s="199"/>
      <x:c r="H42" s="199"/>
      <x:c r="I42" s="340" t="str">
        <x:v>Record PLANNING_CYCLE_INHIBIT_MAX_WAIT in Deployment Parameters.</x:v>
      </x:c>
    </x:row>
    <x:row r="43" ht="58" hidden="0" customHeight="1">
      <x:c r="A43" s="427"/>
      <x:c r="B43" s="200" t="s">
        <x:v>58</x:v>
      </x:c>
      <x:c r="C43" s="200" t="str">
        <x:v>Approved model-update or maintenance window identified in the applicable ASCR-10 Change Record, or in the controlled operating-schedule reference identified by that record, is recorded for the deployment. The corresponding ASCR-16 deployment configuration reference is confirmed, and the implementing update deployment controller is configured to enforce the authorized start and close conditions.</x:v>
      </x:c>
      <x:c r="D43" s="200" t="s">
        <x:v>56</x:v>
      </x:c>
      <x:c r="E43" s="200" t="str">
        <x:v>Applicable ASCR-10 Change Record / controlled operating-schedule reference identified by that record; ASCR-16 §4.2</x:v>
      </x:c>
      <x:c r="F43" s="200" t="s">
        <x:v>25</x:v>
      </x:c>
      <x:c r="G43" s="200"/>
      <x:c r="H43" s="200"/>
      <x:c r="I43" s="349"/>
    </x:row>
    <x:row r="44" ht="54" hidden="0" customHeight="1">
      <x:c r="B44" s="199" t="s">
        <x:v>59</x:v>
      </x:c>
      <x:c r="C44" s="199" t="str">
        <x:v>Rollback preservation confirmed - previous authorized model version remains retrievable for the deployment-approved ASCR-16 preservation period; active value, governing evidence reference, and relationship to the current ASCR-10 rollback process documented</x:v>
      </x:c>
      <x:c r="D44" s="199" t="s">
        <x:v>56</x:v>
      </x:c>
      <x:c r="E44" s="199" t="s">
        <x:v>60</x:v>
      </x:c>
      <x:c r="F44" s="199" t="s">
        <x:v>25</x:v>
      </x:c>
      <x:c r="G44" s="199"/>
      <x:c r="H44" s="199"/>
      <x:c r="I44" s="340" t="str">
        <x:v>Record ROLLBACK_PRESERVATION_PERIOD in Deployment Parameters.</x:v>
      </x:c>
    </x:row>
    <x:row r="45" ht="21.600000381469727" hidden="0" customHeight="1">
      <x:c r="B45" s="200" t="s">
        <x:v>61</x:v>
      </x:c>
      <x:c r="C45" s="200" t="s">
        <x:v>62</x:v>
      </x:c>
      <x:c r="D45" s="200" t="s">
        <x:v>56</x:v>
      </x:c>
      <x:c r="E45" s="200" t="s">
        <x:v>60</x:v>
      </x:c>
      <x:c r="F45" s="200" t="s">
        <x:v>25</x:v>
      </x:c>
      <x:c r="G45" s="200"/>
      <x:c r="H45" s="200"/>
      <x:c r="I45" s="340"/>
    </x:row>
    <x:row r="46" ht="56" hidden="0" customHeight="1">
      <x:c r="B46" s="199" t="s">
        <x:v>63</x:v>
      </x:c>
      <x:c r="C46" s="199" t="str">
        <x:v>Emergency update path configured: Tier 3 authorization workflow tested per ASCR-03 §4.3 and the ASCR-10 §6.1 emergency-change path; deployment-approved emergency timing parameters recorded</x:v>
      </x:c>
      <x:c r="D46" s="199" t="s">
        <x:v>23</x:v>
      </x:c>
      <x:c r="E46" s="199" t="str">
        <x:v>ASCR-10 §6.1</x:v>
      </x:c>
      <x:c r="F46" s="199" t="s">
        <x:v>25</x:v>
      </x:c>
      <x:c r="G46" s="199"/>
      <x:c r="H46" s="199"/>
      <x:c r="I46" s="340"/>
    </x:row>
    <x:row r="47" ht="180" hidden="0" customHeight="1">
      <x:c r="A47" s="428"/>
      <x:c r="B47" s="428" t="str">
        <x:v>6a-R</x:v>
      </x:c>
      <x:c r="C47" s="428" t="str">
        <x:v>Model-update window governance record completed: applicable ASCR-10 Change Record reference; approved window or controlled operating-schedule reference identified by that record; schedule source/owner where applicable; effective period or version; corresponding ASCR-16 deployment configuration reference; and controller validation/enforcement evidence recorded</x:v>
      </x:c>
      <x:c r="D47" s="428" t="str">
        <x:v>OT Eng Lead + AI/ML Eng Lead</x:v>
      </x:c>
      <x:c r="E47" s="428" t="str">
        <x:v>ASCR-10 Change Record / ASCR-16 §4.2</x:v>
      </x:c>
      <x:c r="F47" s="428" t="str">
        <x:v>Not Verified</x:v>
      </x:c>
      <x:c r="G47" s="428"/>
      <x:c r="H47" s="428"/>
      <x:c r="I47" s="429" t="str">
        <x:v>ASCR-10 Change Record reference: [ASCR-10 CHANGE RECORD REF]
Approved model-update / maintenance window: [TIME WINDOW]
Controlled operating-schedule reference (if used): [CONTROLLED SCHEDULE REF]
Schedule source / owner (if applicable): [ROLE / SCHEDULE OWNER]
Effective period / version: [DATE RANGE / SCHEDULE VERSION]
ASCR-16 deployment configuration reference: [ASCR-16 CONFIG REF]
Validation / enforcement evidence: [CONTROLLER CONFIG / TEST EVIDENCE]</x:v>
      </x:c>
    </x:row>
    <x:row r="48" ht="15" hidden="0" customHeight="1">
      <x:c r="B48" s="242" t="s">
        <x:v>64</x:v>
      </x:c>
      <x:c r="C48" s="242"/>
      <x:c r="D48" s="242"/>
      <x:c r="E48" s="242"/>
      <x:c r="F48" s="242"/>
      <x:c r="G48" s="242"/>
      <x:c r="H48" s="242"/>
      <x:c r="I48" s="242"/>
    </x:row>
    <x:row r="49" ht="15" hidden="0" customHeight="1">
      <x:c r="B49" s="198" t="s">
        <x:v>14</x:v>
      </x:c>
      <x:c r="C49" s="198" t="s">
        <x:v>15</x:v>
      </x:c>
      <x:c r="D49" s="198" t="s">
        <x:v>16</x:v>
      </x:c>
      <x:c r="E49" s="198" t="s">
        <x:v>17</x:v>
      </x:c>
      <x:c r="F49" s="198" t="s">
        <x:v>18</x:v>
      </x:c>
      <x:c r="G49" s="198" t="s">
        <x:v>19</x:v>
      </x:c>
      <x:c r="H49" s="198" t="s">
        <x:v>20</x:v>
      </x:c>
      <x:c r="I49" s="198" t="s">
        <x:v>21</x:v>
      </x:c>
    </x:row>
    <x:row r="50" ht="32.400001525878906" hidden="0" customHeight="1">
      <x:c r="B50" s="199" t="s">
        <x:v>65</x:v>
      </x:c>
      <x:c r="C50" s="199" t="str">
        <x:v>Cross-attestation verification measured against its deployment-event target (50 ms P95 local-verifier reference target where adopted)</x:v>
      </x:c>
      <x:c r="D50" s="199" t="s">
        <x:v>31</x:v>
      </x:c>
      <x:c r="E50" s="199" t="str">
        <x:v>Deployment-approved timing profile / applicable ASCR-11-governed threshold</x:v>
      </x:c>
      <x:c r="F50" s="199" t="s">
        <x:v>25</x:v>
      </x:c>
      <x:c r="G50" s="199"/>
      <x:c r="H50" s="199"/>
      <x:c r="I50" s="340" t="str">
        <x:v>Record applicable deployment-event target in the governing timing profile; cross-cutting deadline references are in Deployment Parameters.</x:v>
      </x:c>
    </x:row>
    <x:row r="51" ht="21.600000381469727" hidden="0" customHeight="1">
      <x:c r="B51" s="200" t="s">
        <x:v>66</x:v>
      </x:c>
      <x:c r="C51" s="200" t="str">
        <x:v>EP-19 boundary-hash verification measured against its runtime target (10 ms P95 / 50 ms P99 reference target where adopted)</x:v>
      </x:c>
      <x:c r="D51" s="200" t="s">
        <x:v>31</x:v>
      </x:c>
      <x:c r="E51" s="200" t="str">
        <x:v>Deployment-approved runtime timing profile / applicable ASCR-04 end-to-end hard execution deadline</x:v>
      </x:c>
      <x:c r="F51" s="200" t="s">
        <x:v>25</x:v>
      </x:c>
      <x:c r="G51" s="200"/>
      <x:c r="H51" s="200"/>
      <x:c r="I51" s="340"/>
    </x:row>
    <x:row r="52" ht="21.600000381469727" hidden="0" customHeight="1">
      <x:c r="B52" s="199" t="s">
        <x:v>67</x:v>
      </x:c>
      <x:c r="C52" s="199" t="str">
        <x:v>Lineage-token verification measured against its deployment-event target (20 ms P95 local-verifier reference target where adopted)</x:v>
      </x:c>
      <x:c r="D52" s="199" t="s">
        <x:v>31</x:v>
      </x:c>
      <x:c r="E52" s="199" t="str">
        <x:v>Deployment-approved deployment-event target / applicable ASCR-11-governed threshold</x:v>
      </x:c>
      <x:c r="F52" s="199" t="s">
        <x:v>25</x:v>
      </x:c>
      <x:c r="G52" s="199"/>
      <x:c r="H52" s="199"/>
      <x:c r="I52" s="340"/>
    </x:row>
    <x:row r="53" ht="58" hidden="0" customHeight="1">
      <x:c r="B53" s="200" t="s">
        <x:v>68</x:v>
      </x:c>
      <x:c r="C53" s="200" t="str">
        <x:v>Directly measured end-to-end runtime P95 is at or below the deployment-approved end-to-end runtime P95 limit; component P95 values are retained for attribution/capacity planning and are not used as a substitute for the end-to-end measurement</x:v>
      </x:c>
      <x:c r="D53" s="200" t="s">
        <x:v>31</x:v>
      </x:c>
      <x:c r="E53" s="200" t="str">
        <x:v>Deployment-approved end-to-end runtime P95 limit</x:v>
      </x:c>
      <x:c r="F53" s="200" t="s">
        <x:v>25</x:v>
      </x:c>
      <x:c r="G53" s="200"/>
      <x:c r="H53" s="200"/>
      <x:c r="I53" s="349"/>
    </x:row>
    <x:row r="54" ht="52" hidden="0" customHeight="1">
      <x:c r="B54" s="199" t="s">
        <x:v>69</x:v>
      </x:c>
      <x:c r="C54" s="199" t="str">
        <x:v>Latency Budget Calculator contains all required upstream, runtime-path, deployment-event, deployment-target, direct end-to-end P95, and direct end-to-end P99 values; overall verdict is neither INCOMPLETE nor failed</x:v>
      </x:c>
      <x:c r="D54" s="199" t="s">
        <x:v>31</x:v>
      </x:c>
      <x:c r="E54" s="199" t="str">
        <x:v>ASCR-16-OE02 / Latency Budget Calculator</x:v>
      </x:c>
      <x:c r="F54" s="199" t="s">
        <x:v>25</x:v>
      </x:c>
      <x:c r="G54" s="199"/>
      <x:c r="H54" s="199"/>
      <x:c r="I54" s="349"/>
    </x:row>
    <x:row r="55" ht="46" hidden="0" customHeight="1">
      <x:c r="B55" s="246" t="str">
        <x:v>7e</x:v>
      </x:c>
      <x:c r="C55" s="246" t="str">
        <x:v>Directly measured end-to-end runtime P99 is assessed against the deployment-approved P99 performance target; the ASCR-04 end-to-end hard execution deadline and any ASCR-06 residual hard-timeout allocation are recorded in Deployment Parameters, and the governed TIMEOUT/HOLD path is verified independently.</x:v>
      </x:c>
      <x:c r="D55" s="246" t="str">
        <x:v>AI/ML Eng Lead</x:v>
      </x:c>
      <x:c r="E55" s="246" t="str">
        <x:v>Deployment Parameters / ASCR-03 §5 / ASCR-06</x:v>
      </x:c>
      <x:c r="F55" s="246" t="str">
        <x:v>Not Verified</x:v>
      </x:c>
      <x:c r="G55" s="246"/>
      <x:c r="H55" s="246"/>
      <x:c r="I55" s="313"/>
    </x:row>
    <x:row r="56" ht="48" hidden="0" customHeight="1">
      <x:c r="B56" s="335" t="str">
        <x:v>7f</x:v>
      </x:c>
      <x:c r="C56" s="335" t="str">
        <x:v>Component-P95 planning headroom reviewed as an informational allocation indicator only; it was not used as the end-to-end P95 compliance test</x:v>
      </x:c>
      <x:c r="D56" s="335" t="str">
        <x:v>AI/ML Eng Lead</x:v>
      </x:c>
      <x:c r="E56" s="335" t="str">
        <x:v>ASCR-16 §5 / OE02 Latency Budget Calculator</x:v>
      </x:c>
      <x:c r="F56" s="335" t="str">
        <x:v>Not Verified</x:v>
      </x:c>
      <x:c r="G56" s="335"/>
      <x:c r="H56" s="335"/>
      <x:c r="I56" s="343"/>
    </x:row>
    <x:row r="57" ht="21.600000381469727" hidden="0" customHeight="1">
      <x:c r="B57" s="198" t="str">
        <x:v>Part 8: Alert Routing</x:v>
      </x:c>
      <x:c r="C57" s="198"/>
      <x:c r="D57" s="198"/>
      <x:c r="E57" s="198"/>
      <x:c r="F57" s="198"/>
      <x:c r="G57" s="198"/>
      <x:c r="H57" s="198"/>
      <x:c r="I57" s="133"/>
    </x:row>
    <x:row r="58" ht="24" hidden="0" customHeight="1">
      <x:c r="B58" s="356" t="str">
        <x:v>#</x:v>
      </x:c>
      <x:c r="C58" s="356" t="str">
        <x:v>Alert type</x:v>
      </x:c>
      <x:c r="D58" s="356" t="str">
        <x:v>ASCR-08 class</x:v>
      </x:c>
      <x:c r="E58" s="356" t="str">
        <x:v>Routing confirmed to ASOC</x:v>
      </x:c>
      <x:c r="F58" s="356" t="str">
        <x:v>Status</x:v>
      </x:c>
      <x:c r="G58" s="356" t="str">
        <x:v>Verified by</x:v>
      </x:c>
      <x:c r="H58" s="356" t="str">
        <x:v>Date</x:v>
      </x:c>
      <x:c r="I58" s="357"/>
    </x:row>
    <x:row r="59" ht="34" hidden="0" customHeight="1">
      <x:c r="B59" s="200" t="str">
        <x:v>8a</x:v>
      </x:c>
      <x:c r="C59" s="200" t="str">
        <x:v>PROVENANCE_MISSING</x:v>
      </x:c>
      <x:c r="D59" s="200" t="str">
        <x:v>Indeterminate at declaration; resolve to a complete ASCR-08 Intent-Locus-Authority code only from incident evidence</x:v>
      </x:c>
      <x:c r="E59" s="200" t="s">
        <x:v>25</x:v>
      </x:c>
      <x:c r="F59" s="200" t="s">
        <x:v>25</x:v>
      </x:c>
      <x:c r="G59" s="200"/>
      <x:c r="H59" s="200"/>
      <x:c r="I59" s="342"/>
    </x:row>
    <x:row r="60" ht="34" hidden="0" customHeight="1">
      <x:c r="B60" s="199" t="str">
        <x:v>8b</x:v>
      </x:c>
      <x:c r="C60" s="199" t="str">
        <x:v>LINEAGE_TOKEN_INVALID</x:v>
      </x:c>
      <x:c r="D60" s="199" t="str">
        <x:v>Indeterminate at declaration; resolve to a complete ASCR-08 Intent-Locus-Authority code only from incident evidence</x:v>
      </x:c>
      <x:c r="E60" s="199" t="s">
        <x:v>25</x:v>
      </x:c>
      <x:c r="F60" s="199" t="s">
        <x:v>25</x:v>
      </x:c>
      <x:c r="G60" s="199"/>
      <x:c r="H60" s="199"/>
      <x:c r="I60" s="342"/>
    </x:row>
    <x:row r="61" ht="34" hidden="0" customHeight="1">
      <x:c r="B61" s="200" t="str">
        <x:v>8c</x:v>
      </x:c>
      <x:c r="C61" s="200" t="str">
        <x:v>ARTIFACT_MODIFIED_IN_TRANSIT</x:v>
      </x:c>
      <x:c r="D61" s="200" t="str">
        <x:v>Indeterminate at declaration; resolve to a complete ASCR-08 Intent-Locus-Authority code only from incident evidence</x:v>
      </x:c>
      <x:c r="E61" s="200" t="s">
        <x:v>25</x:v>
      </x:c>
      <x:c r="F61" s="200" t="s">
        <x:v>25</x:v>
      </x:c>
      <x:c r="G61" s="200"/>
      <x:c r="H61" s="200"/>
      <x:c r="I61" s="342"/>
    </x:row>
    <x:row r="62" ht="34" hidden="0" customHeight="1">
      <x:c r="B62" s="199" t="str">
        <x:v>8d</x:v>
      </x:c>
      <x:c r="C62" s="199" t="str">
        <x:v>EDGE_ATTESTATION_REFERENCE_MISMATCH</x:v>
      </x:c>
      <x:c r="D62" s="199" t="str">
        <x:v>Indeterminate at declaration; resolve to a complete ASCR-08 Intent-Locus-Authority code only from incident evidence</x:v>
      </x:c>
      <x:c r="E62" s="199" t="s">
        <x:v>25</x:v>
      </x:c>
      <x:c r="F62" s="199" t="s">
        <x:v>25</x:v>
      </x:c>
      <x:c r="G62" s="199"/>
      <x:c r="H62" s="199"/>
      <x:c r="I62" s="342"/>
    </x:row>
    <x:row r="63" ht="34" hidden="0" customHeight="1">
      <x:c r="B63" s="200" t="str">
        <x:v>8e</x:v>
      </x:c>
      <x:c r="C63" s="200" t="str">
        <x:v>CONTEXT_BOUNDARY_INTEGRITY_FAILURE</x:v>
      </x:c>
      <x:c r="D63" s="200" t="str">
        <x:v>Indeterminate at declaration; resolve to a complete ASCR-08 Intent-Locus-Authority code only from incident evidence</x:v>
      </x:c>
      <x:c r="E63" s="200" t="s">
        <x:v>25</x:v>
      </x:c>
      <x:c r="F63" s="200" t="s">
        <x:v>25</x:v>
      </x:c>
      <x:c r="G63" s="200"/>
      <x:c r="H63" s="200"/>
      <x:c r="I63" s="342"/>
    </x:row>
    <x:row r="64" ht="34" hidden="0" customHeight="1">
      <x:c r="B64" s="199" t="str">
        <x:v>8f</x:v>
      </x:c>
      <x:c r="C64" s="199" t="str">
        <x:v>CONTEXT_PAYLOAD_MODIFIED_IN_TRANSIT</x:v>
      </x:c>
      <x:c r="D64" s="199" t="str">
        <x:v>Indeterminate at declaration; resolve to a complete ASCR-08 Intent-Locus-Authority code only from incident evidence</x:v>
      </x:c>
      <x:c r="E64" s="199" t="s">
        <x:v>25</x:v>
      </x:c>
      <x:c r="F64" s="199" t="s">
        <x:v>25</x:v>
      </x:c>
      <x:c r="G64" s="199"/>
      <x:c r="H64" s="199"/>
      <x:c r="I64" s="342"/>
    </x:row>
    <x:row r="65" ht="34" hidden="0" customHeight="1">
      <x:c r="B65" s="200" t="str">
        <x:v>8g</x:v>
      </x:c>
      <x:c r="C65" s="200" t="str">
        <x:v>UNAUTHORIZED_UPDATE</x:v>
      </x:c>
      <x:c r="D65" s="200" t="str">
        <x:v>Indeterminate at declaration; resolve to a complete ASCR-08 Intent-Locus-Authority code only from incident evidence</x:v>
      </x:c>
      <x:c r="E65" s="200" t="s">
        <x:v>25</x:v>
      </x:c>
      <x:c r="F65" s="200" t="s">
        <x:v>25</x:v>
      </x:c>
      <x:c r="G65" s="200"/>
      <x:c r="H65" s="200"/>
      <x:c r="I65" s="342"/>
    </x:row>
    <x:row r="66" ht="46" hidden="0" customHeight="1">
      <x:c r="B66" s="133" t="str">
        <x:v>8h</x:v>
      </x:c>
      <x:c r="C66" s="133" t="str">
        <x:v>AUTHORIZATION_EXPIRED</x:v>
      </x:c>
      <x:c r="D66" s="133" t="str">
        <x:v>Indeterminate at declaration; resolve to a complete ASCR-08 Intent-Locus-Authority code only from incident evidence</x:v>
      </x:c>
      <x:c r="E66" s="133" t="s">
        <x:v>25</x:v>
      </x:c>
      <x:c r="F66" s="133" t="s">
        <x:v>25</x:v>
      </x:c>
      <x:c r="G66" s="133"/>
      <x:c r="H66" s="133"/>
      <x:c r="I66" s="313"/>
    </x:row>
    <x:row r="67" ht="15" hidden="0" customHeight="1">
      <x:c r="B67" s="242"/>
      <x:c r="C67" s="242"/>
      <x:c r="D67" s="242"/>
      <x:c r="E67" s="242"/>
      <x:c r="F67" s="242"/>
      <x:c r="G67" s="242"/>
      <x:c r="H67" s="242"/>
      <x:c r="I67" s="343"/>
    </x:row>
    <x:row r="68" ht="15" hidden="0" customHeight="1">
      <x:c r="B68" s="198" t="str">
        <x:v>Part 9: Physical Tamper Controls</x:v>
      </x:c>
      <x:c r="C68" s="198"/>
      <x:c r="D68" s="198"/>
      <x:c r="E68" s="198"/>
      <x:c r="F68" s="198"/>
      <x:c r="G68" s="198"/>
      <x:c r="H68" s="198"/>
      <x:c r="I68" s="198"/>
    </x:row>
    <x:row r="69" ht="21.600000381469727" hidden="0" customHeight="1">
      <x:c r="B69" s="200" t="s">
        <x:v>14</x:v>
      </x:c>
      <x:c r="C69" s="200" t="s">
        <x:v>15</x:v>
      </x:c>
      <x:c r="D69" s="200" t="s">
        <x:v>16</x:v>
      </x:c>
      <x:c r="E69" s="200" t="s">
        <x:v>17</x:v>
      </x:c>
      <x:c r="F69" s="200" t="s">
        <x:v>18</x:v>
      </x:c>
      <x:c r="G69" s="200" t="s">
        <x:v>19</x:v>
      </x:c>
      <x:c r="H69" s="200" t="s">
        <x:v>20</x:v>
      </x:c>
      <x:c r="I69" s="200" t="s">
        <x:v>21</x:v>
      </x:c>
    </x:row>
    <x:row r="70" ht="21.600000381469727" hidden="0" customHeight="1">
      <x:c r="B70" s="199" t="s">
        <x:v>70</x:v>
      </x:c>
      <x:c r="C70" s="199" t="str">
        <x:v>Active chassis intrusion switches verified functional on all in-scope nodes lacking the required link-level bus protection</x:v>
      </x:c>
      <x:c r="D70" s="199" t="s">
        <x:v>56</x:v>
      </x:c>
      <x:c r="E70" s="199" t="s">
        <x:v>71</x:v>
      </x:c>
      <x:c r="F70" s="199" t="s">
        <x:v>25</x:v>
      </x:c>
      <x:c r="G70" s="199"/>
      <x:c r="H70" s="199"/>
      <x:c r="I70" s="340"/>
    </x:row>
    <x:row r="71" ht="54" hidden="0" customHeight="1">
      <x:c r="B71" s="200" t="s">
        <x:v>72</x:v>
      </x:c>
      <x:c r="C71" s="200" t="str">
        <x:v>Intrusion switch trigger logic confirmed to produce the applicable ASCR-04 HOLD/BLOCK or governed Safe-State request/handoff, with physical Safe-State execution performed by the deployment-approved control or safety function</x:v>
      </x:c>
      <x:c r="D71" s="200" t="s">
        <x:v>56</x:v>
      </x:c>
      <x:c r="E71" s="200" t="str">
        <x:v>ASCR-16 §1.4 / ASCR-04</x:v>
      </x:c>
      <x:c r="F71" s="200" t="s">
        <x:v>25</x:v>
      </x:c>
      <x:c r="G71" s="200"/>
      <x:c r="H71" s="200"/>
      <x:c r="I71" s="349"/>
    </x:row>
    <x:row r="72" ht="44" hidden="0" customHeight="1">
      <x:c r="B72" s="199"/>
      <x:c r="C72" s="199"/>
      <x:c r="D72" s="199"/>
      <x:c r="E72" s="199"/>
      <x:c r="F72" s="199"/>
      <x:c r="G72" s="199"/>
      <x:c r="H72" s="199"/>
      <x:c r="I72" s="340"/>
    </x:row>
    <x:row r="73" ht="44" hidden="0" customHeight="1">
      <x:c r="B73" s="200" t="s">
        <x:v>73</x:v>
      </x:c>
      <x:c r="C73" s="200" t="s">
        <x:v>74</x:v>
      </x:c>
      <x:c r="D73" s="200" t="str">
        <x:v>OT Eng Lead (procedure execution) + Security/IR Lead (evidence review)</x:v>
      </x:c>
      <x:c r="E73" s="200" t="s">
        <x:v>71</x:v>
      </x:c>
      <x:c r="F73" s="200" t="s">
        <x:v>25</x:v>
      </x:c>
      <x:c r="G73" s="200"/>
      <x:c r="H73" s="200"/>
      <x:c r="I73" s="340"/>
    </x:row>
    <x:row r="74" ht="54" hidden="0" customHeight="1">
      <x:c r="A74" s="133"/>
      <x:c r="B74" s="199" t="s">
        <x:v>75</x:v>
      </x:c>
      <x:c r="C74" s="199" t="s">
        <x:v>76</x:v>
      </x:c>
      <x:c r="D74" s="199" t="str">
        <x:v>OT Eng Lead (procedure execution) + Security/IR Lead (evidence review)</x:v>
      </x:c>
      <x:c r="E74" s="199" t="str">
        <x:v>ASCR-03 §§6.1 and 6.3 / ASCR-16 §1.4</x:v>
      </x:c>
      <x:c r="F74" s="199" t="s">
        <x:v>25</x:v>
      </x:c>
      <x:c r="G74" s="199"/>
      <x:c r="H74" s="199"/>
      <x:c r="I74" s="349"/>
    </x:row>
    <x:row r="75" ht="44" hidden="0" customHeight="1">
      <x:c r="B75" s="200" t="s">
        <x:v>77</x:v>
      </x:c>
      <x:c r="C75" s="200" t="s">
        <x:v>78</x:v>
      </x:c>
      <x:c r="D75" s="200" t="str">
        <x:v>OT Eng Lead (procedure execution) + Security/IR Lead (evidence review)</x:v>
      </x:c>
      <x:c r="E75" s="200" t="s">
        <x:v>79</x:v>
      </x:c>
      <x:c r="F75" s="200" t="s">
        <x:v>25</x:v>
      </x:c>
      <x:c r="G75" s="200"/>
      <x:c r="H75" s="200"/>
      <x:c r="I75" s="340"/>
    </x:row>
    <x:row r="76" ht="15" hidden="0" customHeight="1">
      <x:c r="B76" s="133" t="s">
        <x:v>80</x:v>
      </x:c>
      <x:c r="C76" s="133" t="s">
        <x:v>81</x:v>
      </x:c>
      <x:c r="D76" s="133" t="str">
        <x:v>OT Eng Lead (procedure execution) + Security/IR Lead (evidence review)</x:v>
      </x:c>
      <x:c r="E76" s="133" t="s">
        <x:v>82</x:v>
      </x:c>
      <x:c r="F76" s="133" t="s">
        <x:v>25</x:v>
      </x:c>
      <x:c r="G76" s="133"/>
      <x:c r="H76" s="133"/>
      <x:c r="I76" s="342"/>
    </x:row>
    <x:row r="77" ht="15" hidden="0" customHeight="1">
      <x:c r="B77" s="242"/>
      <x:c r="C77" s="242"/>
      <x:c r="D77" s="242"/>
      <x:c r="E77" s="242"/>
      <x:c r="F77" s="242"/>
      <x:c r="G77" s="242"/>
      <x:c r="H77" s="242"/>
      <x:c r="I77" s="343"/>
    </x:row>
    <x:row r="78" ht="15" hidden="0" customHeight="1">
      <x:c r="B78" s="198" t="str">
        <x:v>Part 10: Cloud-to-Edge Trust Validation</x:v>
      </x:c>
      <x:c r="C78" s="198"/>
      <x:c r="D78" s="198"/>
      <x:c r="E78" s="198"/>
      <x:c r="F78" s="198"/>
      <x:c r="G78" s="198"/>
      <x:c r="H78" s="198"/>
      <x:c r="I78" s="198"/>
    </x:row>
    <x:row r="79" ht="21.600000381469727" hidden="0" customHeight="1">
      <x:c r="B79" s="200" t="s">
        <x:v>14</x:v>
      </x:c>
      <x:c r="C79" s="200" t="s">
        <x:v>15</x:v>
      </x:c>
      <x:c r="D79" s="200" t="s">
        <x:v>16</x:v>
      </x:c>
      <x:c r="E79" s="200" t="s">
        <x:v>17</x:v>
      </x:c>
      <x:c r="F79" s="200" t="s">
        <x:v>18</x:v>
      </x:c>
      <x:c r="G79" s="200" t="s">
        <x:v>19</x:v>
      </x:c>
      <x:c r="H79" s="200" t="s">
        <x:v>20</x:v>
      </x:c>
      <x:c r="I79" s="200" t="s">
        <x:v>21</x:v>
      </x:c>
    </x:row>
    <x:row r="80" ht="58" hidden="0" customHeight="1">
      <x:c r="A80" s="133"/>
      <x:c r="B80" s="199" t="s">
        <x:v>83</x:v>
      </x:c>
      <x:c r="C80" s="199" t="str">
        <x:v>Governed evidence repository contains ASCR-16 cross-attestation verification evidence objects for ≥ 5 sample artifact deployments across the boundary</x:v>
      </x:c>
      <x:c r="D80" s="199" t="s">
        <x:v>84</x:v>
      </x:c>
      <x:c r="E80" s="199" t="str">
        <x:v>ASCR-16-OE01 §A.5</x:v>
      </x:c>
      <x:c r="F80" s="199" t="s">
        <x:v>25</x:v>
      </x:c>
      <x:c r="G80" s="199"/>
      <x:c r="H80" s="199"/>
      <x:c r="I80" s="349"/>
    </x:row>
    <x:row r="81" ht="58" hidden="0" customHeight="1">
      <x:c r="A81" s="133"/>
      <x:c r="B81" s="200" t="s">
        <x:v>85</x:v>
      </x:c>
      <x:c r="C81" s="200" t="str">
        <x:v>Governed evidence repository contains ASCR-16 boundary-verification evidence objects for ≥ 5 sample integrity units from each registered context feed source</x:v>
      </x:c>
      <x:c r="D81" s="200" t="s">
        <x:v>84</x:v>
      </x:c>
      <x:c r="E81" s="200" t="str">
        <x:v>ASCR-16-OE01 §A.5</x:v>
      </x:c>
      <x:c r="F81" s="200" t="s">
        <x:v>25</x:v>
      </x:c>
      <x:c r="G81" s="200"/>
      <x:c r="H81" s="200"/>
      <x:c r="I81" s="349"/>
    </x:row>
    <x:row r="82" ht="54" hidden="0" customHeight="1">
      <x:c r="A82" s="133"/>
      <x:c r="B82" s="199" t="s">
        <x:v>86</x:v>
      </x:c>
      <x:c r="C82" s="199" t="s">
        <x:v>87</x:v>
      </x:c>
      <x:c r="D82" s="199" t="s">
        <x:v>84</x:v>
      </x:c>
      <x:c r="E82" s="199" t="str">
        <x:v>ASCR-16-OE01-Operational-Guide.docx, Part A § A.5 “Testing Before Go-Live”</x:v>
      </x:c>
      <x:c r="F82" s="199" t="s">
        <x:v>25</x:v>
      </x:c>
      <x:c r="G82" s="199"/>
      <x:c r="H82" s="199"/>
      <x:c r="I82" s="349"/>
    </x:row>
    <x:row r="83" ht="54" hidden="0" customHeight="1">
      <x:c r="A83" s="133"/>
      <x:c r="B83" s="200" t="s">
        <x:v>88</x:v>
      </x:c>
      <x:c r="C83" s="200" t="s">
        <x:v>89</x:v>
      </x:c>
      <x:c r="D83" s="200" t="s">
        <x:v>84</x:v>
      </x:c>
      <x:c r="E83" s="200" t="str">
        <x:v>ASCR-16-OE01-Operational-Guide.docx, Part A § A.5 “Testing Before Go-Live”</x:v>
      </x:c>
      <x:c r="F83" s="200" t="s">
        <x:v>25</x:v>
      </x:c>
      <x:c r="G83" s="200"/>
      <x:c r="H83" s="200"/>
      <x:c r="I83" s="349"/>
    </x:row>
    <x:row r="84" ht="58" hidden="0" customHeight="1">
      <x:c r="A84" s="133"/>
      <x:c r="B84" s="199" t="s">
        <x:v>90</x:v>
      </x:c>
      <x:c r="C84" s="199" t="str">
        <x:v>Missing/malformed boundary or lineage evidence test: EP-18 rejected the item and persisted the applicable ASCR-16 failure-verification evidence object</x:v>
      </x:c>
      <x:c r="D84" s="199" t="s">
        <x:v>84</x:v>
      </x:c>
      <x:c r="E84" s="199" t="str">
        <x:v>ASCR-16-OE01-Operational-Guide.docx, Part A § A.5 “Testing Before Go-Live”</x:v>
      </x:c>
      <x:c r="F84" s="199" t="s">
        <x:v>25</x:v>
      </x:c>
      <x:c r="G84" s="199"/>
      <x:c r="H84" s="199"/>
      <x:c r="I84" s="349"/>
    </x:row>
    <x:row r="85" ht="62" hidden="0" customHeight="1">
      <x:c r="B85" s="241" t="s">
        <x:v>91</x:v>
      </x:c>
      <x:c r="C85" s="241" t="str">
        <x:v>Raw results recorded in ASCR-09-OE01 §5; resulting gaps recorded in §6; ASCR-16 evidence attached or referenced as a cloud-to-edge trust-chain validation annex; no ASCR-09 TVA identifier assigned</x:v>
      </x:c>
      <x:c r="D85" s="241" t="s">
        <x:v>84</x:v>
      </x:c>
      <x:c r="E85" s="241" t="str">
        <x:v>ASCR-16-OE01 §A.5; ASCR-09-OE01 §§5–6 (recording only)</x:v>
      </x:c>
      <x:c r="F85" s="241" t="s">
        <x:v>25</x:v>
      </x:c>
      <x:c r="G85" s="241"/>
      <x:c r="H85" s="241"/>
      <x:c r="I85" s="342"/>
    </x:row>
    <x:row r="86" ht="76" hidden="0" customHeight="1">
      <x:c r="B86" s="335" t="str">
        <x:v>10f</x:v>
      </x:c>
      <x:c r="C86" s="335" t="str">
        <x:v>Replay/framing/handoff/AAL validation completed: first lineage-token delivery succeeds; unchanged replay is rejected as LINEAGE_TOKEN_INVALID/NONCE_REUSE; for Framed feeds, configured in-window reordering succeeds while duplicate/missing/out-of-window/incomplete-reassembly cases fail closed; post-EP-18 payload/envelope tamper is rejected as CONTEXT_BOUNDARY_INTEGRITY_FAILURE/EP18_HANDOFF_MISMATCH; and each deployed device-class AAL branch has positive and deliberate required-reference-mismatch tests.</x:v>
      </x:c>
      <x:c r="D86" s="335" t="str">
        <x:v>Security/IR Lead</x:v>
      </x:c>
      <x:c r="E86" s="335" t="str">
        <x:v>ASCR-16 OE01 §A.5 / ASCR-16 §§2.2, 3.2–3.2.1</x:v>
      </x:c>
      <x:c r="F86" s="335" t="str">
        <x:v>Not Verified</x:v>
      </x:c>
      <x:c r="G86" s="335"/>
      <x:c r="H86" s="335"/>
      <x:c r="I86" s="343"/>
    </x:row>
    <x:row r="87" ht="15" hidden="0" customHeight="1">
      <x:c r="B87" s="53" t="str">
        <x:v>10g</x:v>
      </x:c>
      <x:c r="C87" s="53" t="str">
        <x:v>Downstream artifact defense-in-depth test: allow an authorized artifact to pass EP-18, modify the artifact in a controlled segment after the signed EP-18 handoff and before EP-19 admission, and confirm EP-19 independently rejects it as ARTIFACT_MODIFIED_IN_TRANSIT, prevents instantiation, and records ASCR-16 failure evidence.</x:v>
      </x:c>
      <x:c r="D87" s="53" t="str">
        <x:v>Security/IR Lead</x:v>
      </x:c>
      <x:c r="E87" s="53" t="str">
        <x:v>ASCR-16-OE01 §A.5</x:v>
      </x:c>
      <x:c r="F87" t="str">
        <x:v>Not Verified</x:v>
      </x:c>
      <x:c r="G87"/>
      <x:c r="H87"/>
      <x:c r="I87"/>
    </x:row>
    <x:row r="88" ht="24" hidden="0" customHeight="1">
      <x:c r="B88" s="356" t="str">
        <x:v>Sign-Off</x:v>
      </x:c>
      <x:c r="C88" s="356"/>
      <x:c r="D88" s="356"/>
      <x:c r="E88" s="356"/>
      <x:c r="F88" s="357"/>
      <x:c r="G88" s="357"/>
      <x:c r="H88" s="357"/>
      <x:c r="I88" s="357"/>
    </x:row>
    <x:row r="89" ht="53.25" hidden="0" customHeight="1">
      <x:c r="B89" s="55" t="str">
        <x:v>Role</x:v>
      </x:c>
      <x:c r="C89" s="55" t="str">
        <x:v>Name</x:v>
      </x:c>
      <x:c r="D89" s="55" t="str">
        <x:v>Signature</x:v>
      </x:c>
      <x:c r="E89" s="55" t="str">
        <x:v>Date</x:v>
      </x:c>
      <x:c r="F89"/>
      <x:c r="G89"/>
      <x:c r="H89"/>
      <x:c r="I89" s="346"/>
    </x:row>
    <x:row r="90" ht="32.25" hidden="0" customHeight="1">
      <x:c r="B90" s="54" t="s">
        <x:v>92</x:v>
      </x:c>
      <x:c r="C90" s="54"/>
      <x:c r="D90" s="54"/>
      <x:c r="E90" s="54"/>
      <x:c r="F90"/>
      <x:c r="G90"/>
      <x:c r="H90"/>
      <x:c r="I90" s="346"/>
    </x:row>
    <x:row r="91">
      <x:c r="B91" t="s">
        <x:v>93</x:v>
      </x:c>
      <x:c r="C91"/>
      <x:c r="D91"/>
      <x:c r="E91"/>
      <x:c r="F91"/>
      <x:c r="G91"/>
      <x:c r="H91"/>
      <x:c r="I91" s="346"/>
    </x:row>
    <x:row r="92" ht="45" hidden="0" customHeight="1">
      <x:c r="B92" s="56" t="s">
        <x:v>84</x:v>
      </x:c>
      <x:c r="C92" s="56"/>
      <x:c r="D92" s="56"/>
      <x:c r="E92" s="56"/>
      <x:c r="F92" s="56"/>
      <x:c r="G92" s="56"/>
      <x:c r="H92" s="56"/>
      <x:c r="I92" s="348"/>
    </x:row>
    <x:row r="93" ht="42" customHeight="1">
      <x:c r="B93" s="325"/>
      <x:c r="C93" s="325"/>
      <x:c r="D93" s="325"/>
      <x:c r="E93" s="325"/>
      <x:c r="F93" s="325"/>
      <x:c r="G93" s="325"/>
      <x:c r="H93" s="325"/>
      <x:c r="I93" s="342"/>
    </x:row>
    <x:row r="94">
      <x:c r="B94" t="str">
        <x:v>Deployment authorization: All items in Parts 1–10 must be marked Verified or N/A with documented justification. Direct runtime P95/P99 and required deployment-event inputs must be complete and within governed limits/targets before production authorization.</x:v>
      </x:c>
      <x:c r="C94"/>
      <x:c r="D94"/>
      <x:c r="E94"/>
      <x:c r="F94"/>
      <x:c r="G94"/>
      <x:c r="H94"/>
      <x:c r="I94"/>
    </x:row>
  </x:sheetData>
  <x:mergeCells>
    <x:mergeCell ref="B1:I1"/>
    <x:mergeCell ref="B2:I2"/>
    <x:mergeCell ref="B4:I4"/>
    <x:mergeCell ref="B11:I11"/>
    <x:mergeCell ref="B18:I18"/>
    <x:mergeCell ref="B24:I24"/>
    <x:mergeCell ref="B33:I33"/>
    <x:mergeCell ref="B40:I40"/>
    <x:mergeCell ref="B48:I48"/>
    <x:mergeCell ref="B57:I57"/>
    <x:mergeCell ref="B68:I68"/>
    <x:mergeCell ref="B78:I78"/>
    <x:mergeCell ref="B87:I87"/>
    <x:mergeCell ref="B93:I93"/>
  </x:mergeCells>
  <x:dataValidations count="12">
    <x:dataValidation type="list" sqref="E59:E66">
      <x:formula1>"Not Verified,Verified,N/A"</x:formula1>
    </x:dataValidation>
    <x:dataValidation type="list" allowBlank="1" showDropDown="0" sqref="F6:F10">
      <x:formula1>"Not Verified,Verified,N/A"</x:formula1>
    </x:dataValidation>
    <x:dataValidation type="list" allowBlank="1" showDropDown="0" sqref="F13:F17">
      <x:formula1>"Not Verified,Verified,N/A"</x:formula1>
    </x:dataValidation>
    <x:dataValidation type="list" allowBlank="1" showDropDown="0" sqref="F20:F23">
      <x:formula1>"Not Verified,Verified,N/A"</x:formula1>
    </x:dataValidation>
    <x:dataValidation type="list" allowBlank="1" showDropDown="0" sqref="F26:F31">
      <x:formula1>"Not Verified,Verified,N/A"</x:formula1>
    </x:dataValidation>
    <x:dataValidation type="list" allowBlank="1" showDropDown="0" sqref="F35:F38">
      <x:formula1>"Not Verified,Verified,N/A"</x:formula1>
    </x:dataValidation>
    <x:dataValidation type="list" allowBlank="1" showDropDown="0" sqref="F42:F47">
      <x:formula1>"Not Verified,Verified,N/A"</x:formula1>
    </x:dataValidation>
    <x:dataValidation type="list" allowBlank="1" showDropDown="0" sqref="F50:F56">
      <x:formula1>"Not Verified,Verified,N/A"</x:formula1>
    </x:dataValidation>
    <x:dataValidation type="list" allowBlank="1" showDropDown="0" sqref="F59:F66">
      <x:formula1>"Not Verified,Verified,N/A"</x:formula1>
    </x:dataValidation>
    <x:dataValidation type="list" allowBlank="1" showDropDown="0" sqref="F70:F71">
      <x:formula1>"Not Verified,Verified,N/A"</x:formula1>
    </x:dataValidation>
    <x:dataValidation type="list" allowBlank="1" showDropDown="0" sqref="F73:F76">
      <x:formula1>"Not Verified,Verified,N/A"</x:formula1>
    </x:dataValidation>
    <x:dataValidation type="list" allowBlank="1" showDropDown="0" sqref="F80:F87">
      <x:formula1>"Not Verified,Verified,N/A"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2" hidden="0" customWidth="1"/>
    <x:col min="4" max="4" width="14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20" hidden="0" customWidth="1"/>
    <x:col min="10" max="10" width="18" hidden="0" customWidth="1"/>
    <x:col min="11" max="11" width="32" hidden="0" customWidth="1"/>
    <x:col min="12" max="12" width="28" hidden="0" customWidth="1"/>
  </x:cols>
  <x:sheetData>
    <x:row r="1">
      <x:c r="A1" s="163" t="str">
        <x:v>ASCR-16 Context Feed Registry — Atomic / Framed Integrity Configuration</x:v>
      </x:c>
      <x:c r="B1" s="163"/>
      <x:c r="C1" s="163"/>
      <x:c r="D1" s="163"/>
      <x:c r="E1" s="163"/>
      <x:c r="F1" s="163"/>
      <x:c r="G1" s="163"/>
      <x:c r="H1" s="163"/>
      <x:c r="I1" s="163"/>
      <x:c r="J1" s="163"/>
      <x:c r="K1" s="163"/>
    </x:row>
    <x:row r="2" ht="46" customHeight="1">
      <x:c r="A2" s="133" t="str">
        <x:v>Classify every registered context feed before production use. Framing-only fields may be N/A for Atomic feeds with documented transport evidence. ASCR-16 defines no universal byte limit, chunk size, reorder window, or reassembly timeout. Rows labeled EXAMPLE are illustrative only and must be deleted or replaced before production use.</x:v>
      </x:c>
      <x:c r="B2" s="133"/>
      <x:c r="C2" s="133"/>
      <x:c r="D2" s="133"/>
      <x:c r="E2" s="133"/>
      <x:c r="F2" s="133"/>
      <x:c r="G2" s="133"/>
      <x:c r="H2" s="133"/>
      <x:c r="I2" s="133"/>
      <x:c r="J2" s="133"/>
      <x:c r="K2" s="133"/>
    </x:row>
    <x:row r="3">
      <x:c r="A3" s="133"/>
      <x:c r="B3" s="133"/>
      <x:c r="C3" s="133"/>
      <x:c r="D3" s="133"/>
      <x:c r="E3" s="133"/>
      <x:c r="F3" s="133"/>
      <x:c r="G3" s="133"/>
      <x:c r="H3" s="133"/>
      <x:c r="I3" s="133"/>
      <x:c r="J3" s="133"/>
      <x:c r="K3" s="133"/>
    </x:row>
    <x:row r="4">
      <x:c r="A4" s="167" t="str">
        <x:v>Feed ID</x:v>
      </x:c>
      <x:c r="B4" s="167" t="str">
        <x:v>Source / Pipeline</x:v>
      </x:c>
      <x:c r="C4" s="167" t="str">
        <x:v>Actuation Classification</x:v>
      </x:c>
      <x:c r="D4" s="167" t="str">
        <x:v>Framing Mode</x:v>
      </x:c>
      <x:c r="E4" s="167" t="str">
        <x:v>Maximum Authenticated Integrity-Unit Size</x:v>
      </x:c>
      <x:c r="F4" s="167" t="str">
        <x:v>Chunking Threshold (if applicable)</x:v>
      </x:c>
      <x:c r="G4" s="167" t="str">
        <x:v>Sequence Identifier Source</x:v>
      </x:c>
      <x:c r="H4" s="167" t="str">
        <x:v>Permitted Reordering Window</x:v>
      </x:c>
      <x:c r="I4" s="167" t="str">
        <x:v>Gap / Reassembly Timeout</x:v>
      </x:c>
      <x:c r="J4" s="167" t="str">
        <x:v>Gap Failure Action</x:v>
      </x:c>
      <x:c r="K4" s="167" t="str">
        <x:v>Validation Evidence / Notes</x:v>
      </x:c>
      <x:c r="L4" s="133" t="str">
        <x:v>Authorized pipeline_svid / identity binding</x:v>
      </x:c>
    </x:row>
    <x:row r="5" ht="54" customHeight="1">
      <x:c r="A5" s="424" t="str">
        <x:v>EXAMPLE-ATOMIC-01</x:v>
      </x:c>
      <x:c r="B5" s="424" t="str">
        <x:v>&lt;source or pipeline&gt;</x:v>
      </x:c>
      <x:c r="C5" s="424" t="str">
        <x:v>Non-actuation-relevant</x:v>
      </x:c>
      <x:c r="D5" s="424" t="str">
        <x:v>Atomic</x:v>
      </x:c>
      <x:c r="E5" s="424" t="str">
        <x:v>&lt;deployment-defined&gt;</x:v>
      </x:c>
      <x:c r="F5" s="424" t="str">
        <x:v>N/A</x:v>
      </x:c>
      <x:c r="G5" s="424" t="str">
        <x:v>N/A</x:v>
      </x:c>
      <x:c r="H5" s="424" t="str">
        <x:v>N/A</x:v>
      </x:c>
      <x:c r="I5" s="424" t="str">
        <x:v>N/A</x:v>
      </x:c>
      <x:c r="J5" s="424" t="str">
        <x:v>N/A — Atomic</x:v>
      </x:c>
      <x:c r="K5" s="424" t="str">
        <x:v>EXAMPLE ONLY. Delete or replace before production. No universal size or timing defaults are implied.</x:v>
      </x:c>
      <x:c r="L5" s="133" t="str">
        <x:v>&lt;authorized pipeline_svid&gt;</x:v>
      </x:c>
    </x:row>
    <x:row r="6" ht="54" customHeight="1">
      <x:c r="A6" s="425" t="str">
        <x:v>EXAMPLE-FRAMED-01</x:v>
      </x:c>
      <x:c r="B6" s="425" t="str">
        <x:v>&lt;source or pipeline&gt;</x:v>
      </x:c>
      <x:c r="C6" s="425" t="str">
        <x:v>Intra-cycle real-time</x:v>
      </x:c>
      <x:c r="D6" s="425" t="str">
        <x:v>Framed</x:v>
      </x:c>
      <x:c r="E6" s="425" t="str">
        <x:v>&lt;deployment-defined&gt;</x:v>
      </x:c>
      <x:c r="F6" s="425" t="str">
        <x:v>&lt;deployment-defined&gt;</x:v>
      </x:c>
      <x:c r="G6" s="425" t="str">
        <x:v>&lt;authenticated monotonic sequence field&gt;</x:v>
      </x:c>
      <x:c r="H6" s="425" t="str">
        <x:v>&lt;deployment-defined&gt;</x:v>
      </x:c>
      <x:c r="I6" s="425" t="str">
        <x:v>&lt;deployment-defined&gt;</x:v>
      </x:c>
      <x:c r="J6" s="425" t="str">
        <x:v>Fail closed</x:v>
      </x:c>
      <x:c r="K6" s="425" t="str">
        <x:v>EXAMPLE ONLY. Delete or replace before production. All values must be deployment-validated.</x:v>
      </x:c>
      <x:c r="L6" s="133" t="str">
        <x:v>&lt;authorized pipeline_svid&gt;</x:v>
      </x:c>
    </x:row>
    <x:row r="7">
      <x:c r="A7" s="133"/>
      <x:c r="B7" s="133"/>
      <x:c r="C7" s="133"/>
      <x:c r="D7" s="133"/>
      <x:c r="E7" s="133"/>
      <x:c r="F7" s="133"/>
      <x:c r="G7" s="133"/>
      <x:c r="H7" s="133"/>
      <x:c r="I7" s="133"/>
      <x:c r="J7" s="133"/>
      <x:c r="K7" s="133"/>
      <x:c r="L7" s="133"/>
    </x:row>
    <x:row r="8">
      <x:c r="A8" s="133"/>
      <x:c r="B8" s="133"/>
      <x:c r="C8" s="133"/>
      <x:c r="D8" s="133"/>
      <x:c r="E8" s="133"/>
      <x:c r="F8" s="133"/>
      <x:c r="G8" s="133"/>
      <x:c r="H8" s="133"/>
      <x:c r="I8" s="133"/>
      <x:c r="J8" s="133"/>
      <x:c r="K8" s="133"/>
      <x:c r="L8" s="133"/>
    </x:row>
    <x:row r="9">
      <x:c r="A9" s="133"/>
      <x:c r="B9" s="133"/>
      <x:c r="C9" s="133"/>
      <x:c r="D9" s="133"/>
      <x:c r="E9" s="133"/>
      <x:c r="F9" s="133"/>
      <x:c r="G9" s="133"/>
      <x:c r="H9" s="133"/>
      <x:c r="I9" s="133"/>
      <x:c r="J9" s="133"/>
      <x:c r="K9" s="133"/>
      <x:c r="L9" s="133"/>
    </x:row>
    <x:row r="10">
      <x:c r="A10" s="133"/>
      <x:c r="B10" s="133"/>
      <x:c r="C10" s="133"/>
      <x:c r="D10" s="133"/>
      <x:c r="E10" s="133"/>
      <x:c r="F10" s="133"/>
      <x:c r="G10" s="133"/>
      <x:c r="H10" s="133"/>
      <x:c r="I10" s="133"/>
      <x:c r="J10" s="133"/>
      <x:c r="K10" s="133"/>
      <x:c r="L10" s="133"/>
    </x:row>
    <x:row r="11">
      <x:c r="A11" s="133"/>
      <x:c r="B11" s="133"/>
      <x:c r="C11" s="133"/>
      <x:c r="D11" s="133"/>
      <x:c r="E11" s="133"/>
      <x:c r="F11" s="133"/>
      <x:c r="G11" s="133"/>
      <x:c r="H11" s="133"/>
      <x:c r="I11" s="133"/>
      <x:c r="J11" s="133"/>
      <x:c r="K11" s="133"/>
      <x:c r="L11" s="133"/>
    </x:row>
    <x:row r="12">
      <x:c r="A12" s="133"/>
      <x:c r="B12" s="133"/>
      <x:c r="C12" s="133"/>
      <x:c r="D12" s="133"/>
      <x:c r="E12" s="133"/>
      <x:c r="F12" s="133"/>
      <x:c r="G12" s="133"/>
      <x:c r="H12" s="133"/>
      <x:c r="I12" s="133"/>
      <x:c r="J12" s="133"/>
      <x:c r="K12" s="133"/>
      <x:c r="L12" s="133"/>
    </x:row>
    <x:row r="13">
      <x:c r="A13" s="133"/>
      <x:c r="B13" s="133"/>
      <x:c r="C13" s="133"/>
      <x:c r="D13" s="133"/>
      <x:c r="E13" s="133"/>
      <x:c r="F13" s="133"/>
      <x:c r="G13" s="133"/>
      <x:c r="H13" s="133"/>
      <x:c r="I13" s="133"/>
      <x:c r="J13" s="133"/>
      <x:c r="K13" s="133"/>
      <x:c r="L13" s="133"/>
    </x:row>
    <x:row r="14">
      <x:c r="A14" s="133"/>
      <x:c r="B14" s="133"/>
      <x:c r="C14" s="133"/>
      <x:c r="D14" s="133"/>
      <x:c r="E14" s="133"/>
      <x:c r="F14" s="133"/>
      <x:c r="G14" s="133"/>
      <x:c r="H14" s="133"/>
      <x:c r="I14" s="133"/>
      <x:c r="J14" s="133"/>
      <x:c r="K14" s="133"/>
      <x:c r="L14" s="133"/>
    </x:row>
    <x:row r="15">
      <x:c r="A15" s="133"/>
      <x:c r="B15" s="133"/>
      <x:c r="C15" s="133"/>
      <x:c r="D15" s="133"/>
      <x:c r="E15" s="133"/>
      <x:c r="F15" s="133"/>
      <x:c r="G15" s="133"/>
      <x:c r="H15" s="133"/>
      <x:c r="I15" s="133"/>
      <x:c r="J15" s="133"/>
      <x:c r="K15" s="133"/>
      <x:c r="L15" s="133"/>
    </x:row>
    <x:row r="16">
      <x:c r="A16" s="133"/>
      <x:c r="B16" s="133"/>
      <x:c r="C16" s="133"/>
      <x:c r="D16" s="133"/>
      <x:c r="E16" s="133"/>
      <x:c r="F16" s="133"/>
      <x:c r="G16" s="133"/>
      <x:c r="H16" s="133"/>
      <x:c r="I16" s="133"/>
      <x:c r="J16" s="133"/>
      <x:c r="K16" s="133"/>
      <x:c r="L16" s="133"/>
    </x:row>
    <x:row r="17">
      <x:c r="A17" s="133"/>
      <x:c r="B17" s="133"/>
      <x:c r="C17" s="133"/>
      <x:c r="D17" s="133"/>
      <x:c r="E17" s="133"/>
      <x:c r="F17" s="133"/>
      <x:c r="G17" s="133"/>
      <x:c r="H17" s="133"/>
      <x:c r="I17" s="133"/>
      <x:c r="J17" s="133"/>
      <x:c r="K17" s="133"/>
      <x:c r="L17" s="133"/>
    </x:row>
    <x:row r="18">
      <x:c r="A18" s="133"/>
      <x:c r="B18" s="133"/>
      <x:c r="C18" s="133"/>
      <x:c r="D18" s="133"/>
      <x:c r="E18" s="133"/>
      <x:c r="F18" s="133"/>
      <x:c r="G18" s="133"/>
      <x:c r="H18" s="133"/>
      <x:c r="I18" s="133"/>
      <x:c r="J18" s="133"/>
      <x:c r="K18" s="133"/>
      <x:c r="L18" s="133"/>
    </x:row>
    <x:row r="19">
      <x:c r="A19" s="133"/>
      <x:c r="B19" s="133"/>
      <x:c r="C19" s="133"/>
      <x:c r="D19" s="133"/>
      <x:c r="E19" s="133"/>
      <x:c r="F19" s="133"/>
      <x:c r="G19" s="133"/>
      <x:c r="H19" s="133"/>
      <x:c r="I19" s="133"/>
      <x:c r="J19" s="133"/>
      <x:c r="K19" s="133"/>
      <x:c r="L19" s="133"/>
    </x:row>
    <x:row r="20">
      <x:c r="A20" s="133"/>
      <x:c r="B20" s="133"/>
      <x:c r="C20" s="133"/>
      <x:c r="D20" s="133"/>
      <x:c r="E20" s="133"/>
      <x:c r="F20" s="133"/>
      <x:c r="G20" s="133"/>
      <x:c r="H20" s="133"/>
      <x:c r="I20" s="133"/>
      <x:c r="J20" s="133"/>
      <x:c r="K20" s="133"/>
      <x:c r="L20" s="133"/>
    </x:row>
    <x:row r="21">
      <x:c r="A21" s="133"/>
      <x:c r="B21" s="133"/>
      <x:c r="C21" s="133"/>
      <x:c r="D21" s="133"/>
      <x:c r="E21" s="133"/>
      <x:c r="F21" s="133"/>
      <x:c r="G21" s="133"/>
      <x:c r="H21" s="133"/>
      <x:c r="I21" s="133"/>
      <x:c r="J21" s="133"/>
      <x:c r="K21" s="133"/>
      <x:c r="L21" s="133"/>
    </x:row>
    <x:row r="22">
      <x:c r="A22" s="133"/>
      <x:c r="B22" s="133"/>
      <x:c r="C22" s="133"/>
      <x:c r="D22" s="133"/>
      <x:c r="E22" s="133"/>
      <x:c r="F22" s="133"/>
      <x:c r="G22" s="133"/>
      <x:c r="H22" s="133"/>
      <x:c r="I22" s="133"/>
      <x:c r="J22" s="133"/>
      <x:c r="K22" s="133"/>
      <x:c r="L22" s="133"/>
    </x:row>
    <x:row r="23">
      <x:c r="A23" s="133"/>
      <x:c r="B23" s="133"/>
      <x:c r="C23" s="133"/>
      <x:c r="D23" s="133"/>
      <x:c r="E23" s="133"/>
      <x:c r="F23" s="133"/>
      <x:c r="G23" s="133"/>
      <x:c r="H23" s="133"/>
      <x:c r="I23" s="133"/>
      <x:c r="J23" s="133"/>
      <x:c r="K23" s="133"/>
      <x:c r="L23" s="133"/>
    </x:row>
    <x:row r="24">
      <x:c r="A24" s="133"/>
      <x:c r="B24" s="133"/>
      <x:c r="C24" s="133"/>
      <x:c r="D24" s="133"/>
      <x:c r="E24" s="133"/>
      <x:c r="F24" s="133"/>
      <x:c r="G24" s="133"/>
      <x:c r="H24" s="133"/>
      <x:c r="I24" s="133"/>
      <x:c r="J24" s="133"/>
      <x:c r="K24" s="133"/>
      <x:c r="L24" s="133"/>
    </x:row>
    <x:row r="25">
      <x:c r="L25" s="133"/>
    </x:row>
    <x:row r="26">
      <x:c r="L26" s="133"/>
    </x:row>
    <x:row r="27">
      <x:c r="L27" s="133"/>
    </x:row>
    <x:row r="28">
      <x:c r="L28" s="133"/>
    </x:row>
    <x:row r="29">
      <x:c r="L29" s="133"/>
    </x:row>
    <x:row r="30">
      <x:c r="L30" s="133"/>
    </x:row>
    <x:row r="31">
      <x:c r="L31" s="133"/>
    </x:row>
    <x:row r="32">
      <x:c r="L32" s="133"/>
    </x:row>
    <x:row r="33">
      <x:c r="L33" s="133"/>
    </x:row>
    <x:row r="34">
      <x:c r="L34" s="133"/>
    </x:row>
    <x:row r="35">
      <x:c r="L35" s="133"/>
    </x:row>
    <x:row r="36">
      <x:c r="L36" s="133"/>
    </x:row>
    <x:row r="37">
      <x:c r="L37" s="133"/>
    </x:row>
    <x:row r="38">
      <x:c r="L38" s="133"/>
    </x:row>
    <x:row r="39">
      <x:c r="L39" s="133"/>
    </x:row>
    <x:row r="40">
      <x:c r="L40" s="133"/>
    </x:row>
    <x:row r="41">
      <x:c r="L41" s="133"/>
    </x:row>
    <x:row r="42">
      <x:c r="L42" s="133"/>
    </x:row>
    <x:row r="43">
      <x:c r="L43" s="133"/>
    </x:row>
    <x:row r="44">
      <x:c r="L44" s="133"/>
    </x:row>
    <x:row r="45">
      <x:c r="L45" s="133"/>
    </x:row>
    <x:row r="46">
      <x:c r="L46" s="133"/>
    </x:row>
    <x:row r="47">
      <x:c r="L47" s="133"/>
    </x:row>
    <x:row r="48">
      <x:c r="L48" s="133"/>
    </x:row>
    <x:row r="49">
      <x:c r="L49" s="133"/>
    </x:row>
    <x:row r="50">
      <x:c r="L50" s="133"/>
    </x:row>
    <x:row r="51">
      <x:c r="L51" s="133"/>
    </x:row>
    <x:row r="52">
      <x:c r="L52" s="133"/>
    </x:row>
    <x:row r="53">
      <x:c r="L53" s="133"/>
    </x:row>
    <x:row r="54">
      <x:c r="L54" s="133"/>
    </x:row>
    <x:row r="55">
      <x:c r="L55" s="133"/>
    </x:row>
    <x:row r="56">
      <x:c r="L56" s="133"/>
    </x:row>
    <x:row r="57">
      <x:c r="L57" s="133"/>
    </x:row>
    <x:row r="58">
      <x:c r="L58" s="133"/>
    </x:row>
    <x:row r="59">
      <x:c r="L59" s="133"/>
    </x:row>
    <x:row r="60">
      <x:c r="L60" s="133"/>
    </x:row>
    <x:row r="61">
      <x:c r="L61" s="133"/>
    </x:row>
    <x:row r="62">
      <x:c r="L62" s="133"/>
    </x:row>
    <x:row r="63">
      <x:c r="L63" s="133"/>
    </x:row>
    <x:row r="64">
      <x:c r="L64" s="133"/>
    </x:row>
    <x:row r="65">
      <x:c r="L65" s="133"/>
    </x:row>
    <x:row r="66">
      <x:c r="L66" s="133"/>
    </x:row>
    <x:row r="67">
      <x:c r="L67" s="133"/>
    </x:row>
    <x:row r="68">
      <x:c r="L68" s="133"/>
    </x:row>
    <x:row r="69">
      <x:c r="L69" s="133"/>
    </x:row>
    <x:row r="70">
      <x:c r="L70" s="133"/>
    </x:row>
    <x:row r="71">
      <x:c r="L71" s="133"/>
    </x:row>
    <x:row r="72">
      <x:c r="L72" s="133"/>
    </x:row>
    <x:row r="73">
      <x:c r="L73" s="133"/>
    </x:row>
    <x:row r="74">
      <x:c r="L74" s="133"/>
    </x:row>
    <x:row r="75">
      <x:c r="L75" s="133"/>
    </x:row>
    <x:row r="76">
      <x:c r="L76" s="133"/>
    </x:row>
    <x:row r="77">
      <x:c r="L77" s="133"/>
    </x:row>
    <x:row r="78">
      <x:c r="L78" s="133"/>
    </x:row>
    <x:row r="79">
      <x:c r="L79" s="133"/>
    </x:row>
    <x:row r="80">
      <x:c r="L80" s="133"/>
    </x:row>
    <x:row r="81">
      <x:c r="L81" s="133"/>
    </x:row>
    <x:row r="82">
      <x:c r="L82" s="133"/>
    </x:row>
    <x:row r="83">
      <x:c r="L83" s="133"/>
    </x:row>
    <x:row r="84">
      <x:c r="L84" s="133"/>
    </x:row>
    <x:row r="85">
      <x:c r="L85" s="133"/>
    </x:row>
    <x:row r="86">
      <x:c r="L86" s="133"/>
    </x:row>
    <x:row r="87">
      <x:c r="L87" s="133"/>
    </x:row>
    <x:row r="88">
      <x:c r="L88" s="133"/>
    </x:row>
    <x:row r="89">
      <x:c r="L89" s="133"/>
    </x:row>
    <x:row r="90">
      <x:c r="L90" s="133"/>
    </x:row>
    <x:row r="91">
      <x:c r="L91" s="133"/>
    </x:row>
    <x:row r="92">
      <x:c r="L92" s="133"/>
    </x:row>
    <x:row r="93">
      <x:c r="L93" s="133"/>
    </x:row>
    <x:row r="94">
      <x:c r="L94" s="133"/>
    </x:row>
    <x:row r="95">
      <x:c r="L95" s="133"/>
    </x:row>
    <x:row r="96">
      <x:c r="L96" s="133"/>
    </x:row>
    <x:row r="97">
      <x:c r="L97" s="133"/>
    </x:row>
    <x:row r="98">
      <x:c r="L98" s="133"/>
    </x:row>
    <x:row r="99">
      <x:c r="L99" s="133"/>
    </x:row>
    <x:row r="100">
      <x:c r="L100" s="133"/>
    </x:row>
    <x:row r="101">
      <x:c r="L101" s="133"/>
    </x:row>
    <x:row r="102">
      <x:c r="L102" s="133"/>
    </x:row>
    <x:row r="103">
      <x:c r="L103" s="133"/>
    </x:row>
    <x:row r="104">
      <x:c r="L104" s="133"/>
    </x:row>
    <x:row r="105">
      <x:c r="L105" s="133"/>
    </x:row>
    <x:row r="106">
      <x:c r="L106" s="133"/>
    </x:row>
    <x:row r="107">
      <x:c r="L107" s="133"/>
    </x:row>
    <x:row r="108">
      <x:c r="L108" s="133"/>
    </x:row>
    <x:row r="109">
      <x:c r="L109" s="133"/>
    </x:row>
    <x:row r="110">
      <x:c r="L110" s="133"/>
    </x:row>
    <x:row r="111">
      <x:c r="L111" s="133"/>
    </x:row>
    <x:row r="112">
      <x:c r="L112" s="133"/>
    </x:row>
    <x:row r="113">
      <x:c r="L113" s="133"/>
    </x:row>
    <x:row r="114">
      <x:c r="L114" s="133"/>
    </x:row>
    <x:row r="115">
      <x:c r="L115" s="133"/>
    </x:row>
    <x:row r="116">
      <x:c r="L116" s="133"/>
    </x:row>
    <x:row r="117">
      <x:c r="L117" s="133"/>
    </x:row>
    <x:row r="118">
      <x:c r="L118" s="133"/>
    </x:row>
    <x:row r="119">
      <x:c r="L119" s="133"/>
    </x:row>
    <x:row r="120">
      <x:c r="L120" s="133"/>
    </x:row>
    <x:row r="121">
      <x:c r="L121" s="133"/>
    </x:row>
    <x:row r="122">
      <x:c r="L122" s="133"/>
    </x:row>
    <x:row r="123">
      <x:c r="L123" s="133"/>
    </x:row>
    <x:row r="124">
      <x:c r="L124" s="133"/>
    </x:row>
    <x:row r="125">
      <x:c r="L125" s="133"/>
    </x:row>
    <x:row r="126">
      <x:c r="L126" s="133"/>
    </x:row>
    <x:row r="127">
      <x:c r="L127" s="133"/>
    </x:row>
    <x:row r="128">
      <x:c r="L128" s="133"/>
    </x:row>
    <x:row r="129">
      <x:c r="L129" s="133"/>
    </x:row>
    <x:row r="130">
      <x:c r="L130" s="133"/>
    </x:row>
    <x:row r="131">
      <x:c r="L131" s="133"/>
    </x:row>
    <x:row r="132">
      <x:c r="L132" s="133"/>
    </x:row>
    <x:row r="133">
      <x:c r="L133" s="133"/>
    </x:row>
    <x:row r="134">
      <x:c r="L134" s="133"/>
    </x:row>
    <x:row r="135">
      <x:c r="L135" s="133"/>
    </x:row>
    <x:row r="136">
      <x:c r="L136" s="133"/>
    </x:row>
    <x:row r="137">
      <x:c r="L137" s="133"/>
    </x:row>
    <x:row r="138">
      <x:c r="L138" s="133"/>
    </x:row>
    <x:row r="139">
      <x:c r="L139" s="133"/>
    </x:row>
    <x:row r="140">
      <x:c r="L140" s="133"/>
    </x:row>
    <x:row r="141">
      <x:c r="L141" s="133"/>
    </x:row>
    <x:row r="142">
      <x:c r="L142" s="133"/>
    </x:row>
    <x:row r="143">
      <x:c r="L143" s="133"/>
    </x:row>
    <x:row r="144">
      <x:c r="L144" s="133"/>
    </x:row>
    <x:row r="145">
      <x:c r="L145" s="133"/>
    </x:row>
    <x:row r="146">
      <x:c r="L146" s="133"/>
    </x:row>
    <x:row r="147">
      <x:c r="L147" s="133"/>
    </x:row>
    <x:row r="148">
      <x:c r="L148" s="133"/>
    </x:row>
    <x:row r="149">
      <x:c r="L149" s="133"/>
    </x:row>
    <x:row r="150">
      <x:c r="L150" s="133"/>
    </x:row>
    <x:row r="151">
      <x:c r="L151" s="133"/>
    </x:row>
    <x:row r="152">
      <x:c r="L152" s="133"/>
    </x:row>
    <x:row r="153">
      <x:c r="L153" s="133"/>
    </x:row>
    <x:row r="154">
      <x:c r="L154" s="133"/>
    </x:row>
    <x:row r="155">
      <x:c r="L155" s="133"/>
    </x:row>
    <x:row r="156">
      <x:c r="L156" s="133"/>
    </x:row>
    <x:row r="157">
      <x:c r="L157" s="133"/>
    </x:row>
    <x:row r="158">
      <x:c r="L158" s="133"/>
    </x:row>
    <x:row r="159">
      <x:c r="L159" s="133"/>
    </x:row>
    <x:row r="160">
      <x:c r="L160" s="133"/>
    </x:row>
    <x:row r="161">
      <x:c r="L161" s="133"/>
    </x:row>
    <x:row r="162">
      <x:c r="L162" s="133"/>
    </x:row>
    <x:row r="163">
      <x:c r="L163" s="133"/>
    </x:row>
    <x:row r="164">
      <x:c r="L164" s="133"/>
    </x:row>
    <x:row r="165">
      <x:c r="L165" s="133"/>
    </x:row>
    <x:row r="166">
      <x:c r="L166" s="133"/>
    </x:row>
    <x:row r="167">
      <x:c r="L167" s="133"/>
    </x:row>
    <x:row r="168">
      <x:c r="L168" s="133"/>
    </x:row>
    <x:row r="169">
      <x:c r="L169" s="133"/>
    </x:row>
    <x:row r="170">
      <x:c r="L170" s="133"/>
    </x:row>
    <x:row r="171">
      <x:c r="L171" s="133"/>
    </x:row>
    <x:row r="172">
      <x:c r="L172" s="133"/>
    </x:row>
    <x:row r="173">
      <x:c r="L173" s="133"/>
    </x:row>
    <x:row r="174">
      <x:c r="L174" s="133"/>
    </x:row>
    <x:row r="175">
      <x:c r="L175" s="133"/>
    </x:row>
    <x:row r="176">
      <x:c r="L176" s="133"/>
    </x:row>
    <x:row r="177">
      <x:c r="L177" s="133"/>
    </x:row>
    <x:row r="178">
      <x:c r="L178" s="133"/>
    </x:row>
    <x:row r="179">
      <x:c r="L179" s="133"/>
    </x:row>
    <x:row r="180">
      <x:c r="L180" s="133"/>
    </x:row>
    <x:row r="181">
      <x:c r="L181" s="133"/>
    </x:row>
    <x:row r="182">
      <x:c r="L182" s="133"/>
    </x:row>
    <x:row r="183">
      <x:c r="L183" s="133"/>
    </x:row>
    <x:row r="184">
      <x:c r="L184" s="133"/>
    </x:row>
    <x:row r="185">
      <x:c r="L185" s="133"/>
    </x:row>
    <x:row r="186">
      <x:c r="L186" s="133"/>
    </x:row>
    <x:row r="187">
      <x:c r="L187" s="133"/>
    </x:row>
    <x:row r="188">
      <x:c r="L188" s="133"/>
    </x:row>
    <x:row r="189">
      <x:c r="L189" s="133"/>
    </x:row>
    <x:row r="190">
      <x:c r="L190" s="133"/>
    </x:row>
    <x:row r="191">
      <x:c r="L191" s="133"/>
    </x:row>
    <x:row r="192">
      <x:c r="L192" s="133"/>
    </x:row>
    <x:row r="193">
      <x:c r="L193" s="133"/>
    </x:row>
    <x:row r="194">
      <x:c r="L194" s="133"/>
    </x:row>
    <x:row r="195">
      <x:c r="L195" s="133"/>
    </x:row>
    <x:row r="196">
      <x:c r="L196" s="133"/>
    </x:row>
    <x:row r="197">
      <x:c r="L197" s="133"/>
    </x:row>
    <x:row r="198">
      <x:c r="L198" s="133"/>
    </x:row>
    <x:row r="199">
      <x:c r="L199" s="133"/>
    </x:row>
    <x:row r="200">
      <x:c r="L200" s="133"/>
    </x:row>
    <x:row r="201">
      <x:c r="L201" s="133"/>
    </x:row>
    <x:row r="202">
      <x:c r="L202" s="133"/>
    </x:row>
    <x:row r="203">
      <x:c r="L203" s="133"/>
    </x:row>
    <x:row r="204">
      <x:c r="L204" s="133"/>
    </x:row>
    <x:row r="205">
      <x:c r="L205" s="133"/>
    </x:row>
    <x:row r="206">
      <x:c r="L206" s="133"/>
    </x:row>
    <x:row r="207">
      <x:c r="L207" s="133"/>
    </x:row>
    <x:row r="208">
      <x:c r="L208" s="133"/>
    </x:row>
    <x:row r="209">
      <x:c r="L209" s="133"/>
    </x:row>
    <x:row r="210">
      <x:c r="L210" s="133"/>
    </x:row>
    <x:row r="211">
      <x:c r="L211" s="133"/>
    </x:row>
    <x:row r="212">
      <x:c r="L212" s="133"/>
    </x:row>
    <x:row r="213">
      <x:c r="L213" s="133"/>
    </x:row>
    <x:row r="214">
      <x:c r="L214" s="133"/>
    </x:row>
    <x:row r="215">
      <x:c r="L215" s="133"/>
    </x:row>
    <x:row r="216">
      <x:c r="L216" s="133"/>
    </x:row>
    <x:row r="217">
      <x:c r="L217" s="133"/>
    </x:row>
    <x:row r="218">
      <x:c r="L218" s="133"/>
    </x:row>
    <x:row r="219">
      <x:c r="L219" s="133"/>
    </x:row>
    <x:row r="220">
      <x:c r="L220" s="133"/>
    </x:row>
    <x:row r="221">
      <x:c r="L221" s="133"/>
    </x:row>
    <x:row r="222">
      <x:c r="L222" s="133"/>
    </x:row>
    <x:row r="223">
      <x:c r="L223" s="133"/>
    </x:row>
    <x:row r="224">
      <x:c r="L224" s="133"/>
    </x:row>
    <x:row r="225">
      <x:c r="L225" s="133"/>
    </x:row>
    <x:row r="226">
      <x:c r="L226" s="133"/>
    </x:row>
    <x:row r="227">
      <x:c r="L227" s="133"/>
    </x:row>
    <x:row r="228">
      <x:c r="L228" s="133"/>
    </x:row>
    <x:row r="229">
      <x:c r="L229" s="133"/>
    </x:row>
    <x:row r="230">
      <x:c r="L230" s="133"/>
    </x:row>
    <x:row r="231">
      <x:c r="L231" s="133"/>
    </x:row>
    <x:row r="232">
      <x:c r="L232" s="133"/>
    </x:row>
    <x:row r="233">
      <x:c r="L233" s="133"/>
    </x:row>
    <x:row r="234">
      <x:c r="L234" s="133"/>
    </x:row>
    <x:row r="235">
      <x:c r="L235" s="133"/>
    </x:row>
    <x:row r="236">
      <x:c r="L236" s="133"/>
    </x:row>
    <x:row r="237">
      <x:c r="L237" s="133"/>
    </x:row>
    <x:row r="238">
      <x:c r="L238" s="133"/>
    </x:row>
    <x:row r="239">
      <x:c r="L239" s="133"/>
    </x:row>
    <x:row r="240">
      <x:c r="L240" s="133"/>
    </x:row>
    <x:row r="241">
      <x:c r="L241" s="133"/>
    </x:row>
    <x:row r="242">
      <x:c r="L242" s="133"/>
    </x:row>
    <x:row r="243">
      <x:c r="L243" s="133"/>
    </x:row>
    <x:row r="244">
      <x:c r="L244" s="133"/>
    </x:row>
    <x:row r="245">
      <x:c r="L245" s="133"/>
    </x:row>
    <x:row r="246">
      <x:c r="L246" s="133"/>
    </x:row>
    <x:row r="247">
      <x:c r="L247" s="133"/>
    </x:row>
    <x:row r="248">
      <x:c r="L248" s="133"/>
    </x:row>
    <x:row r="249">
      <x:c r="L249" s="133"/>
    </x:row>
    <x:row r="250">
      <x:c r="L250" s="133"/>
    </x:row>
    <x:row r="251">
      <x:c r="L251" s="133"/>
    </x:row>
    <x:row r="252">
      <x:c r="L252" s="133"/>
    </x:row>
    <x:row r="253">
      <x:c r="L253" s="133"/>
    </x:row>
    <x:row r="254">
      <x:c r="L254" s="133"/>
    </x:row>
    <x:row r="255">
      <x:c r="L255" s="133"/>
    </x:row>
    <x:row r="256">
      <x:c r="L256" s="133"/>
    </x:row>
    <x:row r="257">
      <x:c r="L257" s="133"/>
    </x:row>
    <x:row r="258">
      <x:c r="L258" s="133"/>
    </x:row>
    <x:row r="259">
      <x:c r="L259" s="133"/>
    </x:row>
    <x:row r="260">
      <x:c r="L260" s="133"/>
    </x:row>
    <x:row r="261">
      <x:c r="L261" s="133"/>
    </x:row>
    <x:row r="262">
      <x:c r="L262" s="133"/>
    </x:row>
    <x:row r="263">
      <x:c r="L263" s="133"/>
    </x:row>
    <x:row r="264">
      <x:c r="L264" s="133"/>
    </x:row>
    <x:row r="265">
      <x:c r="L265" s="133"/>
    </x:row>
    <x:row r="266">
      <x:c r="L266" s="133"/>
    </x:row>
    <x:row r="267">
      <x:c r="L267" s="133"/>
    </x:row>
    <x:row r="268">
      <x:c r="L268" s="133"/>
    </x:row>
    <x:row r="269">
      <x:c r="L269" s="133"/>
    </x:row>
    <x:row r="270">
      <x:c r="L270" s="133"/>
    </x:row>
    <x:row r="271">
      <x:c r="L271" s="133"/>
    </x:row>
    <x:row r="272">
      <x:c r="L272" s="133"/>
    </x:row>
    <x:row r="273">
      <x:c r="L273" s="133"/>
    </x:row>
    <x:row r="274">
      <x:c r="L274" s="133"/>
    </x:row>
    <x:row r="275">
      <x:c r="L275" s="133"/>
    </x:row>
    <x:row r="276">
      <x:c r="L276" s="133"/>
    </x:row>
    <x:row r="277">
      <x:c r="L277" s="133"/>
    </x:row>
    <x:row r="278">
      <x:c r="L278" s="133"/>
    </x:row>
    <x:row r="279">
      <x:c r="L279" s="133"/>
    </x:row>
    <x:row r="280">
      <x:c r="L280" s="133"/>
    </x:row>
    <x:row r="281">
      <x:c r="L281" s="133"/>
    </x:row>
    <x:row r="282">
      <x:c r="L282" s="133"/>
    </x:row>
    <x:row r="283">
      <x:c r="L283" s="133"/>
    </x:row>
    <x:row r="284">
      <x:c r="L284" s="133"/>
    </x:row>
    <x:row r="285">
      <x:c r="L285" s="133"/>
    </x:row>
    <x:row r="286">
      <x:c r="L286" s="133"/>
    </x:row>
    <x:row r="287">
      <x:c r="L287" s="133"/>
    </x:row>
    <x:row r="288">
      <x:c r="L288" s="133"/>
    </x:row>
    <x:row r="289">
      <x:c r="L289" s="133"/>
    </x:row>
    <x:row r="290">
      <x:c r="L290" s="133"/>
    </x:row>
    <x:row r="291">
      <x:c r="L291" s="133"/>
    </x:row>
    <x:row r="292">
      <x:c r="L292" s="133"/>
    </x:row>
    <x:row r="293">
      <x:c r="L293" s="133"/>
    </x:row>
    <x:row r="294">
      <x:c r="L294" s="133"/>
    </x:row>
    <x:row r="295">
      <x:c r="L295" s="133"/>
    </x:row>
    <x:row r="296">
      <x:c r="L296" s="133"/>
    </x:row>
    <x:row r="297">
      <x:c r="L297" s="133"/>
    </x:row>
    <x:row r="298">
      <x:c r="L298" s="133"/>
    </x:row>
    <x:row r="299">
      <x:c r="L299" s="133"/>
    </x:row>
    <x:row r="300">
      <x:c r="L300" s="133"/>
    </x:row>
    <x:row r="301">
      <x:c r="L301" s="133"/>
    </x:row>
    <x:row r="302">
      <x:c r="L302" s="133"/>
    </x:row>
    <x:row r="303">
      <x:c r="L303" s="133"/>
    </x:row>
    <x:row r="304">
      <x:c r="L304" s="133"/>
    </x:row>
    <x:row r="305">
      <x:c r="L305" s="133"/>
    </x:row>
    <x:row r="306">
      <x:c r="L306" s="133"/>
    </x:row>
    <x:row r="307">
      <x:c r="L307" s="133"/>
    </x:row>
    <x:row r="308">
      <x:c r="L308" s="133"/>
    </x:row>
    <x:row r="309">
      <x:c r="L309" s="133"/>
    </x:row>
    <x:row r="310">
      <x:c r="L310" s="133"/>
    </x:row>
    <x:row r="311">
      <x:c r="L311" s="133"/>
    </x:row>
    <x:row r="312">
      <x:c r="L312" s="133"/>
    </x:row>
    <x:row r="313">
      <x:c r="L313" s="133"/>
    </x:row>
    <x:row r="314">
      <x:c r="L314" s="133"/>
    </x:row>
    <x:row r="315">
      <x:c r="L315" s="133"/>
    </x:row>
    <x:row r="316">
      <x:c r="L316" s="133"/>
    </x:row>
    <x:row r="317">
      <x:c r="L317" s="133"/>
    </x:row>
    <x:row r="318">
      <x:c r="L318" s="133"/>
    </x:row>
    <x:row r="319">
      <x:c r="L319" s="133"/>
    </x:row>
    <x:row r="320">
      <x:c r="L320" s="133"/>
    </x:row>
    <x:row r="321">
      <x:c r="L321" s="133"/>
    </x:row>
    <x:row r="322">
      <x:c r="L322" s="133"/>
    </x:row>
    <x:row r="323">
      <x:c r="L323" s="133"/>
    </x:row>
    <x:row r="324">
      <x:c r="L324" s="133"/>
    </x:row>
    <x:row r="325">
      <x:c r="L325" s="133"/>
    </x:row>
    <x:row r="326">
      <x:c r="L326" s="133"/>
    </x:row>
    <x:row r="327">
      <x:c r="L327" s="133"/>
    </x:row>
    <x:row r="328">
      <x:c r="L328" s="133"/>
    </x:row>
    <x:row r="329">
      <x:c r="L329" s="133"/>
    </x:row>
    <x:row r="330">
      <x:c r="L330" s="133"/>
    </x:row>
    <x:row r="331">
      <x:c r="L331" s="133"/>
    </x:row>
    <x:row r="332">
      <x:c r="L332" s="133"/>
    </x:row>
    <x:row r="333">
      <x:c r="L333" s="133"/>
    </x:row>
    <x:row r="334">
      <x:c r="L334" s="133"/>
    </x:row>
    <x:row r="335">
      <x:c r="L335" s="133"/>
    </x:row>
    <x:row r="336">
      <x:c r="L336" s="133"/>
    </x:row>
    <x:row r="337">
      <x:c r="L337" s="133"/>
    </x:row>
    <x:row r="338">
      <x:c r="L338" s="133"/>
    </x:row>
    <x:row r="339">
      <x:c r="L339" s="133"/>
    </x:row>
    <x:row r="340">
      <x:c r="L340" s="133"/>
    </x:row>
    <x:row r="341">
      <x:c r="L341" s="133"/>
    </x:row>
    <x:row r="342">
      <x:c r="L342" s="133"/>
    </x:row>
    <x:row r="343">
      <x:c r="L343" s="133"/>
    </x:row>
    <x:row r="344">
      <x:c r="L344" s="133"/>
    </x:row>
    <x:row r="345">
      <x:c r="L345" s="133"/>
    </x:row>
    <x:row r="346">
      <x:c r="L346" s="133"/>
    </x:row>
    <x:row r="347">
      <x:c r="L347" s="133"/>
    </x:row>
    <x:row r="348">
      <x:c r="L348" s="133"/>
    </x:row>
    <x:row r="349">
      <x:c r="L349" s="133"/>
    </x:row>
    <x:row r="350">
      <x:c r="L350" s="133"/>
    </x:row>
    <x:row r="351">
      <x:c r="L351" s="133"/>
    </x:row>
    <x:row r="352">
      <x:c r="L352" s="133"/>
    </x:row>
    <x:row r="353">
      <x:c r="L353" s="133"/>
    </x:row>
    <x:row r="354">
      <x:c r="L354" s="133"/>
    </x:row>
    <x:row r="355">
      <x:c r="L355" s="133"/>
    </x:row>
    <x:row r="356">
      <x:c r="L356" s="133"/>
    </x:row>
    <x:row r="357">
      <x:c r="L357" s="133"/>
    </x:row>
    <x:row r="358">
      <x:c r="L358" s="133"/>
    </x:row>
    <x:row r="359">
      <x:c r="L359" s="133"/>
    </x:row>
    <x:row r="360">
      <x:c r="L360" s="133"/>
    </x:row>
    <x:row r="361">
      <x:c r="L361" s="133"/>
    </x:row>
    <x:row r="362">
      <x:c r="L362" s="133"/>
    </x:row>
    <x:row r="363">
      <x:c r="L363" s="133"/>
    </x:row>
    <x:row r="364">
      <x:c r="L364" s="133"/>
    </x:row>
    <x:row r="365">
      <x:c r="L365" s="133"/>
    </x:row>
    <x:row r="366">
      <x:c r="L366" s="133"/>
    </x:row>
    <x:row r="367">
      <x:c r="L367" s="133"/>
    </x:row>
    <x:row r="368">
      <x:c r="L368" s="133"/>
    </x:row>
    <x:row r="369">
      <x:c r="L369" s="133"/>
    </x:row>
    <x:row r="370">
      <x:c r="L370" s="133"/>
    </x:row>
    <x:row r="371">
      <x:c r="L371" s="133"/>
    </x:row>
    <x:row r="372">
      <x:c r="L372" s="133"/>
    </x:row>
    <x:row r="373">
      <x:c r="L373" s="133"/>
    </x:row>
    <x:row r="374">
      <x:c r="L374" s="133"/>
    </x:row>
    <x:row r="375">
      <x:c r="L375" s="133"/>
    </x:row>
    <x:row r="376">
      <x:c r="L376" s="133"/>
    </x:row>
    <x:row r="377">
      <x:c r="L377" s="133"/>
    </x:row>
    <x:row r="378">
      <x:c r="L378" s="133"/>
    </x:row>
    <x:row r="379">
      <x:c r="L379" s="133"/>
    </x:row>
    <x:row r="380">
      <x:c r="L380" s="133"/>
    </x:row>
    <x:row r="381">
      <x:c r="L381" s="133"/>
    </x:row>
    <x:row r="382">
      <x:c r="L382" s="133"/>
    </x:row>
    <x:row r="383">
      <x:c r="L383" s="133"/>
    </x:row>
    <x:row r="384">
      <x:c r="L384" s="133"/>
    </x:row>
    <x:row r="385">
      <x:c r="L385" s="133"/>
    </x:row>
    <x:row r="386">
      <x:c r="L386" s="133"/>
    </x:row>
    <x:row r="387">
      <x:c r="L387" s="133"/>
    </x:row>
    <x:row r="388">
      <x:c r="L388" s="133"/>
    </x:row>
    <x:row r="389">
      <x:c r="L389" s="133"/>
    </x:row>
    <x:row r="390">
      <x:c r="L390" s="133"/>
    </x:row>
    <x:row r="391">
      <x:c r="L391" s="133"/>
    </x:row>
    <x:row r="392">
      <x:c r="L392" s="133"/>
    </x:row>
    <x:row r="393">
      <x:c r="L393" s="133"/>
    </x:row>
    <x:row r="394">
      <x:c r="L394" s="133"/>
    </x:row>
    <x:row r="395">
      <x:c r="L395" s="133"/>
    </x:row>
    <x:row r="396">
      <x:c r="L396" s="133"/>
    </x:row>
    <x:row r="397">
      <x:c r="L397" s="133"/>
    </x:row>
    <x:row r="398">
      <x:c r="L398" s="133"/>
    </x:row>
    <x:row r="399">
      <x:c r="L399" s="133"/>
    </x:row>
    <x:row r="400">
      <x:c r="L400" s="133"/>
    </x:row>
    <x:row r="401">
      <x:c r="L401" s="133"/>
    </x:row>
    <x:row r="402">
      <x:c r="L402" s="133"/>
    </x:row>
    <x:row r="403">
      <x:c r="L403" s="133"/>
    </x:row>
    <x:row r="404">
      <x:c r="L404" s="133"/>
    </x:row>
    <x:row r="405">
      <x:c r="L405" s="133"/>
    </x:row>
    <x:row r="406">
      <x:c r="L406" s="133"/>
    </x:row>
    <x:row r="407">
      <x:c r="L407" s="133"/>
    </x:row>
    <x:row r="408">
      <x:c r="L408" s="133"/>
    </x:row>
    <x:row r="409">
      <x:c r="L409" s="133"/>
    </x:row>
    <x:row r="410">
      <x:c r="L410" s="133"/>
    </x:row>
    <x:row r="411">
      <x:c r="L411" s="133"/>
    </x:row>
    <x:row r="412">
      <x:c r="L412" s="133"/>
    </x:row>
    <x:row r="413">
      <x:c r="L413" s="133"/>
    </x:row>
    <x:row r="414">
      <x:c r="L414" s="133"/>
    </x:row>
    <x:row r="415">
      <x:c r="L415" s="133"/>
    </x:row>
    <x:row r="416">
      <x:c r="L416" s="133"/>
    </x:row>
    <x:row r="417">
      <x:c r="L417" s="133"/>
    </x:row>
    <x:row r="418">
      <x:c r="L418" s="133"/>
    </x:row>
    <x:row r="419">
      <x:c r="L419" s="133"/>
    </x:row>
    <x:row r="420">
      <x:c r="L420" s="133"/>
    </x:row>
    <x:row r="421">
      <x:c r="L421" s="133"/>
    </x:row>
    <x:row r="422">
      <x:c r="L422" s="133"/>
    </x:row>
    <x:row r="423">
      <x:c r="L423" s="133"/>
    </x:row>
    <x:row r="424">
      <x:c r="L424" s="133"/>
    </x:row>
    <x:row r="425">
      <x:c r="L425" s="133"/>
    </x:row>
    <x:row r="426">
      <x:c r="L426" s="133"/>
    </x:row>
    <x:row r="427">
      <x:c r="L427" s="133"/>
    </x:row>
    <x:row r="428">
      <x:c r="L428" s="133"/>
    </x:row>
    <x:row r="429">
      <x:c r="L429" s="133"/>
    </x:row>
    <x:row r="430">
      <x:c r="L430" s="133"/>
    </x:row>
    <x:row r="431">
      <x:c r="L431" s="133"/>
    </x:row>
    <x:row r="432">
      <x:c r="L432" s="133"/>
    </x:row>
    <x:row r="433">
      <x:c r="L433" s="133"/>
    </x:row>
    <x:row r="434">
      <x:c r="L434" s="133"/>
    </x:row>
    <x:row r="435">
      <x:c r="L435" s="133"/>
    </x:row>
    <x:row r="436">
      <x:c r="L436" s="133"/>
    </x:row>
    <x:row r="437">
      <x:c r="L437" s="133"/>
    </x:row>
    <x:row r="438">
      <x:c r="L438" s="133"/>
    </x:row>
    <x:row r="439">
      <x:c r="L439" s="133"/>
    </x:row>
    <x:row r="440">
      <x:c r="L440" s="133"/>
    </x:row>
    <x:row r="441">
      <x:c r="L441" s="133"/>
    </x:row>
    <x:row r="442">
      <x:c r="L442" s="133"/>
    </x:row>
    <x:row r="443">
      <x:c r="L443" s="133"/>
    </x:row>
    <x:row r="444">
      <x:c r="L444" s="133"/>
    </x:row>
    <x:row r="445">
      <x:c r="L445" s="133"/>
    </x:row>
    <x:row r="446">
      <x:c r="L446" s="133"/>
    </x:row>
    <x:row r="447">
      <x:c r="L447" s="133"/>
    </x:row>
    <x:row r="448">
      <x:c r="L448" s="133"/>
    </x:row>
    <x:row r="449">
      <x:c r="L449" s="133"/>
    </x:row>
    <x:row r="450">
      <x:c r="L450" s="133"/>
    </x:row>
    <x:row r="451">
      <x:c r="L451" s="133"/>
    </x:row>
    <x:row r="452">
      <x:c r="L452" s="133"/>
    </x:row>
    <x:row r="453">
      <x:c r="L453" s="133"/>
    </x:row>
    <x:row r="454">
      <x:c r="L454" s="133"/>
    </x:row>
    <x:row r="455">
      <x:c r="L455" s="133"/>
    </x:row>
    <x:row r="456">
      <x:c r="L456" s="133"/>
    </x:row>
    <x:row r="457">
      <x:c r="L457" s="133"/>
    </x:row>
    <x:row r="458">
      <x:c r="L458" s="133"/>
    </x:row>
    <x:row r="459">
      <x:c r="L459" s="133"/>
    </x:row>
    <x:row r="460">
      <x:c r="L460" s="133"/>
    </x:row>
    <x:row r="461">
      <x:c r="L461" s="133"/>
    </x:row>
    <x:row r="462">
      <x:c r="L462" s="133"/>
    </x:row>
    <x:row r="463">
      <x:c r="L463" s="133"/>
    </x:row>
    <x:row r="464">
      <x:c r="L464" s="133"/>
    </x:row>
    <x:row r="465">
      <x:c r="L465" s="133"/>
    </x:row>
    <x:row r="466">
      <x:c r="L466" s="133"/>
    </x:row>
    <x:row r="467">
      <x:c r="L467" s="133"/>
    </x:row>
    <x:row r="468">
      <x:c r="L468" s="133"/>
    </x:row>
    <x:row r="469">
      <x:c r="L469" s="133"/>
    </x:row>
    <x:row r="470">
      <x:c r="L470" s="133"/>
    </x:row>
    <x:row r="471">
      <x:c r="L471" s="133"/>
    </x:row>
    <x:row r="472">
      <x:c r="L472" s="133"/>
    </x:row>
    <x:row r="473">
      <x:c r="L473" s="133"/>
    </x:row>
    <x:row r="474">
      <x:c r="L474" s="133"/>
    </x:row>
    <x:row r="475">
      <x:c r="L475" s="133"/>
    </x:row>
    <x:row r="476">
      <x:c r="L476" s="133"/>
    </x:row>
    <x:row r="477">
      <x:c r="L477" s="133"/>
    </x:row>
    <x:row r="478">
      <x:c r="L478" s="133"/>
    </x:row>
    <x:row r="479">
      <x:c r="L479" s="133"/>
    </x:row>
    <x:row r="480">
      <x:c r="L480" s="133"/>
    </x:row>
    <x:row r="481">
      <x:c r="L481" s="133"/>
    </x:row>
    <x:row r="482">
      <x:c r="L482" s="133"/>
    </x:row>
    <x:row r="483">
      <x:c r="L483" s="133"/>
    </x:row>
    <x:row r="484">
      <x:c r="L484" s="133"/>
    </x:row>
    <x:row r="485">
      <x:c r="L485" s="133"/>
    </x:row>
    <x:row r="486">
      <x:c r="L486" s="133"/>
    </x:row>
    <x:row r="487">
      <x:c r="L487" s="133"/>
    </x:row>
    <x:row r="488">
      <x:c r="L488" s="133"/>
    </x:row>
    <x:row r="489">
      <x:c r="L489" s="133"/>
    </x:row>
    <x:row r="490">
      <x:c r="L490" s="133"/>
    </x:row>
    <x:row r="491">
      <x:c r="L491" s="133"/>
    </x:row>
    <x:row r="492">
      <x:c r="L492" s="133"/>
    </x:row>
    <x:row r="493">
      <x:c r="L493" s="133"/>
    </x:row>
    <x:row r="494">
      <x:c r="L494" s="133"/>
    </x:row>
    <x:row r="495">
      <x:c r="L495" s="133"/>
    </x:row>
    <x:row r="496">
      <x:c r="L496" s="133"/>
    </x:row>
    <x:row r="497">
      <x:c r="L497" s="133"/>
    </x:row>
    <x:row r="498">
      <x:c r="L498" s="133"/>
    </x:row>
    <x:row r="499">
      <x:c r="L499" s="133"/>
    </x:row>
    <x:row r="500">
      <x:c r="L500" s="133"/>
    </x:row>
  </x:sheetData>
  <x:mergeCells>
    <x:mergeCell ref="A1:K1"/>
    <x:mergeCell ref="A2:K2"/>
  </x:mergeCells>
  <x:dataValidations count="3">
    <x:dataValidation type="list" allowBlank="1" showDropDown="0" sqref="C5:C500">
      <x:formula1>"Non-actuation-relevant,Inter-cycle real-time,Intra-cycle real-time"</x:formula1>
    </x:dataValidation>
    <x:dataValidation type="list" allowBlank="1" showDropDown="0" sqref="D5:D500">
      <x:formula1>"Atomic,Framed"</x:formula1>
    </x:dataValidation>
    <x:dataValidation type="list" allowBlank="1" showDropDown="0" sqref="J5:J500">
      <x:formula1>"Fail closed,N/A — Atomic,Deployment-specific"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2" hidden="0" customWidth="1"/>
    <x:col min="3" max="3" width="28" hidden="0" customWidth="1"/>
    <x:col min="4" max="4" width="26" hidden="0" customWidth="1"/>
    <x:col min="5" max="5" width="31" hidden="0" customWidth="1"/>
    <x:col min="6" max="6" width="26" hidden="0" customWidth="1"/>
    <x:col min="7" max="7" width="20" hidden="0" customWidth="1"/>
    <x:col min="8" max="8" width="32" hidden="0" customWidth="1"/>
  </x:cols>
  <x:sheetData>
    <x:row r="1" ht="26" customHeight="1">
      <x:c r="A1" s="436" t="str">
        <x:v>ASCR-16 Deployment Parameters — Cross-Cutting Configuration Register</x:v>
      </x:c>
      <x:c r="B1" s="436"/>
      <x:c r="C1" s="436"/>
      <x:c r="D1" s="436"/>
      <x:c r="E1" s="436"/>
      <x:c r="F1" s="436"/>
      <x:c r="G1" s="436"/>
      <x:c r="H1" s="436"/>
    </x:row>
    <x:row r="2" ht="42" customHeight="1">
      <x:c r="A2" s="440" t="str">
        <x:v>Record deployment-specific values and authority references here. Per-feed reorder windows and gap/reassembly timeouts remain authoritative in the Context Feed Registry and are not duplicated here. Version 1.0 — June 2026.</x:v>
      </x:c>
      <x:c r="B2" s="440"/>
      <x:c r="C2" s="440"/>
      <x:c r="D2" s="440"/>
      <x:c r="E2" s="440"/>
      <x:c r="F2" s="440"/>
      <x:c r="G2" s="440"/>
      <x:c r="H2" s="440"/>
    </x:row>
    <x:row r="4" ht="34" customHeight="1">
      <x:c r="A4" s="445" t="str">
        <x:v>Parameter ID</x:v>
      </x:c>
      <x:c r="B4" s="445" t="str">
        <x:v>Effective Value / Reference</x:v>
      </x:c>
      <x:c r="C4" s="445" t="str">
        <x:v>Scope</x:v>
      </x:c>
      <x:c r="D4" s="445" t="str">
        <x:v>Owner</x:v>
      </x:c>
      <x:c r="E4" s="445" t="str">
        <x:v>Authoritative Source</x:v>
      </x:c>
      <x:c r="F4" s="445" t="str">
        <x:v>Validation Evidence</x:v>
      </x:c>
      <x:c r="G4" s="445" t="str">
        <x:v>Effective Date / Version</x:v>
      </x:c>
      <x:c r="H4" s="445" t="str">
        <x:v>Notes</x:v>
      </x:c>
    </x:row>
    <x:row r="5">
      <x:c r="A5" s="133" t="str">
        <x:v>CORRELATION_WINDOW</x:v>
      </x:c>
      <x:c r="B5" s="446"/>
      <x:c r="C5" s="133" t="str">
        <x:v>Coordinated Alert 1 + Alert 4 pattern</x:v>
      </x:c>
      <x:c r="D5" s="133" t="str">
        <x:v>Security/IR Lead</x:v>
      </x:c>
      <x:c r="E5" s="133" t="str">
        <x:v>ASCR-16 §2.3 / OE01 Part B</x:v>
      </x:c>
      <x:c r="F5" s="133"/>
      <x:c r="G5" s="133"/>
      <x:c r="H5" s="133"/>
    </x:row>
    <x:row r="6">
      <x:c r="A6" s="133" t="str">
        <x:v>REPLAY_ACCEPTANCE_WINDOW_EP18</x:v>
      </x:c>
      <x:c r="B6" s="446"/>
      <x:c r="C6" s="133" t="str">
        <x:v>EP-18 context replay state</x:v>
      </x:c>
      <x:c r="D6" s="133" t="str">
        <x:v>AI/ML Engineering Lead</x:v>
      </x:c>
      <x:c r="E6" s="133" t="str">
        <x:v>ASCR-16 §3.2</x:v>
      </x:c>
      <x:c r="F6" s="133"/>
      <x:c r="G6" s="133"/>
      <x:c r="H6" s="133"/>
    </x:row>
    <x:row r="7">
      <x:c r="A7" s="133" t="str">
        <x:v>REPLAY_ACCEPTANCE_WINDOW_EP19</x:v>
      </x:c>
      <x:c r="B7" s="446"/>
      <x:c r="C7" s="133" t="str">
        <x:v>EP-19 context replay state</x:v>
      </x:c>
      <x:c r="D7" s="133" t="str">
        <x:v>AI/ML Engineering Lead</x:v>
      </x:c>
      <x:c r="E7" s="133" t="str">
        <x:v>ASCR-16 §3.2</x:v>
      </x:c>
      <x:c r="F7" s="133"/>
      <x:c r="G7" s="133"/>
      <x:c r="H7" s="133"/>
    </x:row>
    <x:row r="8">
      <x:c r="A8" s="133" t="str">
        <x:v>REPLAY_STATE_RETENTION</x:v>
      </x:c>
      <x:c r="B8" s="446"/>
      <x:c r="C8" s="133" t="str">
        <x:v>Boundary-envelope and lineage-token replay caches</x:v>
      </x:c>
      <x:c r="D8" s="133" t="str">
        <x:v>AI/ML Engineering Lead</x:v>
      </x:c>
      <x:c r="E8" s="133" t="str">
        <x:v>ASCR-16 §§2.2, 3.2</x:v>
      </x:c>
      <x:c r="F8" s="133"/>
      <x:c r="G8" s="133"/>
      <x:c r="H8" s="133"/>
    </x:row>
    <x:row r="9">
      <x:c r="A9" s="133" t="str">
        <x:v>PLANNING_CYCLE_INHIBIT_MAX_WAIT</x:v>
      </x:c>
      <x:c r="B9" s="446"/>
      <x:c r="C9" s="133" t="str">
        <x:v>Model-update controller</x:v>
      </x:c>
      <x:c r="D9" s="133" t="str">
        <x:v>OT Engineering Lead</x:v>
      </x:c>
      <x:c r="E9" s="133" t="str">
        <x:v>ASCR-16 §4.2 / ASCR-10 Change Record</x:v>
      </x:c>
      <x:c r="F9" s="133"/>
      <x:c r="G9" s="133"/>
      <x:c r="H9" s="133"/>
    </x:row>
    <x:row r="10">
      <x:c r="A10" s="133" t="str">
        <x:v>ROLLBACK_PRESERVATION_PERIOD</x:v>
      </x:c>
      <x:c r="B10" s="446"/>
      <x:c r="C10" s="133" t="str">
        <x:v>Previous authorized model version at edge</x:v>
      </x:c>
      <x:c r="D10" s="133" t="str">
        <x:v>OT Engineering Lead</x:v>
      </x:c>
      <x:c r="E10" s="133" t="str">
        <x:v>ASCR-16 §4.2</x:v>
      </x:c>
      <x:c r="F10" s="133"/>
      <x:c r="G10" s="133"/>
      <x:c r="H10" s="133"/>
    </x:row>
    <x:row r="11">
      <x:c r="A11" s="133" t="str">
        <x:v>ALERT_RESPONSE_TARGET</x:v>
      </x:c>
      <x:c r="B11" s="446"/>
      <x:c r="C11" s="133" t="str">
        <x:v>ASCR-16 alert response</x:v>
      </x:c>
      <x:c r="D11" s="133" t="str">
        <x:v>Security/IR Lead</x:v>
      </x:c>
      <x:c r="E11" s="133" t="str">
        <x:v>Applicable ASCR-08 response target / OE01 Part B</x:v>
      </x:c>
      <x:c r="F11" s="133"/>
      <x:c r="G11" s="133"/>
      <x:c r="H11" s="133"/>
    </x:row>
    <x:row r="12">
      <x:c r="A12" s="133" t="str">
        <x:v>FEED_RESTORATION_CRITERION</x:v>
      </x:c>
      <x:c r="B12" s="446"/>
      <x:c r="C12" s="133" t="str">
        <x:v>Alert 4 recovery / feed restoration</x:v>
      </x:c>
      <x:c r="D12" s="133" t="str">
        <x:v>Security/IR Lead</x:v>
      </x:c>
      <x:c r="E12" s="133" t="str">
        <x:v>ASCR-16-OE01 Alert 4</x:v>
      </x:c>
      <x:c r="F12" s="133"/>
      <x:c r="G12" s="133"/>
      <x:c r="H12" s="133"/>
    </x:row>
    <x:row r="13">
      <x:c r="A13" s="133" t="str">
        <x:v>ASCR16_EVIDENCE_RETENTION_PERIOD</x:v>
      </x:c>
      <x:c r="B13" s="446"/>
      <x:c r="C13" s="133" t="str">
        <x:v>ASCR-16 governed evidence objects</x:v>
      </x:c>
      <x:c r="D13" s="133" t="str">
        <x:v>Security/IR Lead + Legal/Compliance</x:v>
      </x:c>
      <x:c r="E13" s="133" t="str">
        <x:v>Deployment evidence-retention policy</x:v>
      </x:c>
      <x:c r="F13" s="133"/>
      <x:c r="G13" s="133"/>
      <x:c r="H13" s="133"/>
    </x:row>
    <x:row r="14">
      <x:c r="A14" s="133" t="str">
        <x:v>CRYPTO_TRANSITION_PROFILE_REF</x:v>
      </x:c>
      <x:c r="B14" s="446"/>
      <x:c r="C14" s="133" t="str">
        <x:v>Lineage-token and boundary-envelope signatures</x:v>
      </x:c>
      <x:c r="D14" s="133" t="str">
        <x:v>AI/ML Engineering Lead</x:v>
      </x:c>
      <x:c r="E14" s="133" t="str">
        <x:v>ASCR-16 §2.1</x:v>
      </x:c>
      <x:c r="F14" s="133"/>
      <x:c r="G14" s="133"/>
      <x:c r="H14" s="133"/>
    </x:row>
    <x:row r="15">
      <x:c r="A15" s="133" t="str">
        <x:v>ASCR04_END_TO_END_HARD_DEADLINE_REF</x:v>
      </x:c>
      <x:c r="B15" s="446"/>
      <x:c r="C15" s="133" t="str">
        <x:v>Per-command runtime hard gate</x:v>
      </x:c>
      <x:c r="D15" s="133" t="str">
        <x:v>OT Engineering Lead</x:v>
      </x:c>
      <x:c r="E15" s="133" t="str">
        <x:v>ASCR-04 / ASCR-03 §5</x:v>
      </x:c>
      <x:c r="F15" s="133"/>
      <x:c r="G15" s="133"/>
      <x:c r="H15" s="133"/>
    </x:row>
    <x:row r="16">
      <x:c r="A16" s="133" t="str">
        <x:v>ASCR06_RESIDUAL_HARD_TIMEOUT_REF</x:v>
      </x:c>
      <x:c r="B16" s="446"/>
      <x:c r="C16" s="133" t="str">
        <x:v>ASCR-06 residual allocation inside ASCR-04 deadline</x:v>
      </x:c>
      <x:c r="D16" s="133" t="str">
        <x:v>OT Engineering Lead + AI/ML Engineering Lead</x:v>
      </x:c>
      <x:c r="E16" s="133" t="str">
        <x:v>ASCR-06 / ASCR-03 §5</x:v>
      </x:c>
      <x:c r="F16" s="133"/>
      <x:c r="G16" s="133"/>
      <x:c r="H16" s="133"/>
    </x:row>
    <x:row r="17">
      <x:c r="A17" s="133" t="str">
        <x:v>BOUNDARY_TIMESTAMP_PRECISION</x:v>
      </x:c>
      <x:c r="B17" s="446" t="str">
        <x:v>At least millisecond resolution for Version 1.0 reference thresholds</x:v>
      </x:c>
      <x:c r="C17" s="133" t="str">
        <x:v>EP-17 boundary envelope</x:v>
      </x:c>
      <x:c r="D17" s="133" t="str">
        <x:v>AI/ML Engineering Lead</x:v>
      </x:c>
      <x:c r="E17" s="133" t="str">
        <x:v>ASCR-16 §3.2 / OE01 §A.2</x:v>
      </x:c>
      <x:c r="F17" s="133"/>
      <x:c r="G17" s="133"/>
      <x:c r="H17" s="133" t="str">
        <x:v>Use finer precision where the smallest governed threshold requires it.</x:v>
      </x:c>
    </x:row>
    <x:row r="18">
      <x:c r="A18" s="133" t="str">
        <x:v>BOUNDARY_TIME_SOURCE</x:v>
      </x:c>
      <x:c r="B18" s="446"/>
      <x:c r="C18" s="133" t="str">
        <x:v>EP-17/EP-18/EP-19 boundary timing</x:v>
      </x:c>
      <x:c r="D18" s="133" t="str">
        <x:v>AI/ML Engineering Lead + OT Engineering Lead</x:v>
      </x:c>
      <x:c r="E18" s="133" t="str">
        <x:v>Deployment-approved authenticated time service</x:v>
      </x:c>
      <x:c r="F18" s="133" t="str">
        <x:v>Clock-source validation evidence</x:v>
      </x:c>
      <x:c r="G18" s="133"/>
      <x:c r="H18" s="133"/>
    </x:row>
  </x:sheetData>
  <x:mergeCells>
    <x:mergeCell ref="A1:H1"/>
    <x:mergeCell ref="A2:H2"/>
  </x:mergeCells>
  <x:pageMargins left="0.7" right="0.7" top="0.75" bottom="0.75" header="0.3" footer="0.3"/>
</x:worksheet>
</file>